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drawings/drawing4.xml" ContentType="application/vnd.openxmlformats-officedocument.drawing+xml"/>
  <Override PartName="/xl/ctrlProps/ctrlProp3.xml" ContentType="application/vnd.ms-excel.controlproperties+xml"/>
  <Override PartName="/xl/drawings/drawing5.xml" ContentType="application/vnd.openxmlformats-officedocument.drawing+xml"/>
  <Override PartName="/xl/ctrlProps/ctrlProp4.xml" ContentType="application/vnd.ms-excel.controlproperties+xml"/>
  <Override PartName="/xl/drawings/drawing6.xml" ContentType="application/vnd.openxmlformats-officedocument.drawing+xml"/>
  <Override PartName="/xl/ctrlProps/ctrlProp5.xml" ContentType="application/vnd.ms-excel.controlproperties+xml"/>
  <Override PartName="/xl/drawings/drawing7.xml" ContentType="application/vnd.openxmlformats-officedocument.drawing+xml"/>
  <Override PartName="/xl/ctrlProps/ctrlProp6.xml" ContentType="application/vnd.ms-excel.controlproperties+xml"/>
  <Override PartName="/xl/drawings/drawing8.xml" ContentType="application/vnd.openxmlformats-officedocument.drawing+xml"/>
  <Override PartName="/xl/ctrlProps/ctrlProp7.xml" ContentType="application/vnd.ms-excel.controlproperties+xml"/>
  <Override PartName="/xl/drawings/drawing9.xml" ContentType="application/vnd.openxmlformats-officedocument.drawing+xml"/>
  <Override PartName="/xl/ctrlProps/ctrlProp8.xml" ContentType="application/vnd.ms-excel.controlproperties+xml"/>
  <Override PartName="/xl/drawings/drawing10.xml" ContentType="application/vnd.openxmlformats-officedocument.drawing+xml"/>
  <Override PartName="/xl/ctrlProps/ctrlProp9.xml" ContentType="application/vnd.ms-excel.controlproperties+xml"/>
  <Override PartName="/xl/drawings/drawing11.xml" ContentType="application/vnd.openxmlformats-officedocument.drawing+xml"/>
  <Override PartName="/xl/ctrlProps/ctrlProp10.xml" ContentType="application/vnd.ms-excel.controlproperties+xml"/>
  <Override PartName="/xl/drawings/drawing12.xml" ContentType="application/vnd.openxmlformats-officedocument.drawing+xml"/>
  <Override PartName="/xl/ctrlProps/ctrlProp11.xml" ContentType="application/vnd.ms-excel.controlproperties+xml"/>
  <Override PartName="/xl/drawings/drawing13.xml" ContentType="application/vnd.openxmlformats-officedocument.drawing+xml"/>
  <Override PartName="/xl/ctrlProps/ctrlProp12.xml" ContentType="application/vnd.ms-excel.controlproperties+xml"/>
  <Override PartName="/xl/drawings/drawing14.xml" ContentType="application/vnd.openxmlformats-officedocument.drawing+xml"/>
  <Override PartName="/xl/drawings/drawing15.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codeName="ThisWorkbook"/>
  <mc:AlternateContent xmlns:mc="http://schemas.openxmlformats.org/markup-compatibility/2006">
    <mc:Choice Requires="x15">
      <x15ac:absPath xmlns:x15ac="http://schemas.microsoft.com/office/spreadsheetml/2010/11/ac" url="Z:\All Client Spreadsheets\London\Design -Spectrum Ltd\Year End\2018\"/>
    </mc:Choice>
  </mc:AlternateContent>
  <xr:revisionPtr revIDLastSave="0" documentId="13_ncr:1_{97C5A038-06C1-4F6E-8030-A7E7E46D168C}" xr6:coauthVersionLast="40" xr6:coauthVersionMax="40" xr10:uidLastSave="{00000000-0000-0000-0000-000000000000}"/>
  <bookViews>
    <workbookView xWindow="0" yWindow="0" windowWidth="28800" windowHeight="12165" tabRatio="850" firstSheet="2" activeTab="14" xr2:uid="{00000000-000D-0000-FFFF-FFFF00000000}"/>
  </bookViews>
  <sheets>
    <sheet name="Getting Started - FAQ" sheetId="19" state="hidden" r:id="rId1"/>
    <sheet name="Example" sheetId="22" state="hidden" r:id="rId2"/>
    <sheet name="Nov 17" sheetId="3" r:id="rId3"/>
    <sheet name="Dec 17" sheetId="4" r:id="rId4"/>
    <sheet name="Jan 18" sheetId="5" r:id="rId5"/>
    <sheet name="Feb 18" sheetId="6" r:id="rId6"/>
    <sheet name="Mar 18" sheetId="7" r:id="rId7"/>
    <sheet name="Apr 18" sheetId="8" r:id="rId8"/>
    <sheet name="May 18" sheetId="9" r:id="rId9"/>
    <sheet name="Jun 18" sheetId="10" r:id="rId10"/>
    <sheet name="Jul 18" sheetId="11" r:id="rId11"/>
    <sheet name="Aug 18" sheetId="12" r:id="rId12"/>
    <sheet name="Sep 18" sheetId="13" r:id="rId13"/>
    <sheet name="Oct 18" sheetId="14" r:id="rId14"/>
    <sheet name="Summary" sheetId="15" r:id="rId15"/>
    <sheet name="P11D" sheetId="40" state="hidden" r:id="rId16"/>
    <sheet name="Accountant Calculations" sheetId="26" state="hidden" r:id="rId17"/>
    <sheet name="Bank Accounts" sheetId="16" r:id="rId18"/>
    <sheet name="Control Accounts" sheetId="17" r:id="rId19"/>
    <sheet name="PAYE Summary" sheetId="18" r:id="rId20"/>
    <sheet name="Wages Summary" sheetId="39" state="hidden" r:id="rId21"/>
    <sheet name="VAT Summary" sheetId="38" r:id="rId22"/>
    <sheet name="Fixed Assets (V1)" sheetId="28" state="hidden" r:id="rId23"/>
    <sheet name="Fixed Assets (V2)" sheetId="37" r:id="rId24"/>
    <sheet name="DLA" sheetId="34" state="hidden" r:id="rId25"/>
    <sheet name="Journal" sheetId="30" state="hidden" r:id="rId26"/>
  </sheets>
  <definedNames>
    <definedName name="__IntlFixup" hidden="1">TRUE</definedName>
    <definedName name="_xlnm.Print_Area" localSheetId="2">'Nov 17'!$A$1:$AF$217</definedName>
    <definedName name="_xlnm.Print_Area" localSheetId="21">'VAT Summary'!$A$1:$O$40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62" i="15" l="1"/>
  <c r="B61" i="15"/>
  <c r="B56" i="15" l="1"/>
  <c r="F42" i="37"/>
  <c r="E42" i="37"/>
  <c r="J10" i="16" l="1"/>
  <c r="M38" i="18"/>
  <c r="K36" i="18"/>
  <c r="K30" i="18"/>
  <c r="K18" i="18"/>
  <c r="M18" i="18"/>
  <c r="F51" i="15"/>
  <c r="L36" i="18"/>
  <c r="M36" i="18" s="1"/>
  <c r="L24" i="18"/>
  <c r="J13" i="18"/>
  <c r="E36" i="18"/>
  <c r="E35" i="18"/>
  <c r="F35" i="18"/>
  <c r="E34" i="18"/>
  <c r="E24" i="18"/>
  <c r="E22" i="18"/>
  <c r="E20" i="18"/>
  <c r="E18" i="18"/>
  <c r="H38" i="16"/>
  <c r="H36" i="16" l="1"/>
  <c r="K25" i="15"/>
  <c r="C57" i="15"/>
  <c r="K52" i="15"/>
  <c r="M22" i="38" l="1"/>
  <c r="M17" i="38"/>
  <c r="M12" i="38"/>
  <c r="M7" i="38"/>
  <c r="H39" i="17"/>
  <c r="K7" i="38"/>
  <c r="C25" i="38"/>
  <c r="C26" i="38"/>
  <c r="C24" i="38"/>
  <c r="C20" i="38"/>
  <c r="C21" i="38"/>
  <c r="C19" i="38"/>
  <c r="C15" i="38"/>
  <c r="C16" i="38"/>
  <c r="C14" i="38"/>
  <c r="C10" i="38"/>
  <c r="C11" i="38"/>
  <c r="C9" i="38"/>
  <c r="AD79" i="14" l="1"/>
  <c r="AE79" i="14"/>
  <c r="C16" i="40" l="1"/>
  <c r="B16" i="40"/>
  <c r="F16" i="40"/>
  <c r="E16" i="40"/>
  <c r="D16" i="40"/>
  <c r="D67" i="17" l="1"/>
  <c r="C284" i="14"/>
  <c r="D285" i="14" s="1"/>
  <c r="C282" i="14"/>
  <c r="D283" i="14" s="1"/>
  <c r="C280" i="14"/>
  <c r="D281" i="14" s="1"/>
  <c r="C279" i="14"/>
  <c r="D279" i="14" s="1"/>
  <c r="C275" i="14"/>
  <c r="D276" i="14" s="1"/>
  <c r="C273" i="14"/>
  <c r="D274" i="14" s="1"/>
  <c r="C284" i="13"/>
  <c r="D285" i="13" s="1"/>
  <c r="C282" i="13"/>
  <c r="D283" i="13" s="1"/>
  <c r="C280" i="13"/>
  <c r="D281" i="13" s="1"/>
  <c r="C279" i="13"/>
  <c r="D279" i="13" s="1"/>
  <c r="C275" i="13"/>
  <c r="D276" i="13" s="1"/>
  <c r="C273" i="13"/>
  <c r="D274" i="13" s="1"/>
  <c r="C284" i="12"/>
  <c r="D285" i="12" s="1"/>
  <c r="C282" i="12"/>
  <c r="D283" i="12" s="1"/>
  <c r="C280" i="12"/>
  <c r="D281" i="12" s="1"/>
  <c r="C279" i="12"/>
  <c r="D279" i="12" s="1"/>
  <c r="C275" i="12"/>
  <c r="D276" i="12" s="1"/>
  <c r="C273" i="12"/>
  <c r="D274" i="12" s="1"/>
  <c r="C284" i="11"/>
  <c r="D285" i="11" s="1"/>
  <c r="C282" i="11"/>
  <c r="D283" i="11" s="1"/>
  <c r="C280" i="11"/>
  <c r="D281" i="11" s="1"/>
  <c r="C279" i="11"/>
  <c r="D279" i="11" s="1"/>
  <c r="C275" i="11"/>
  <c r="D276" i="11" s="1"/>
  <c r="C273" i="11"/>
  <c r="D274" i="11" s="1"/>
  <c r="C284" i="10"/>
  <c r="D285" i="10" s="1"/>
  <c r="C282" i="10"/>
  <c r="D283" i="10" s="1"/>
  <c r="C280" i="10"/>
  <c r="D281" i="10" s="1"/>
  <c r="C279" i="10"/>
  <c r="D279" i="10" s="1"/>
  <c r="C275" i="10"/>
  <c r="D276" i="10" s="1"/>
  <c r="C273" i="10"/>
  <c r="D274" i="10" s="1"/>
  <c r="C284" i="9"/>
  <c r="D285" i="9" s="1"/>
  <c r="C282" i="9"/>
  <c r="D283" i="9" s="1"/>
  <c r="C280" i="9"/>
  <c r="D281" i="9" s="1"/>
  <c r="C279" i="9"/>
  <c r="D279" i="9" s="1"/>
  <c r="C275" i="9"/>
  <c r="D276" i="9" s="1"/>
  <c r="C273" i="9"/>
  <c r="D274" i="9" s="1"/>
  <c r="C284" i="8"/>
  <c r="D285" i="8" s="1"/>
  <c r="C282" i="8"/>
  <c r="D283" i="8" s="1"/>
  <c r="C280" i="8"/>
  <c r="D281" i="8" s="1"/>
  <c r="C279" i="8"/>
  <c r="D279" i="8" s="1"/>
  <c r="C275" i="8"/>
  <c r="D276" i="8" s="1"/>
  <c r="C273" i="8"/>
  <c r="D274" i="8" s="1"/>
  <c r="C284" i="7"/>
  <c r="D285" i="7" s="1"/>
  <c r="C282" i="7"/>
  <c r="D283" i="7" s="1"/>
  <c r="C280" i="7"/>
  <c r="D281" i="7" s="1"/>
  <c r="C279" i="7"/>
  <c r="D279" i="7" s="1"/>
  <c r="C275" i="7"/>
  <c r="D276" i="7" s="1"/>
  <c r="C273" i="7"/>
  <c r="D274" i="7" s="1"/>
  <c r="C284" i="6"/>
  <c r="D285" i="6" s="1"/>
  <c r="C282" i="6"/>
  <c r="D283" i="6" s="1"/>
  <c r="C280" i="6"/>
  <c r="D281" i="6" s="1"/>
  <c r="C279" i="6"/>
  <c r="D279" i="6" s="1"/>
  <c r="C275" i="6"/>
  <c r="D276" i="6" s="1"/>
  <c r="C273" i="6"/>
  <c r="D274" i="6" s="1"/>
  <c r="C284" i="5"/>
  <c r="D285" i="5" s="1"/>
  <c r="C282" i="5"/>
  <c r="D283" i="5" s="1"/>
  <c r="C280" i="5"/>
  <c r="D281" i="5" s="1"/>
  <c r="C279" i="5"/>
  <c r="D279" i="5" s="1"/>
  <c r="C275" i="5"/>
  <c r="D276" i="5" s="1"/>
  <c r="C273" i="5"/>
  <c r="D274" i="5" s="1"/>
  <c r="C284" i="4"/>
  <c r="D285" i="4" s="1"/>
  <c r="C282" i="4"/>
  <c r="D283" i="4" s="1"/>
  <c r="C280" i="4"/>
  <c r="D281" i="4" s="1"/>
  <c r="C279" i="4"/>
  <c r="D279" i="4" s="1"/>
  <c r="C275" i="4"/>
  <c r="D276" i="4" s="1"/>
  <c r="C273" i="4"/>
  <c r="D274" i="4" s="1"/>
  <c r="C284" i="3"/>
  <c r="D285" i="3"/>
  <c r="C282" i="3"/>
  <c r="D283" i="3" s="1"/>
  <c r="C280" i="3"/>
  <c r="D281" i="3" s="1"/>
  <c r="C279" i="3"/>
  <c r="D279" i="3" s="1"/>
  <c r="C275" i="3"/>
  <c r="D276" i="3"/>
  <c r="C273" i="3"/>
  <c r="D274" i="3" s="1"/>
  <c r="C59" i="3"/>
  <c r="D19" i="39"/>
  <c r="H39" i="18"/>
  <c r="H40" i="18"/>
  <c r="F15" i="18"/>
  <c r="J15" i="18"/>
  <c r="F17" i="18"/>
  <c r="F19" i="18"/>
  <c r="J19" i="18" s="1"/>
  <c r="J23" i="18"/>
  <c r="F25" i="18"/>
  <c r="J25" i="18" s="1"/>
  <c r="F27" i="18"/>
  <c r="J27" i="18" s="1"/>
  <c r="F29" i="18"/>
  <c r="J29" i="18" s="1"/>
  <c r="F31" i="18"/>
  <c r="J31" i="18" s="1"/>
  <c r="F33" i="18"/>
  <c r="J33" i="18" s="1"/>
  <c r="J35" i="18"/>
  <c r="F37" i="18"/>
  <c r="J37" i="18" s="1"/>
  <c r="J18" i="18"/>
  <c r="J20" i="18"/>
  <c r="J24" i="18"/>
  <c r="K24" i="18" s="1"/>
  <c r="M24" i="18" s="1"/>
  <c r="J26" i="18"/>
  <c r="J28" i="18"/>
  <c r="J30" i="18"/>
  <c r="J32" i="18"/>
  <c r="J34" i="18"/>
  <c r="J36" i="18"/>
  <c r="J38" i="18"/>
  <c r="C39" i="18"/>
  <c r="C40" i="18"/>
  <c r="D39" i="18"/>
  <c r="D40" i="18"/>
  <c r="G39" i="18"/>
  <c r="G40" i="18"/>
  <c r="E16" i="18"/>
  <c r="E17" i="18"/>
  <c r="E19" i="18"/>
  <c r="E21" i="18"/>
  <c r="E23" i="18"/>
  <c r="E25" i="18"/>
  <c r="E26" i="18"/>
  <c r="E27" i="18"/>
  <c r="E28" i="18"/>
  <c r="E29" i="18"/>
  <c r="E30" i="18"/>
  <c r="E31" i="18"/>
  <c r="E32" i="18"/>
  <c r="E33" i="18"/>
  <c r="E37" i="18"/>
  <c r="E38" i="18"/>
  <c r="E15" i="18"/>
  <c r="B40" i="18"/>
  <c r="F52" i="15" s="1"/>
  <c r="B39" i="18"/>
  <c r="G22" i="39"/>
  <c r="G21" i="39"/>
  <c r="H19" i="39"/>
  <c r="C54" i="39"/>
  <c r="E54" i="39"/>
  <c r="B54" i="39"/>
  <c r="D43" i="39"/>
  <c r="F43" i="39" s="1"/>
  <c r="D44" i="39"/>
  <c r="F44" i="39" s="1"/>
  <c r="D45" i="39"/>
  <c r="D46" i="39"/>
  <c r="F46" i="39" s="1"/>
  <c r="D47" i="39"/>
  <c r="F47" i="39" s="1"/>
  <c r="D48" i="39"/>
  <c r="F48" i="39" s="1"/>
  <c r="D49" i="39"/>
  <c r="F49" i="39" s="1"/>
  <c r="D50" i="39"/>
  <c r="F50" i="39" s="1"/>
  <c r="D51" i="39"/>
  <c r="F51" i="39" s="1"/>
  <c r="D52" i="39"/>
  <c r="F52" i="39" s="1"/>
  <c r="D53" i="39"/>
  <c r="F53" i="39" s="1"/>
  <c r="D42" i="39"/>
  <c r="C38" i="39"/>
  <c r="B38" i="39"/>
  <c r="D27" i="39"/>
  <c r="D28" i="39"/>
  <c r="D29" i="39"/>
  <c r="D30" i="39"/>
  <c r="D31" i="39"/>
  <c r="D32" i="39"/>
  <c r="D33" i="39"/>
  <c r="D34" i="39"/>
  <c r="D35" i="39"/>
  <c r="D36" i="39"/>
  <c r="D37" i="39"/>
  <c r="D26" i="39"/>
  <c r="E19" i="39"/>
  <c r="F13" i="39"/>
  <c r="F14" i="39"/>
  <c r="F16" i="39"/>
  <c r="F17" i="39"/>
  <c r="G19" i="39"/>
  <c r="D22" i="39"/>
  <c r="D21" i="39"/>
  <c r="B21" i="39"/>
  <c r="B22" i="39"/>
  <c r="E46" i="38"/>
  <c r="E47" i="38"/>
  <c r="E48" i="38"/>
  <c r="E51" i="38"/>
  <c r="E52" i="38"/>
  <c r="E53" i="38"/>
  <c r="E56" i="38"/>
  <c r="E57" i="38"/>
  <c r="I57" i="38" s="1"/>
  <c r="E58" i="38"/>
  <c r="E61" i="38"/>
  <c r="E62" i="38"/>
  <c r="E63" i="38"/>
  <c r="E66" i="38"/>
  <c r="E67" i="38"/>
  <c r="I67" i="38" s="1"/>
  <c r="E68" i="38"/>
  <c r="I68" i="38" s="1"/>
  <c r="K71" i="38"/>
  <c r="C49" i="38"/>
  <c r="C54" i="38"/>
  <c r="C59" i="38"/>
  <c r="C64" i="38"/>
  <c r="C69" i="38"/>
  <c r="M34" i="38"/>
  <c r="E24" i="38"/>
  <c r="D24" i="38" s="1"/>
  <c r="E30" i="38"/>
  <c r="D30" i="38" s="1"/>
  <c r="E29" i="38"/>
  <c r="E31" i="38"/>
  <c r="D31" i="38" s="1"/>
  <c r="E25" i="38"/>
  <c r="D25" i="38" s="1"/>
  <c r="I25" i="38" s="1"/>
  <c r="K25" i="38" s="1"/>
  <c r="E19" i="38"/>
  <c r="E20" i="38"/>
  <c r="D20" i="38" s="1"/>
  <c r="I20" i="38" s="1"/>
  <c r="K20" i="38" s="1"/>
  <c r="E21" i="38"/>
  <c r="D21" i="38" s="1"/>
  <c r="I21" i="38" s="1"/>
  <c r="K21" i="38" s="1"/>
  <c r="E15" i="38"/>
  <c r="D15" i="38" s="1"/>
  <c r="I15" i="38" s="1"/>
  <c r="K15" i="38" s="1"/>
  <c r="E16" i="38"/>
  <c r="E14" i="38"/>
  <c r="D14" i="38" s="1"/>
  <c r="I14" i="38" s="1"/>
  <c r="K14" i="38" s="1"/>
  <c r="E10" i="38"/>
  <c r="D10" i="38" s="1"/>
  <c r="I10" i="38" s="1"/>
  <c r="K10" i="38" s="1"/>
  <c r="E9" i="38"/>
  <c r="D9" i="38" s="1"/>
  <c r="I9" i="38" s="1"/>
  <c r="K9" i="38" s="1"/>
  <c r="D47" i="37"/>
  <c r="D48" i="37"/>
  <c r="F48" i="37" s="1"/>
  <c r="D49" i="37"/>
  <c r="F49" i="37" s="1"/>
  <c r="G49" i="37" s="1"/>
  <c r="H49" i="37" s="1"/>
  <c r="D50" i="37"/>
  <c r="F50" i="37" s="1"/>
  <c r="G50" i="37" s="1"/>
  <c r="E51" i="37"/>
  <c r="E22" i="37" s="1"/>
  <c r="C51" i="37"/>
  <c r="E14" i="37" s="1"/>
  <c r="B51" i="37"/>
  <c r="E12" i="37" s="1"/>
  <c r="D39" i="37"/>
  <c r="F39" i="37" s="1"/>
  <c r="D40" i="37"/>
  <c r="F40" i="37" s="1"/>
  <c r="D41" i="37"/>
  <c r="F41" i="37" s="1"/>
  <c r="D42" i="37"/>
  <c r="E43" i="37"/>
  <c r="G22" i="37" s="1"/>
  <c r="C43" i="37"/>
  <c r="G14" i="37" s="1"/>
  <c r="B43" i="37"/>
  <c r="G12" i="37" s="1"/>
  <c r="D21" i="17"/>
  <c r="F21" i="17" s="1"/>
  <c r="D22" i="17"/>
  <c r="D23" i="17"/>
  <c r="F23" i="17" s="1"/>
  <c r="D24" i="17"/>
  <c r="F24" i="17" s="1"/>
  <c r="D25" i="17"/>
  <c r="F25" i="17" s="1"/>
  <c r="D26" i="17"/>
  <c r="D20" i="17"/>
  <c r="AC197" i="3"/>
  <c r="AC197" i="4"/>
  <c r="AA36" i="15" s="1"/>
  <c r="AC197" i="5"/>
  <c r="AA37" i="15" s="1"/>
  <c r="AC197" i="6"/>
  <c r="AA38" i="15" s="1"/>
  <c r="AC197" i="7"/>
  <c r="AC197" i="8"/>
  <c r="AA40" i="15" s="1"/>
  <c r="AC197" i="9"/>
  <c r="AA41" i="15" s="1"/>
  <c r="AC197" i="10"/>
  <c r="AA42" i="15" s="1"/>
  <c r="AC197" i="11"/>
  <c r="AA43" i="15" s="1"/>
  <c r="AC197" i="12"/>
  <c r="AA44" i="15" s="1"/>
  <c r="AC197" i="13"/>
  <c r="AA45" i="15" s="1"/>
  <c r="AC197" i="14"/>
  <c r="AA46" i="15" s="1"/>
  <c r="AB197" i="3"/>
  <c r="Z35" i="15" s="1"/>
  <c r="AB197" i="4"/>
  <c r="Z36" i="15" s="1"/>
  <c r="AB197" i="5"/>
  <c r="Z37" i="15" s="1"/>
  <c r="AB197" i="6"/>
  <c r="Z38" i="15" s="1"/>
  <c r="AB197" i="7"/>
  <c r="Z39" i="15" s="1"/>
  <c r="AB197" i="8"/>
  <c r="Z40" i="15" s="1"/>
  <c r="AB197" i="9"/>
  <c r="Z41" i="15" s="1"/>
  <c r="AB197" i="10"/>
  <c r="AB197" i="11"/>
  <c r="Z43" i="15" s="1"/>
  <c r="AB197" i="12"/>
  <c r="Z44" i="15" s="1"/>
  <c r="AB197" i="13"/>
  <c r="Z45" i="15" s="1"/>
  <c r="AB197" i="14"/>
  <c r="Z46" i="15" s="1"/>
  <c r="AA197" i="3"/>
  <c r="Y35" i="15" s="1"/>
  <c r="AA197" i="4"/>
  <c r="Y36" i="15" s="1"/>
  <c r="AA197" i="5"/>
  <c r="Y37" i="15"/>
  <c r="AA197" i="6"/>
  <c r="Y38" i="15"/>
  <c r="AA197" i="7"/>
  <c r="Y39" i="15" s="1"/>
  <c r="AA197" i="8"/>
  <c r="Y40" i="15" s="1"/>
  <c r="AA197" i="9"/>
  <c r="Y41" i="15" s="1"/>
  <c r="AA197" i="10"/>
  <c r="Y42" i="15"/>
  <c r="AA197" i="11"/>
  <c r="Y43" i="15" s="1"/>
  <c r="AA197" i="12"/>
  <c r="Y44" i="15"/>
  <c r="AA197" i="13"/>
  <c r="Y45" i="15"/>
  <c r="AA197" i="14"/>
  <c r="Y46" i="15" s="1"/>
  <c r="Z197" i="3"/>
  <c r="X35" i="15" s="1"/>
  <c r="Y197" i="3"/>
  <c r="W35" i="15" s="1"/>
  <c r="S12" i="15" s="1"/>
  <c r="Y197" i="4"/>
  <c r="W36" i="15" s="1"/>
  <c r="S13" i="15" s="1"/>
  <c r="Y197" i="5"/>
  <c r="W37" i="15" s="1"/>
  <c r="S14" i="15" s="1"/>
  <c r="Y197" i="6"/>
  <c r="W38" i="15" s="1"/>
  <c r="S15" i="15" s="1"/>
  <c r="Y197" i="7"/>
  <c r="Y197" i="8"/>
  <c r="Y197" i="9"/>
  <c r="W41" i="15" s="1"/>
  <c r="S18" i="15" s="1"/>
  <c r="Y197" i="10"/>
  <c r="W42" i="15" s="1"/>
  <c r="S19" i="15" s="1"/>
  <c r="Y197" i="11"/>
  <c r="W43" i="15" s="1"/>
  <c r="S20" i="15" s="1"/>
  <c r="Y197" i="12"/>
  <c r="W44" i="15" s="1"/>
  <c r="S21" i="15" s="1"/>
  <c r="Y197" i="13"/>
  <c r="W45" i="15" s="1"/>
  <c r="S22" i="15" s="1"/>
  <c r="Y197" i="14"/>
  <c r="W46" i="15" s="1"/>
  <c r="S23" i="15" s="1"/>
  <c r="X197" i="3"/>
  <c r="V35" i="15"/>
  <c r="W197" i="3"/>
  <c r="U35" i="15"/>
  <c r="W197" i="4"/>
  <c r="U36" i="15" s="1"/>
  <c r="W197" i="5"/>
  <c r="U37" i="15"/>
  <c r="W197" i="6"/>
  <c r="W197" i="7"/>
  <c r="U39" i="15" s="1"/>
  <c r="W197" i="8"/>
  <c r="U40" i="15" s="1"/>
  <c r="W197" i="9"/>
  <c r="U41" i="15" s="1"/>
  <c r="W197" i="10"/>
  <c r="U42" i="15" s="1"/>
  <c r="W197" i="11"/>
  <c r="U43" i="15" s="1"/>
  <c r="W197" i="12"/>
  <c r="U44" i="15" s="1"/>
  <c r="W197" i="13"/>
  <c r="U45" i="15" s="1"/>
  <c r="W197" i="14"/>
  <c r="U46" i="15" s="1"/>
  <c r="V197" i="3"/>
  <c r="T35" i="15" s="1"/>
  <c r="U197" i="3"/>
  <c r="S35" i="15" s="1"/>
  <c r="T197" i="3"/>
  <c r="R35" i="15" s="1"/>
  <c r="T197" i="4"/>
  <c r="R36" i="15" s="1"/>
  <c r="T197" i="5"/>
  <c r="R37" i="15" s="1"/>
  <c r="T197" i="6"/>
  <c r="R38" i="15" s="1"/>
  <c r="T197" i="7"/>
  <c r="T197" i="8"/>
  <c r="R40" i="15" s="1"/>
  <c r="T197" i="9"/>
  <c r="R41" i="15" s="1"/>
  <c r="T197" i="10"/>
  <c r="R42" i="15" s="1"/>
  <c r="T197" i="11"/>
  <c r="R43" i="15" s="1"/>
  <c r="T197" i="12"/>
  <c r="R44" i="15" s="1"/>
  <c r="T197" i="13"/>
  <c r="R45" i="15" s="1"/>
  <c r="T197" i="14"/>
  <c r="R46" i="15" s="1"/>
  <c r="S197" i="3"/>
  <c r="Q35" i="15" s="1"/>
  <c r="R197" i="3"/>
  <c r="P35" i="15"/>
  <c r="Q197" i="3"/>
  <c r="O35" i="15" s="1"/>
  <c r="P197" i="3"/>
  <c r="P197" i="4"/>
  <c r="N36" i="15" s="1"/>
  <c r="P197" i="5"/>
  <c r="P197" i="6"/>
  <c r="N38" i="15" s="1"/>
  <c r="P197" i="7"/>
  <c r="N39" i="15" s="1"/>
  <c r="P197" i="8"/>
  <c r="N40" i="15" s="1"/>
  <c r="P197" i="9"/>
  <c r="N41" i="15" s="1"/>
  <c r="P197" i="10"/>
  <c r="N42" i="15" s="1"/>
  <c r="P197" i="11"/>
  <c r="N43" i="15" s="1"/>
  <c r="P197" i="12"/>
  <c r="N44" i="15" s="1"/>
  <c r="P197" i="13"/>
  <c r="N45" i="15" s="1"/>
  <c r="P197" i="14"/>
  <c r="N46" i="15" s="1"/>
  <c r="O197" i="3"/>
  <c r="O197" i="4"/>
  <c r="M36" i="15" s="1"/>
  <c r="O197" i="5"/>
  <c r="M37" i="15" s="1"/>
  <c r="O197" i="6"/>
  <c r="M38" i="15"/>
  <c r="O197" i="7"/>
  <c r="M39" i="15" s="1"/>
  <c r="O197" i="8"/>
  <c r="M40" i="15" s="1"/>
  <c r="O197" i="9"/>
  <c r="M41" i="15" s="1"/>
  <c r="O197" i="10"/>
  <c r="M42" i="15" s="1"/>
  <c r="O197" i="11"/>
  <c r="O197" i="12"/>
  <c r="M44" i="15" s="1"/>
  <c r="O197" i="13"/>
  <c r="M45" i="15" s="1"/>
  <c r="O197" i="14"/>
  <c r="M46" i="15" s="1"/>
  <c r="N197" i="3"/>
  <c r="L35" i="15" s="1"/>
  <c r="M197" i="3"/>
  <c r="K35" i="15" s="1"/>
  <c r="M197" i="4"/>
  <c r="K36" i="15" s="1"/>
  <c r="M197" i="5"/>
  <c r="K37" i="15"/>
  <c r="M197" i="6"/>
  <c r="K38" i="15" s="1"/>
  <c r="M197" i="7"/>
  <c r="K39" i="15" s="1"/>
  <c r="M197" i="8"/>
  <c r="K40" i="15" s="1"/>
  <c r="M197" i="9"/>
  <c r="K41" i="15" s="1"/>
  <c r="M197" i="10"/>
  <c r="K42" i="15" s="1"/>
  <c r="M197" i="11"/>
  <c r="K43" i="15" s="1"/>
  <c r="M197" i="12"/>
  <c r="K44" i="15" s="1"/>
  <c r="M197" i="13"/>
  <c r="K45" i="15" s="1"/>
  <c r="L30" i="18" s="1"/>
  <c r="L41" i="18" s="1"/>
  <c r="M197" i="14"/>
  <c r="K46" i="15" s="1"/>
  <c r="L197" i="3"/>
  <c r="J35" i="15" s="1"/>
  <c r="K197" i="3"/>
  <c r="I35" i="15" s="1"/>
  <c r="K197" i="4"/>
  <c r="I36" i="15" s="1"/>
  <c r="K197" i="5"/>
  <c r="I37" i="15" s="1"/>
  <c r="K197" i="6"/>
  <c r="I38" i="15" s="1"/>
  <c r="K197" i="7"/>
  <c r="I39" i="15" s="1"/>
  <c r="K197" i="8"/>
  <c r="I40" i="15" s="1"/>
  <c r="K197" i="9"/>
  <c r="I41" i="15" s="1"/>
  <c r="K197" i="10"/>
  <c r="I42" i="15" s="1"/>
  <c r="K197" i="11"/>
  <c r="I43" i="15" s="1"/>
  <c r="K197" i="12"/>
  <c r="I44" i="15" s="1"/>
  <c r="K197" i="13"/>
  <c r="K197" i="14"/>
  <c r="I46" i="15" s="1"/>
  <c r="J197" i="3"/>
  <c r="H35" i="15" s="1"/>
  <c r="I197" i="3"/>
  <c r="H197" i="3"/>
  <c r="D197" i="3"/>
  <c r="L54" i="3"/>
  <c r="M54" i="3"/>
  <c r="N54" i="3"/>
  <c r="N16" i="4" s="1"/>
  <c r="N54" i="4" s="1"/>
  <c r="N16" i="5" s="1"/>
  <c r="N54" i="5" s="1"/>
  <c r="N16" i="6" s="1"/>
  <c r="N54" i="6" s="1"/>
  <c r="O54" i="3"/>
  <c r="D198" i="3"/>
  <c r="AD81" i="14"/>
  <c r="AE81" i="14"/>
  <c r="AD82" i="14"/>
  <c r="AE82" i="14"/>
  <c r="AD84" i="14"/>
  <c r="AE84" i="14"/>
  <c r="AD85" i="14"/>
  <c r="AE85" i="14"/>
  <c r="AD86" i="14"/>
  <c r="AE86" i="14"/>
  <c r="AD87" i="14"/>
  <c r="AE87" i="14"/>
  <c r="AD88" i="14"/>
  <c r="AE88" i="14"/>
  <c r="AD89" i="14"/>
  <c r="AE89" i="14"/>
  <c r="AD90" i="14"/>
  <c r="AE90" i="14"/>
  <c r="AF90" i="14" s="1"/>
  <c r="AD91" i="14"/>
  <c r="AE91" i="14"/>
  <c r="AD92" i="14"/>
  <c r="AE92" i="14"/>
  <c r="AD93" i="14"/>
  <c r="AE93" i="14"/>
  <c r="AD94" i="14"/>
  <c r="AE94" i="14"/>
  <c r="AF94" i="14" s="1"/>
  <c r="AD95" i="14"/>
  <c r="AE95" i="14"/>
  <c r="AD96" i="14"/>
  <c r="AE96" i="14"/>
  <c r="AD97" i="14"/>
  <c r="AE97" i="14"/>
  <c r="AD98" i="14"/>
  <c r="AE98" i="14"/>
  <c r="AD99" i="14"/>
  <c r="AE99" i="14"/>
  <c r="AD100" i="14"/>
  <c r="AE100" i="14"/>
  <c r="AD101" i="14"/>
  <c r="AE101" i="14"/>
  <c r="AD102" i="14"/>
  <c r="AE102" i="14"/>
  <c r="AD103" i="14"/>
  <c r="AE103" i="14"/>
  <c r="AD104" i="14"/>
  <c r="AE104" i="14"/>
  <c r="AD105" i="14"/>
  <c r="AE105" i="14"/>
  <c r="AD106" i="14"/>
  <c r="AE106" i="14"/>
  <c r="AD107" i="14"/>
  <c r="AE107" i="14"/>
  <c r="AD108" i="14"/>
  <c r="AE108" i="14"/>
  <c r="AD196" i="14"/>
  <c r="AE196" i="14"/>
  <c r="AE83" i="14"/>
  <c r="AE109" i="14"/>
  <c r="AE110" i="14"/>
  <c r="AE111" i="14"/>
  <c r="AF111" i="14" s="1"/>
  <c r="AE112" i="14"/>
  <c r="AE113" i="14"/>
  <c r="AE114" i="14"/>
  <c r="AE115" i="14"/>
  <c r="AD115" i="14"/>
  <c r="AE116" i="14"/>
  <c r="AE117" i="14"/>
  <c r="AE118" i="14"/>
  <c r="AE119" i="14"/>
  <c r="AE120" i="14"/>
  <c r="AE121" i="14"/>
  <c r="AE122" i="14"/>
  <c r="AE123" i="14"/>
  <c r="AD123" i="14"/>
  <c r="AE124" i="14"/>
  <c r="AE125" i="14"/>
  <c r="AE126" i="14"/>
  <c r="AE127" i="14"/>
  <c r="AE128" i="14"/>
  <c r="AE129" i="14"/>
  <c r="AE130" i="14"/>
  <c r="AE131" i="14"/>
  <c r="AD131" i="14"/>
  <c r="AE132" i="14"/>
  <c r="AE133" i="14"/>
  <c r="AE134" i="14"/>
  <c r="AE135" i="14"/>
  <c r="AE136" i="14"/>
  <c r="AE137" i="14"/>
  <c r="AE138" i="14"/>
  <c r="AE139" i="14"/>
  <c r="AE140" i="14"/>
  <c r="AE141" i="14"/>
  <c r="AE142" i="14"/>
  <c r="AE143" i="14"/>
  <c r="AE144" i="14"/>
  <c r="AE145" i="14"/>
  <c r="AE146" i="14"/>
  <c r="AE147" i="14"/>
  <c r="AE148" i="14"/>
  <c r="AE149" i="14"/>
  <c r="AE150" i="14"/>
  <c r="AE151" i="14"/>
  <c r="AE152" i="14"/>
  <c r="AE153" i="14"/>
  <c r="AE154" i="14"/>
  <c r="AE155" i="14"/>
  <c r="AD155" i="14"/>
  <c r="AF155" i="14" s="1"/>
  <c r="AE156" i="14"/>
  <c r="AE157" i="14"/>
  <c r="AE158" i="14"/>
  <c r="AE159" i="14"/>
  <c r="AE160" i="14"/>
  <c r="AE161" i="14"/>
  <c r="AE162" i="14"/>
  <c r="AE163" i="14"/>
  <c r="AE164" i="14"/>
  <c r="AE165" i="14"/>
  <c r="AE166" i="14"/>
  <c r="AE167" i="14"/>
  <c r="AE168" i="14"/>
  <c r="AE169" i="14"/>
  <c r="AD169" i="14"/>
  <c r="AE170" i="14"/>
  <c r="AE171" i="14"/>
  <c r="AE172" i="14"/>
  <c r="AE173" i="14"/>
  <c r="AE174" i="14"/>
  <c r="AE175" i="14"/>
  <c r="AE176" i="14"/>
  <c r="AE177" i="14"/>
  <c r="AE178" i="14"/>
  <c r="AE179" i="14"/>
  <c r="AE180" i="14"/>
  <c r="AD180" i="14"/>
  <c r="AE181" i="14"/>
  <c r="AE182" i="14"/>
  <c r="AE183" i="14"/>
  <c r="AE184" i="14"/>
  <c r="AE185" i="14"/>
  <c r="AE186" i="14"/>
  <c r="AE187" i="14"/>
  <c r="AE188" i="14"/>
  <c r="AE189" i="14"/>
  <c r="AE190" i="14"/>
  <c r="AE191" i="14"/>
  <c r="AE192" i="14"/>
  <c r="AE193" i="14"/>
  <c r="AE194" i="14"/>
  <c r="AE195" i="14"/>
  <c r="AD83" i="14"/>
  <c r="AD109" i="14"/>
  <c r="AD110" i="14"/>
  <c r="AD111" i="14"/>
  <c r="AD112" i="14"/>
  <c r="AD113" i="14"/>
  <c r="AD114" i="14"/>
  <c r="AD116" i="14"/>
  <c r="AD117" i="14"/>
  <c r="AF117" i="14" s="1"/>
  <c r="AD118" i="14"/>
  <c r="AD119" i="14"/>
  <c r="AD120" i="14"/>
  <c r="AD121" i="14"/>
  <c r="AD122" i="14"/>
  <c r="AD124" i="14"/>
  <c r="AD125" i="14"/>
  <c r="AD126" i="14"/>
  <c r="AD127" i="14"/>
  <c r="AD128" i="14"/>
  <c r="AD129" i="14"/>
  <c r="AD130" i="14"/>
  <c r="AD132" i="14"/>
  <c r="AD133" i="14"/>
  <c r="AD134" i="14"/>
  <c r="AD135" i="14"/>
  <c r="AD136" i="14"/>
  <c r="AD137" i="14"/>
  <c r="AD138" i="14"/>
  <c r="AD139" i="14"/>
  <c r="AF139" i="14" s="1"/>
  <c r="AD140" i="14"/>
  <c r="AD141" i="14"/>
  <c r="AD142" i="14"/>
  <c r="AD143" i="14"/>
  <c r="AD144" i="14"/>
  <c r="AD145" i="14"/>
  <c r="AF145" i="14" s="1"/>
  <c r="AD146" i="14"/>
  <c r="AD147" i="14"/>
  <c r="AD148" i="14"/>
  <c r="AD149" i="14"/>
  <c r="AD150" i="14"/>
  <c r="AD151" i="14"/>
  <c r="AF151" i="14" s="1"/>
  <c r="AD152" i="14"/>
  <c r="AD153" i="14"/>
  <c r="AD154" i="14"/>
  <c r="AD156" i="14"/>
  <c r="AD157" i="14"/>
  <c r="AD158" i="14"/>
  <c r="AD159" i="14"/>
  <c r="AD160" i="14"/>
  <c r="AD161" i="14"/>
  <c r="AD162" i="14"/>
  <c r="AD163" i="14"/>
  <c r="AD164" i="14"/>
  <c r="AD165" i="14"/>
  <c r="AF165" i="14" s="1"/>
  <c r="AG165" i="14" s="1"/>
  <c r="AD166" i="14"/>
  <c r="AF166" i="14"/>
  <c r="AG166" i="14" s="1"/>
  <c r="AD167" i="14"/>
  <c r="AD168" i="14"/>
  <c r="AD170" i="14"/>
  <c r="AD171" i="14"/>
  <c r="AD172" i="14"/>
  <c r="AD173" i="14"/>
  <c r="AD174" i="14"/>
  <c r="AD175" i="14"/>
  <c r="AD176" i="14"/>
  <c r="AD177" i="14"/>
  <c r="AF177" i="14"/>
  <c r="AG177" i="14" s="1"/>
  <c r="AD178" i="14"/>
  <c r="AD179" i="14"/>
  <c r="AD181" i="14"/>
  <c r="AD182" i="14"/>
  <c r="AD183" i="14"/>
  <c r="AD184" i="14"/>
  <c r="AD185" i="14"/>
  <c r="AD186" i="14"/>
  <c r="AD187" i="14"/>
  <c r="AD188" i="14"/>
  <c r="AD189" i="14"/>
  <c r="AD190" i="14"/>
  <c r="AD191" i="14"/>
  <c r="AD192" i="14"/>
  <c r="AD193" i="14"/>
  <c r="AD194" i="14"/>
  <c r="AD195" i="14"/>
  <c r="AD81" i="13"/>
  <c r="AE81" i="13"/>
  <c r="AD82" i="13"/>
  <c r="AE82" i="13"/>
  <c r="AD83" i="13"/>
  <c r="AE83" i="13"/>
  <c r="AD84" i="13"/>
  <c r="AE84" i="13"/>
  <c r="AD85" i="13"/>
  <c r="AE85" i="13"/>
  <c r="AD86" i="13"/>
  <c r="AE86" i="13"/>
  <c r="AD87" i="13"/>
  <c r="AE87" i="13"/>
  <c r="AD88" i="13"/>
  <c r="AE88" i="13"/>
  <c r="AD89" i="13"/>
  <c r="AE89" i="13"/>
  <c r="AD90" i="13"/>
  <c r="AE90" i="13"/>
  <c r="AD91" i="13"/>
  <c r="AE91" i="13"/>
  <c r="AD92" i="13"/>
  <c r="AE92" i="13"/>
  <c r="AD93" i="13"/>
  <c r="AE93" i="13"/>
  <c r="AD94" i="13"/>
  <c r="AE94" i="13"/>
  <c r="AD95" i="13"/>
  <c r="AE95" i="13"/>
  <c r="AD96" i="13"/>
  <c r="AE96" i="13"/>
  <c r="AD97" i="13"/>
  <c r="AE97" i="13"/>
  <c r="AD98" i="13"/>
  <c r="AE98" i="13"/>
  <c r="AD99" i="13"/>
  <c r="AE99" i="13"/>
  <c r="AD100" i="13"/>
  <c r="AE100" i="13"/>
  <c r="AD101" i="13"/>
  <c r="AE101" i="13"/>
  <c r="AD102" i="13"/>
  <c r="AE102" i="13"/>
  <c r="AD103" i="13"/>
  <c r="AE103" i="13"/>
  <c r="AF103" i="13" s="1"/>
  <c r="AD104" i="13"/>
  <c r="AE104" i="13"/>
  <c r="AD105" i="13"/>
  <c r="AE105" i="13"/>
  <c r="AD106" i="13"/>
  <c r="AE106" i="13"/>
  <c r="AF106" i="13" s="1"/>
  <c r="AD107" i="13"/>
  <c r="AE107" i="13"/>
  <c r="AD108" i="13"/>
  <c r="AE108" i="13"/>
  <c r="AD196" i="13"/>
  <c r="AE196" i="13"/>
  <c r="AE109" i="13"/>
  <c r="AE110" i="13"/>
  <c r="AE111" i="13"/>
  <c r="AD111" i="13"/>
  <c r="AE112" i="13"/>
  <c r="AE113" i="13"/>
  <c r="AF113" i="13" s="1"/>
  <c r="AE114" i="13"/>
  <c r="AE115" i="13"/>
  <c r="AE116" i="13"/>
  <c r="AE117" i="13"/>
  <c r="AE118" i="13"/>
  <c r="AE119" i="13"/>
  <c r="AE120" i="13"/>
  <c r="AE121" i="13"/>
  <c r="AE122" i="13"/>
  <c r="AE123" i="13"/>
  <c r="AE124" i="13"/>
  <c r="AE125" i="13"/>
  <c r="AD125" i="13"/>
  <c r="AE126" i="13"/>
  <c r="AE127" i="13"/>
  <c r="AE128" i="13"/>
  <c r="AE129" i="13"/>
  <c r="AE130" i="13"/>
  <c r="AE131" i="13"/>
  <c r="AE132" i="13"/>
  <c r="AE133" i="13"/>
  <c r="AE134" i="13"/>
  <c r="AE135" i="13"/>
  <c r="AE136" i="13"/>
  <c r="AE137" i="13"/>
  <c r="AE138" i="13"/>
  <c r="AE139" i="13"/>
  <c r="AE140" i="13"/>
  <c r="AE141" i="13"/>
  <c r="AE142" i="13"/>
  <c r="AE143" i="13"/>
  <c r="AE144" i="13"/>
  <c r="AE145" i="13"/>
  <c r="AE146" i="13"/>
  <c r="AE147" i="13"/>
  <c r="AE148" i="13"/>
  <c r="AE149" i="13"/>
  <c r="AD149" i="13"/>
  <c r="AE150" i="13"/>
  <c r="AE151" i="13"/>
  <c r="AE152" i="13"/>
  <c r="AE153" i="13"/>
  <c r="AE154" i="13"/>
  <c r="AE155" i="13"/>
  <c r="AE156" i="13"/>
  <c r="AE157" i="13"/>
  <c r="AE158" i="13"/>
  <c r="AE159" i="13"/>
  <c r="AE160" i="13"/>
  <c r="AE161" i="13"/>
  <c r="AE162" i="13"/>
  <c r="AE163" i="13"/>
  <c r="AE164" i="13"/>
  <c r="AE165" i="13"/>
  <c r="AE166" i="13"/>
  <c r="AE167" i="13"/>
  <c r="AE168" i="13"/>
  <c r="AE169" i="13"/>
  <c r="AE170" i="13"/>
  <c r="AE171" i="13"/>
  <c r="AE172" i="13"/>
  <c r="AE173" i="13"/>
  <c r="AE174" i="13"/>
  <c r="AE175" i="13"/>
  <c r="AE176" i="13"/>
  <c r="AE177" i="13"/>
  <c r="AE178" i="13"/>
  <c r="AE179" i="13"/>
  <c r="AE180" i="13"/>
  <c r="AE181" i="13"/>
  <c r="AD181" i="13"/>
  <c r="AE182" i="13"/>
  <c r="AE183" i="13"/>
  <c r="AE184" i="13"/>
  <c r="AE185" i="13"/>
  <c r="AE186" i="13"/>
  <c r="AE187" i="13"/>
  <c r="AE188" i="13"/>
  <c r="AE189" i="13"/>
  <c r="AE190" i="13"/>
  <c r="AE191" i="13"/>
  <c r="AE192" i="13"/>
  <c r="AE193" i="13"/>
  <c r="AE194" i="13"/>
  <c r="AE195" i="13"/>
  <c r="AD109" i="13"/>
  <c r="AD110" i="13"/>
  <c r="AD112" i="13"/>
  <c r="AD113" i="13"/>
  <c r="AD114" i="13"/>
  <c r="AD115" i="13"/>
  <c r="AD116" i="13"/>
  <c r="AD117" i="13"/>
  <c r="AD118" i="13"/>
  <c r="AF118" i="13" s="1"/>
  <c r="AD119" i="13"/>
  <c r="AD120" i="13"/>
  <c r="AD121" i="13"/>
  <c r="AD122" i="13"/>
  <c r="AD123" i="13"/>
  <c r="AD124" i="13"/>
  <c r="AF124" i="13" s="1"/>
  <c r="AD126" i="13"/>
  <c r="AD127" i="13"/>
  <c r="AD128" i="13"/>
  <c r="AD129" i="13"/>
  <c r="AD130" i="13"/>
  <c r="AD131" i="13"/>
  <c r="AD132" i="13"/>
  <c r="AD133" i="13"/>
  <c r="AD134" i="13"/>
  <c r="AD135" i="13"/>
  <c r="AD136" i="13"/>
  <c r="AD137" i="13"/>
  <c r="AF137" i="13" s="1"/>
  <c r="AD138" i="13"/>
  <c r="AD139" i="13"/>
  <c r="AD140" i="13"/>
  <c r="AD141" i="13"/>
  <c r="AD142" i="13"/>
  <c r="AD143" i="13"/>
  <c r="AD144" i="13"/>
  <c r="AD145" i="13"/>
  <c r="AD146" i="13"/>
  <c r="AD147" i="13"/>
  <c r="AD148" i="13"/>
  <c r="AD150" i="13"/>
  <c r="AD151" i="13"/>
  <c r="AD152" i="13"/>
  <c r="AF152" i="13" s="1"/>
  <c r="AD153" i="13"/>
  <c r="AD154" i="13"/>
  <c r="AD155" i="13"/>
  <c r="AD156" i="13"/>
  <c r="AD157" i="13"/>
  <c r="AD158" i="13"/>
  <c r="AD159" i="13"/>
  <c r="AD160" i="13"/>
  <c r="AD161" i="13"/>
  <c r="AD162" i="13"/>
  <c r="AD163" i="13"/>
  <c r="AD164" i="13"/>
  <c r="AD165" i="13"/>
  <c r="AD166" i="13"/>
  <c r="AD167" i="13"/>
  <c r="AD168" i="13"/>
  <c r="AD169" i="13"/>
  <c r="AD170" i="13"/>
  <c r="AD171" i="13"/>
  <c r="AD172" i="13"/>
  <c r="AD173" i="13"/>
  <c r="AD174" i="13"/>
  <c r="AD175" i="13"/>
  <c r="AD176" i="13"/>
  <c r="AF176" i="13" s="1"/>
  <c r="AD177" i="13"/>
  <c r="AD178" i="13"/>
  <c r="AD179" i="13"/>
  <c r="AD180" i="13"/>
  <c r="AD182" i="13"/>
  <c r="AD183" i="13"/>
  <c r="AD184" i="13"/>
  <c r="AD185" i="13"/>
  <c r="AD186" i="13"/>
  <c r="AD187" i="13"/>
  <c r="AF187" i="13" s="1"/>
  <c r="AD188" i="13"/>
  <c r="AD189" i="13"/>
  <c r="AD190" i="13"/>
  <c r="AD191" i="13"/>
  <c r="AF191" i="13"/>
  <c r="AG191" i="13" s="1"/>
  <c r="AD192" i="13"/>
  <c r="AD193" i="13"/>
  <c r="AD194" i="13"/>
  <c r="AD195" i="13"/>
  <c r="AD81" i="12"/>
  <c r="AE81" i="12"/>
  <c r="AD82" i="12"/>
  <c r="AE82" i="12"/>
  <c r="AD83" i="12"/>
  <c r="AE83" i="12"/>
  <c r="AD84" i="12"/>
  <c r="AE84" i="12"/>
  <c r="AD85" i="12"/>
  <c r="AE85" i="12"/>
  <c r="AD86" i="12"/>
  <c r="AE86" i="12"/>
  <c r="AD87" i="12"/>
  <c r="AE87" i="12"/>
  <c r="AD88" i="12"/>
  <c r="AE88" i="12"/>
  <c r="AD89" i="12"/>
  <c r="AE89" i="12"/>
  <c r="AD90" i="12"/>
  <c r="AE90" i="12"/>
  <c r="AD91" i="12"/>
  <c r="AE91" i="12"/>
  <c r="AD92" i="12"/>
  <c r="AE92" i="12"/>
  <c r="AD93" i="12"/>
  <c r="AE93" i="12"/>
  <c r="AD94" i="12"/>
  <c r="AE94" i="12"/>
  <c r="AD95" i="12"/>
  <c r="AE95" i="12"/>
  <c r="AD96" i="12"/>
  <c r="AE96" i="12"/>
  <c r="AD97" i="12"/>
  <c r="AF97" i="12" s="1"/>
  <c r="AE97" i="12"/>
  <c r="AD98" i="12"/>
  <c r="AE98" i="12"/>
  <c r="AD99" i="12"/>
  <c r="AE99" i="12"/>
  <c r="AD100" i="12"/>
  <c r="AE100" i="12"/>
  <c r="AD101" i="12"/>
  <c r="AE101" i="12"/>
  <c r="AD102" i="12"/>
  <c r="AE102" i="12"/>
  <c r="AD103" i="12"/>
  <c r="AE103" i="12"/>
  <c r="AD104" i="12"/>
  <c r="AE104" i="12"/>
  <c r="AF104" i="12" s="1"/>
  <c r="AD105" i="12"/>
  <c r="AE105" i="12"/>
  <c r="AD106" i="12"/>
  <c r="AE106" i="12"/>
  <c r="AD107" i="12"/>
  <c r="AE107" i="12"/>
  <c r="AD108" i="12"/>
  <c r="AE108" i="12"/>
  <c r="AD196" i="12"/>
  <c r="AE196" i="12"/>
  <c r="AE109" i="12"/>
  <c r="AE110" i="12"/>
  <c r="AE111" i="12"/>
  <c r="AE112" i="12"/>
  <c r="AE113" i="12"/>
  <c r="AE114" i="12"/>
  <c r="AE115" i="12"/>
  <c r="AE116" i="12"/>
  <c r="AE117" i="12"/>
  <c r="AE118" i="12"/>
  <c r="AE119" i="12"/>
  <c r="AE120" i="12"/>
  <c r="AE121" i="12"/>
  <c r="AE122" i="12"/>
  <c r="AE123" i="12"/>
  <c r="AE124" i="12"/>
  <c r="AE125" i="12"/>
  <c r="AE126" i="12"/>
  <c r="AE127" i="12"/>
  <c r="AE128" i="12"/>
  <c r="AD128" i="12"/>
  <c r="AE129" i="12"/>
  <c r="AE130" i="12"/>
  <c r="AE131" i="12"/>
  <c r="AE132" i="12"/>
  <c r="AE133" i="12"/>
  <c r="AE134" i="12"/>
  <c r="AE135" i="12"/>
  <c r="AE136" i="12"/>
  <c r="AD136" i="12"/>
  <c r="AE137" i="12"/>
  <c r="AE138" i="12"/>
  <c r="AE139" i="12"/>
  <c r="AE140" i="12"/>
  <c r="AE141" i="12"/>
  <c r="AE142" i="12"/>
  <c r="AE143" i="12"/>
  <c r="AE144" i="12"/>
  <c r="AE145" i="12"/>
  <c r="AE146" i="12"/>
  <c r="AE147" i="12"/>
  <c r="AE148" i="12"/>
  <c r="AE149" i="12"/>
  <c r="AE150" i="12"/>
  <c r="AE151" i="12"/>
  <c r="AE152" i="12"/>
  <c r="AD152" i="12"/>
  <c r="AE153" i="12"/>
  <c r="AE154" i="12"/>
  <c r="AE155" i="12"/>
  <c r="AE156" i="12"/>
  <c r="AE157" i="12"/>
  <c r="AE158" i="12"/>
  <c r="AE159" i="12"/>
  <c r="AE160" i="12"/>
  <c r="AE161" i="12"/>
  <c r="AE162" i="12"/>
  <c r="AE163" i="12"/>
  <c r="AE164" i="12"/>
  <c r="AE165" i="12"/>
  <c r="AE166" i="12"/>
  <c r="AE167" i="12"/>
  <c r="AE168" i="12"/>
  <c r="AE169" i="12"/>
  <c r="AE170" i="12"/>
  <c r="AE171" i="12"/>
  <c r="AE172" i="12"/>
  <c r="AD172" i="12"/>
  <c r="AE173" i="12"/>
  <c r="AE174" i="12"/>
  <c r="AE175" i="12"/>
  <c r="AE176" i="12"/>
  <c r="AE177" i="12"/>
  <c r="AE178" i="12"/>
  <c r="AE179" i="12"/>
  <c r="AE180" i="12"/>
  <c r="AE181" i="12"/>
  <c r="AE182" i="12"/>
  <c r="AE183" i="12"/>
  <c r="AE184" i="12"/>
  <c r="AD184" i="12"/>
  <c r="AE185" i="12"/>
  <c r="AE186" i="12"/>
  <c r="AE187" i="12"/>
  <c r="AE188" i="12"/>
  <c r="AE189" i="12"/>
  <c r="AE190" i="12"/>
  <c r="AE191" i="12"/>
  <c r="AE192" i="12"/>
  <c r="AE193" i="12"/>
  <c r="AE194" i="12"/>
  <c r="AE195" i="12"/>
  <c r="AD109" i="12"/>
  <c r="AD110" i="12"/>
  <c r="AD111" i="12"/>
  <c r="AD112" i="12"/>
  <c r="AD113" i="12"/>
  <c r="AD114" i="12"/>
  <c r="AF114" i="12" s="1"/>
  <c r="AD115" i="12"/>
  <c r="AD116" i="12"/>
  <c r="AF116" i="12" s="1"/>
  <c r="AD117" i="12"/>
  <c r="AD118" i="12"/>
  <c r="AD119" i="12"/>
  <c r="AD120" i="12"/>
  <c r="AF120" i="12" s="1"/>
  <c r="AD121" i="12"/>
  <c r="AD122" i="12"/>
  <c r="AF122" i="12" s="1"/>
  <c r="AD123" i="12"/>
  <c r="AD124" i="12"/>
  <c r="AD125" i="12"/>
  <c r="AD126" i="12"/>
  <c r="AD127" i="12"/>
  <c r="AD129" i="12"/>
  <c r="AD130" i="12"/>
  <c r="AF130" i="12" s="1"/>
  <c r="AD131" i="12"/>
  <c r="AD132" i="12"/>
  <c r="AD133" i="12"/>
  <c r="AD134" i="12"/>
  <c r="AD135" i="12"/>
  <c r="AD137" i="12"/>
  <c r="AF137" i="12" s="1"/>
  <c r="AD138" i="12"/>
  <c r="AD139" i="12"/>
  <c r="AD140" i="12"/>
  <c r="AD141" i="12"/>
  <c r="AD142" i="12"/>
  <c r="AD143" i="12"/>
  <c r="AF143" i="12" s="1"/>
  <c r="AD144" i="12"/>
  <c r="AD145" i="12"/>
  <c r="AF145" i="12" s="1"/>
  <c r="AD146" i="12"/>
  <c r="AD147" i="12"/>
  <c r="AD148" i="12"/>
  <c r="AD149" i="12"/>
  <c r="AD150" i="12"/>
  <c r="AD151" i="12"/>
  <c r="AD153" i="12"/>
  <c r="AD154" i="12"/>
  <c r="AD155" i="12"/>
  <c r="AD156" i="12"/>
  <c r="AD157" i="12"/>
  <c r="AD158" i="12"/>
  <c r="AD159" i="12"/>
  <c r="AD160" i="12"/>
  <c r="AD161" i="12"/>
  <c r="AD162" i="12"/>
  <c r="AD163" i="12"/>
  <c r="AD164" i="12"/>
  <c r="AD165" i="12"/>
  <c r="AD166" i="12"/>
  <c r="AD167" i="12"/>
  <c r="AD168" i="12"/>
  <c r="AD169" i="12"/>
  <c r="AD170" i="12"/>
  <c r="AD171" i="12"/>
  <c r="AD173" i="12"/>
  <c r="AD174" i="12"/>
  <c r="AF174" i="12" s="1"/>
  <c r="AG174" i="12" s="1"/>
  <c r="AD175" i="12"/>
  <c r="AF175" i="12" s="1"/>
  <c r="AG175" i="12" s="1"/>
  <c r="AD176" i="12"/>
  <c r="AD177" i="12"/>
  <c r="AD178" i="12"/>
  <c r="AD179" i="12"/>
  <c r="AF179" i="12"/>
  <c r="AG179" i="12" s="1"/>
  <c r="AD180" i="12"/>
  <c r="AD181" i="12"/>
  <c r="AD182" i="12"/>
  <c r="AD183" i="12"/>
  <c r="AF183" i="12" s="1"/>
  <c r="AG183" i="12" s="1"/>
  <c r="AD185" i="12"/>
  <c r="AD186" i="12"/>
  <c r="AD187" i="12"/>
  <c r="AD188" i="12"/>
  <c r="AD189" i="12"/>
  <c r="AD190" i="12"/>
  <c r="AD191" i="12"/>
  <c r="AD192" i="12"/>
  <c r="AD193" i="12"/>
  <c r="AD194" i="12"/>
  <c r="AD195" i="12"/>
  <c r="AD82" i="11"/>
  <c r="AE82" i="11"/>
  <c r="AD83" i="11"/>
  <c r="AE83" i="11"/>
  <c r="AD84" i="11"/>
  <c r="AE84" i="11"/>
  <c r="AF84" i="11" s="1"/>
  <c r="AG84" i="11" s="1"/>
  <c r="AD85" i="11"/>
  <c r="AE85" i="11"/>
  <c r="AD86" i="11"/>
  <c r="AE86" i="11"/>
  <c r="AD87" i="11"/>
  <c r="AE87" i="11"/>
  <c r="AD88" i="11"/>
  <c r="AE88" i="11"/>
  <c r="AD89" i="11"/>
  <c r="AE89" i="11"/>
  <c r="AD90" i="11"/>
  <c r="AE90" i="11"/>
  <c r="AD91" i="11"/>
  <c r="AE91" i="11"/>
  <c r="AD92" i="11"/>
  <c r="AE92" i="11"/>
  <c r="AD93" i="11"/>
  <c r="AE93" i="11"/>
  <c r="AD94" i="11"/>
  <c r="AE94" i="11"/>
  <c r="AD95" i="11"/>
  <c r="AE95" i="11"/>
  <c r="AD96" i="11"/>
  <c r="AE96" i="11"/>
  <c r="AD97" i="11"/>
  <c r="AE97" i="11"/>
  <c r="AD98" i="11"/>
  <c r="AE98" i="11"/>
  <c r="AF98" i="11" s="1"/>
  <c r="AD99" i="11"/>
  <c r="AE99" i="11"/>
  <c r="AD100" i="11"/>
  <c r="AE100" i="11"/>
  <c r="AD101" i="11"/>
  <c r="AE101" i="11"/>
  <c r="AD102" i="11"/>
  <c r="AE102" i="11"/>
  <c r="AD103" i="11"/>
  <c r="AE103" i="11"/>
  <c r="AD104" i="11"/>
  <c r="AE104" i="11"/>
  <c r="AD105" i="11"/>
  <c r="AE105" i="11"/>
  <c r="AD106" i="11"/>
  <c r="AE106" i="11"/>
  <c r="AD107" i="11"/>
  <c r="AE107" i="11"/>
  <c r="AD108" i="11"/>
  <c r="AE108" i="11"/>
  <c r="AD136" i="11"/>
  <c r="AE136" i="11"/>
  <c r="AD152" i="11"/>
  <c r="AE152" i="11"/>
  <c r="AD168" i="11"/>
  <c r="AE168" i="11"/>
  <c r="AD184" i="11"/>
  <c r="AE184" i="11"/>
  <c r="AD196" i="11"/>
  <c r="AE196" i="11"/>
  <c r="AD81" i="11"/>
  <c r="AE81" i="11"/>
  <c r="AE109" i="11"/>
  <c r="AE110" i="11"/>
  <c r="AE111" i="11"/>
  <c r="AD111" i="11"/>
  <c r="AE112" i="11"/>
  <c r="AD112" i="11"/>
  <c r="AE113" i="11"/>
  <c r="AE114" i="11"/>
  <c r="AE115" i="11"/>
  <c r="AE116" i="11"/>
  <c r="AD116" i="11"/>
  <c r="AE117" i="11"/>
  <c r="AE118" i="11"/>
  <c r="AE119" i="11"/>
  <c r="AE120" i="11"/>
  <c r="AD120" i="11"/>
  <c r="AE121" i="11"/>
  <c r="AE122" i="11"/>
  <c r="AE123" i="11"/>
  <c r="AE124" i="11"/>
  <c r="AD124" i="11"/>
  <c r="AE125" i="11"/>
  <c r="AD125" i="11"/>
  <c r="AE126" i="11"/>
  <c r="AE127" i="11"/>
  <c r="AE128" i="11"/>
  <c r="AD128" i="11"/>
  <c r="AE129" i="11"/>
  <c r="AE130" i="11"/>
  <c r="AE131" i="11"/>
  <c r="AE132" i="11"/>
  <c r="AD132" i="11"/>
  <c r="AE133" i="11"/>
  <c r="AE134" i="11"/>
  <c r="AE135" i="11"/>
  <c r="AD135" i="11"/>
  <c r="AE137" i="11"/>
  <c r="AE138" i="11"/>
  <c r="AE139" i="11"/>
  <c r="AE140" i="11"/>
  <c r="AD140" i="11"/>
  <c r="AE141" i="11"/>
  <c r="AE142" i="11"/>
  <c r="AD142" i="11"/>
  <c r="AE143" i="11"/>
  <c r="AE144" i="11"/>
  <c r="AD144" i="11"/>
  <c r="AE145" i="11"/>
  <c r="AD145" i="11"/>
  <c r="AE146" i="11"/>
  <c r="AE147" i="11"/>
  <c r="AE148" i="11"/>
  <c r="AD148" i="11"/>
  <c r="AE149" i="11"/>
  <c r="AE150" i="11"/>
  <c r="AE151" i="11"/>
  <c r="AE153" i="11"/>
  <c r="AE154" i="11"/>
  <c r="AE155" i="11"/>
  <c r="AE156" i="11"/>
  <c r="AD156" i="11"/>
  <c r="AE157" i="11"/>
  <c r="AE158" i="11"/>
  <c r="AE159" i="11"/>
  <c r="AE160" i="11"/>
  <c r="AD160" i="11"/>
  <c r="AE161" i="11"/>
  <c r="AE162" i="11"/>
  <c r="AE163" i="11"/>
  <c r="AE164" i="11"/>
  <c r="AD164" i="11"/>
  <c r="AE165" i="11"/>
  <c r="AE166" i="11"/>
  <c r="AE167" i="11"/>
  <c r="AE169" i="11"/>
  <c r="AE170" i="11"/>
  <c r="AE171" i="11"/>
  <c r="AE172" i="11"/>
  <c r="AD172" i="11"/>
  <c r="AE173" i="11"/>
  <c r="AE174" i="11"/>
  <c r="AE175" i="11"/>
  <c r="AE176" i="11"/>
  <c r="AD176" i="11"/>
  <c r="AE177" i="11"/>
  <c r="AE178" i="11"/>
  <c r="AE179" i="11"/>
  <c r="AE180" i="11"/>
  <c r="AD180" i="11"/>
  <c r="AE181" i="11"/>
  <c r="AE182" i="11"/>
  <c r="AE183" i="11"/>
  <c r="AE185" i="11"/>
  <c r="AE186" i="11"/>
  <c r="AE187" i="11"/>
  <c r="AE188" i="11"/>
  <c r="AD188" i="11"/>
  <c r="AF188" i="11" s="1"/>
  <c r="AE189" i="11"/>
  <c r="AD189" i="11"/>
  <c r="AE190" i="11"/>
  <c r="AE191" i="11"/>
  <c r="AE192" i="11"/>
  <c r="AD192" i="11"/>
  <c r="AE193" i="11"/>
  <c r="AE194" i="11"/>
  <c r="AD194" i="11"/>
  <c r="AE195" i="11"/>
  <c r="AD109" i="11"/>
  <c r="AD110" i="11"/>
  <c r="AD113" i="11"/>
  <c r="AD114" i="11"/>
  <c r="AD115" i="11"/>
  <c r="AD117" i="11"/>
  <c r="AD118" i="11"/>
  <c r="AD119" i="11"/>
  <c r="AD121" i="11"/>
  <c r="AD122" i="11"/>
  <c r="AD123" i="11"/>
  <c r="AD126" i="11"/>
  <c r="AD127" i="11"/>
  <c r="AD129" i="11"/>
  <c r="AD130" i="11"/>
  <c r="AD131" i="11"/>
  <c r="AD133" i="11"/>
  <c r="AD134" i="11"/>
  <c r="AD137" i="11"/>
  <c r="AD138" i="11"/>
  <c r="AD139" i="11"/>
  <c r="AF139" i="11"/>
  <c r="AD141" i="11"/>
  <c r="AD143" i="11"/>
  <c r="AD146" i="11"/>
  <c r="AD147" i="11"/>
  <c r="AD149" i="11"/>
  <c r="AD150" i="11"/>
  <c r="AF150" i="11" s="1"/>
  <c r="AD151" i="11"/>
  <c r="AD153" i="11"/>
  <c r="AD154" i="11"/>
  <c r="AD155" i="11"/>
  <c r="AD157" i="11"/>
  <c r="AD158" i="11"/>
  <c r="AD159" i="11"/>
  <c r="AD161" i="11"/>
  <c r="AD162" i="11"/>
  <c r="AD163" i="11"/>
  <c r="AD165" i="11"/>
  <c r="AD166" i="11"/>
  <c r="AD167" i="11"/>
  <c r="AD169" i="11"/>
  <c r="AD170" i="11"/>
  <c r="AD171" i="11"/>
  <c r="AD173" i="11"/>
  <c r="AD174" i="11"/>
  <c r="AF174" i="11" s="1"/>
  <c r="AD175" i="11"/>
  <c r="AF175" i="11" s="1"/>
  <c r="AD177" i="11"/>
  <c r="AD178" i="11"/>
  <c r="AF178" i="11" s="1"/>
  <c r="AD179" i="11"/>
  <c r="AD181" i="11"/>
  <c r="AD182" i="11"/>
  <c r="AD183" i="11"/>
  <c r="AD185" i="11"/>
  <c r="AD186" i="11"/>
  <c r="AD187" i="11"/>
  <c r="AD190" i="11"/>
  <c r="AD191" i="11"/>
  <c r="AD193" i="11"/>
  <c r="AD195" i="11"/>
  <c r="AD81" i="10"/>
  <c r="AE81" i="10"/>
  <c r="AD82" i="10"/>
  <c r="AE82" i="10"/>
  <c r="AD83" i="10"/>
  <c r="AE83" i="10"/>
  <c r="AD84" i="10"/>
  <c r="AE84" i="10"/>
  <c r="AD85" i="10"/>
  <c r="AE85" i="10"/>
  <c r="AD86" i="10"/>
  <c r="AE86" i="10"/>
  <c r="AD87" i="10"/>
  <c r="AE87" i="10"/>
  <c r="AD88" i="10"/>
  <c r="AE88" i="10"/>
  <c r="AD89" i="10"/>
  <c r="AE89" i="10"/>
  <c r="AD90" i="10"/>
  <c r="AE90" i="10"/>
  <c r="AD91" i="10"/>
  <c r="AE91" i="10"/>
  <c r="AD92" i="10"/>
  <c r="AE92" i="10"/>
  <c r="AD93" i="10"/>
  <c r="AE93" i="10"/>
  <c r="AD94" i="10"/>
  <c r="AE94" i="10"/>
  <c r="AD95" i="10"/>
  <c r="AE95" i="10"/>
  <c r="AD96" i="10"/>
  <c r="AE96" i="10"/>
  <c r="AD97" i="10"/>
  <c r="AE97" i="10"/>
  <c r="AD98" i="10"/>
  <c r="AE98" i="10"/>
  <c r="AD99" i="10"/>
  <c r="AE99" i="10"/>
  <c r="AD100" i="10"/>
  <c r="AE100" i="10"/>
  <c r="AD101" i="10"/>
  <c r="AE101" i="10"/>
  <c r="AD102" i="10"/>
  <c r="AE102" i="10"/>
  <c r="AD103" i="10"/>
  <c r="AE103" i="10"/>
  <c r="AD104" i="10"/>
  <c r="AE104" i="10"/>
  <c r="AD105" i="10"/>
  <c r="AE105" i="10"/>
  <c r="AD106" i="10"/>
  <c r="AE106" i="10"/>
  <c r="AD107" i="10"/>
  <c r="AE107" i="10"/>
  <c r="AD108" i="10"/>
  <c r="AE108" i="10"/>
  <c r="AD196" i="10"/>
  <c r="AE196" i="10"/>
  <c r="AE109" i="10"/>
  <c r="AE110" i="10"/>
  <c r="AE111" i="10"/>
  <c r="AE112" i="10"/>
  <c r="AE113" i="10"/>
  <c r="AE114" i="10"/>
  <c r="AE115" i="10"/>
  <c r="AE116" i="10"/>
  <c r="AE117" i="10"/>
  <c r="AE118" i="10"/>
  <c r="AE119" i="10"/>
  <c r="AE120" i="10"/>
  <c r="AE121" i="10"/>
  <c r="AE122" i="10"/>
  <c r="AE123" i="10"/>
  <c r="AE124" i="10"/>
  <c r="AD124" i="10"/>
  <c r="AE125" i="10"/>
  <c r="AF125" i="10" s="1"/>
  <c r="AE126" i="10"/>
  <c r="AE127" i="10"/>
  <c r="AE128" i="10"/>
  <c r="AE129" i="10"/>
  <c r="AE130" i="10"/>
  <c r="AE131" i="10"/>
  <c r="AE132" i="10"/>
  <c r="AE133" i="10"/>
  <c r="AE134" i="10"/>
  <c r="AE135" i="10"/>
  <c r="AE136" i="10"/>
  <c r="AE137" i="10"/>
  <c r="AE138" i="10"/>
  <c r="AE139" i="10"/>
  <c r="AE140" i="10"/>
  <c r="AE141" i="10"/>
  <c r="AE142" i="10"/>
  <c r="AE143" i="10"/>
  <c r="AE144" i="10"/>
  <c r="AE145" i="10"/>
  <c r="AD145" i="10"/>
  <c r="AE146" i="10"/>
  <c r="AE147" i="10"/>
  <c r="AE148" i="10"/>
  <c r="AE149" i="10"/>
  <c r="AE150" i="10"/>
  <c r="AE151" i="10"/>
  <c r="AE152" i="10"/>
  <c r="AE153" i="10"/>
  <c r="AE154" i="10"/>
  <c r="AE155" i="10"/>
  <c r="AE156" i="10"/>
  <c r="AE157" i="10"/>
  <c r="AD157" i="10"/>
  <c r="AE158" i="10"/>
  <c r="AE159" i="10"/>
  <c r="AE160" i="10"/>
  <c r="AE161" i="10"/>
  <c r="AE162" i="10"/>
  <c r="AE163" i="10"/>
  <c r="AE164" i="10"/>
  <c r="AE165" i="10"/>
  <c r="AE166" i="10"/>
  <c r="AE167" i="10"/>
  <c r="AE168" i="10"/>
  <c r="AD168" i="10"/>
  <c r="AE169" i="10"/>
  <c r="AE170" i="10"/>
  <c r="AE171" i="10"/>
  <c r="AE172" i="10"/>
  <c r="AE173" i="10"/>
  <c r="AE174" i="10"/>
  <c r="AE175" i="10"/>
  <c r="AE176" i="10"/>
  <c r="AE177" i="10"/>
  <c r="AE178" i="10"/>
  <c r="AE179" i="10"/>
  <c r="AE180" i="10"/>
  <c r="AE181" i="10"/>
  <c r="AE182" i="10"/>
  <c r="AE183" i="10"/>
  <c r="AE184" i="10"/>
  <c r="AE185" i="10"/>
  <c r="AE186" i="10"/>
  <c r="AE187" i="10"/>
  <c r="AE188" i="10"/>
  <c r="AE189" i="10"/>
  <c r="AE190" i="10"/>
  <c r="AE191" i="10"/>
  <c r="AE192" i="10"/>
  <c r="AE193" i="10"/>
  <c r="AE194" i="10"/>
  <c r="AE195" i="10"/>
  <c r="AD109" i="10"/>
  <c r="AD110" i="10"/>
  <c r="AD111" i="10"/>
  <c r="AD112" i="10"/>
  <c r="AD113" i="10"/>
  <c r="AD114" i="10"/>
  <c r="AD115" i="10"/>
  <c r="AD116" i="10"/>
  <c r="AD117" i="10"/>
  <c r="AD118" i="10"/>
  <c r="AD119" i="10"/>
  <c r="AD120" i="10"/>
  <c r="AD121" i="10"/>
  <c r="AD122" i="10"/>
  <c r="AD123" i="10"/>
  <c r="AD125" i="10"/>
  <c r="AD126" i="10"/>
  <c r="AD127" i="10"/>
  <c r="AD128" i="10"/>
  <c r="AD129" i="10"/>
  <c r="AD130" i="10"/>
  <c r="AD131" i="10"/>
  <c r="AD132" i="10"/>
  <c r="AD133" i="10"/>
  <c r="AD134" i="10"/>
  <c r="AD135" i="10"/>
  <c r="AD136" i="10"/>
  <c r="AD137" i="10"/>
  <c r="AD138" i="10"/>
  <c r="AD139" i="10"/>
  <c r="AD140" i="10"/>
  <c r="AD141" i="10"/>
  <c r="AD142" i="10"/>
  <c r="AD143" i="10"/>
  <c r="AD144" i="10"/>
  <c r="AD146" i="10"/>
  <c r="AD147" i="10"/>
  <c r="AD148" i="10"/>
  <c r="AD149" i="10"/>
  <c r="AD150" i="10"/>
  <c r="AF150" i="10" s="1"/>
  <c r="AD151" i="10"/>
  <c r="AD152" i="10"/>
  <c r="AD153" i="10"/>
  <c r="AD154" i="10"/>
  <c r="AD155" i="10"/>
  <c r="AD156" i="10"/>
  <c r="AD158" i="10"/>
  <c r="AD159" i="10"/>
  <c r="AD160" i="10"/>
  <c r="AD161" i="10"/>
  <c r="AD162" i="10"/>
  <c r="AD163" i="10"/>
  <c r="AD164" i="10"/>
  <c r="AD165" i="10"/>
  <c r="AD166" i="10"/>
  <c r="AD167" i="10"/>
  <c r="AD169" i="10"/>
  <c r="AD170" i="10"/>
  <c r="AD171" i="10"/>
  <c r="AD172" i="10"/>
  <c r="AD173" i="10"/>
  <c r="AD174" i="10"/>
  <c r="AD175" i="10"/>
  <c r="AD176" i="10"/>
  <c r="AD177" i="10"/>
  <c r="AD178" i="10"/>
  <c r="AD179" i="10"/>
  <c r="AD180" i="10"/>
  <c r="AD181" i="10"/>
  <c r="AD182" i="10"/>
  <c r="AD183" i="10"/>
  <c r="AD184" i="10"/>
  <c r="AD185" i="10"/>
  <c r="AD186" i="10"/>
  <c r="AD187" i="10"/>
  <c r="AD188" i="10"/>
  <c r="AD189" i="10"/>
  <c r="AD190" i="10"/>
  <c r="AD191" i="10"/>
  <c r="AD192" i="10"/>
  <c r="AD193" i="10"/>
  <c r="AD194" i="10"/>
  <c r="AD195" i="10"/>
  <c r="AD81" i="9"/>
  <c r="AE81" i="9"/>
  <c r="AD82" i="9"/>
  <c r="AE82" i="9"/>
  <c r="AD83" i="9"/>
  <c r="AE83" i="9"/>
  <c r="AD84" i="9"/>
  <c r="AE84" i="9"/>
  <c r="AD85" i="9"/>
  <c r="AE85" i="9"/>
  <c r="AD86" i="9"/>
  <c r="AE86" i="9"/>
  <c r="AD87" i="9"/>
  <c r="AE87" i="9"/>
  <c r="AD88" i="9"/>
  <c r="AE88" i="9"/>
  <c r="AD89" i="9"/>
  <c r="AE89" i="9"/>
  <c r="AD90" i="9"/>
  <c r="AE90" i="9"/>
  <c r="AD91" i="9"/>
  <c r="AE91" i="9"/>
  <c r="AD92" i="9"/>
  <c r="AE92" i="9"/>
  <c r="AD93" i="9"/>
  <c r="AE93" i="9"/>
  <c r="AD94" i="9"/>
  <c r="AE94" i="9"/>
  <c r="AD95" i="9"/>
  <c r="AE95" i="9"/>
  <c r="AD96" i="9"/>
  <c r="AE96" i="9"/>
  <c r="AD97" i="9"/>
  <c r="AE97" i="9"/>
  <c r="AF97" i="9"/>
  <c r="AD98" i="9"/>
  <c r="AE98" i="9"/>
  <c r="AD99" i="9"/>
  <c r="AE99" i="9"/>
  <c r="AD100" i="9"/>
  <c r="AE100" i="9"/>
  <c r="AD101" i="9"/>
  <c r="AE101" i="9"/>
  <c r="AD102" i="9"/>
  <c r="AE102" i="9"/>
  <c r="AD103" i="9"/>
  <c r="AE103" i="9"/>
  <c r="AD104" i="9"/>
  <c r="AE104" i="9"/>
  <c r="AD105" i="9"/>
  <c r="AE105" i="9"/>
  <c r="AD106" i="9"/>
  <c r="AE106" i="9"/>
  <c r="AD107" i="9"/>
  <c r="AE107" i="9"/>
  <c r="AD108" i="9"/>
  <c r="AE108" i="9"/>
  <c r="AD119" i="9"/>
  <c r="AE119" i="9"/>
  <c r="AD135" i="9"/>
  <c r="AE135" i="9"/>
  <c r="AD151" i="9"/>
  <c r="AE151" i="9"/>
  <c r="AD167" i="9"/>
  <c r="AE167" i="9"/>
  <c r="AD183" i="9"/>
  <c r="AE183" i="9"/>
  <c r="AD196" i="9"/>
  <c r="AE196" i="9"/>
  <c r="AD109" i="9"/>
  <c r="AE109" i="9"/>
  <c r="AD110" i="9"/>
  <c r="AD111" i="9"/>
  <c r="AE111" i="9"/>
  <c r="AD112" i="9"/>
  <c r="AE112" i="9"/>
  <c r="AD113" i="9"/>
  <c r="AE113" i="9"/>
  <c r="AD114" i="9"/>
  <c r="AD115" i="9"/>
  <c r="AE115" i="9"/>
  <c r="AD116" i="9"/>
  <c r="AE116" i="9"/>
  <c r="AD117" i="9"/>
  <c r="AE117" i="9"/>
  <c r="AD118" i="9"/>
  <c r="AD120" i="9"/>
  <c r="AE120" i="9"/>
  <c r="AD121" i="9"/>
  <c r="AE121" i="9"/>
  <c r="AD122" i="9"/>
  <c r="AE122" i="9"/>
  <c r="AD123" i="9"/>
  <c r="AE123" i="9"/>
  <c r="AD124" i="9"/>
  <c r="AE124" i="9"/>
  <c r="AD125" i="9"/>
  <c r="AE125" i="9"/>
  <c r="AD126" i="9"/>
  <c r="AD127" i="9"/>
  <c r="AE127" i="9"/>
  <c r="AD128" i="9"/>
  <c r="AE128" i="9"/>
  <c r="AD129" i="9"/>
  <c r="AE129" i="9"/>
  <c r="AD130" i="9"/>
  <c r="AD131" i="9"/>
  <c r="AE131" i="9"/>
  <c r="AD132" i="9"/>
  <c r="AE132" i="9"/>
  <c r="AD133" i="9"/>
  <c r="AF133" i="9" s="1"/>
  <c r="AE133" i="9"/>
  <c r="AD134" i="9"/>
  <c r="AD136" i="9"/>
  <c r="AE136" i="9"/>
  <c r="AD137" i="9"/>
  <c r="AE137" i="9"/>
  <c r="AD138" i="9"/>
  <c r="AD139" i="9"/>
  <c r="AE139" i="9"/>
  <c r="AD140" i="9"/>
  <c r="AE140" i="9"/>
  <c r="AD141" i="9"/>
  <c r="AE141" i="9"/>
  <c r="AD142" i="9"/>
  <c r="AD143" i="9"/>
  <c r="AE143" i="9"/>
  <c r="AD144" i="9"/>
  <c r="AE144" i="9"/>
  <c r="AD145" i="9"/>
  <c r="AE145" i="9"/>
  <c r="AD146" i="9"/>
  <c r="AD147" i="9"/>
  <c r="AE147" i="9"/>
  <c r="AD148" i="9"/>
  <c r="AE148" i="9"/>
  <c r="AD149" i="9"/>
  <c r="AE149" i="9"/>
  <c r="AD150" i="9"/>
  <c r="AD152" i="9"/>
  <c r="AE152" i="9"/>
  <c r="AF152" i="9" s="1"/>
  <c r="AD153" i="9"/>
  <c r="AE153" i="9"/>
  <c r="AD154" i="9"/>
  <c r="AD155" i="9"/>
  <c r="AE155" i="9"/>
  <c r="AD156" i="9"/>
  <c r="AE156" i="9"/>
  <c r="AD157" i="9"/>
  <c r="AE157" i="9"/>
  <c r="AD158" i="9"/>
  <c r="AD159" i="9"/>
  <c r="AE159" i="9"/>
  <c r="AD160" i="9"/>
  <c r="AE160" i="9"/>
  <c r="AD161" i="9"/>
  <c r="AE161" i="9"/>
  <c r="AD162" i="9"/>
  <c r="AD163" i="9"/>
  <c r="AE163" i="9"/>
  <c r="AD164" i="9"/>
  <c r="AE164" i="9"/>
  <c r="AD165" i="9"/>
  <c r="AE165" i="9"/>
  <c r="AD166" i="9"/>
  <c r="AD168" i="9"/>
  <c r="AE168" i="9"/>
  <c r="AD169" i="9"/>
  <c r="AE169" i="9"/>
  <c r="AD170" i="9"/>
  <c r="AD171" i="9"/>
  <c r="AE171" i="9"/>
  <c r="AD172" i="9"/>
  <c r="AE172" i="9"/>
  <c r="AD173" i="9"/>
  <c r="AE173" i="9"/>
  <c r="AD174" i="9"/>
  <c r="AD175" i="9"/>
  <c r="AE175" i="9"/>
  <c r="AD176" i="9"/>
  <c r="AE176" i="9"/>
  <c r="AD177" i="9"/>
  <c r="AE177" i="9"/>
  <c r="AD178" i="9"/>
  <c r="AD179" i="9"/>
  <c r="AE179" i="9"/>
  <c r="AD180" i="9"/>
  <c r="AE180" i="9"/>
  <c r="AD181" i="9"/>
  <c r="AE181" i="9"/>
  <c r="AD182" i="9"/>
  <c r="AD184" i="9"/>
  <c r="AE184" i="9"/>
  <c r="AD185" i="9"/>
  <c r="AE185" i="9"/>
  <c r="AD186" i="9"/>
  <c r="AD187" i="9"/>
  <c r="AD188" i="9"/>
  <c r="AF188" i="9" s="1"/>
  <c r="AG188" i="9" s="1"/>
  <c r="AE188" i="9"/>
  <c r="AD189" i="9"/>
  <c r="AE189" i="9"/>
  <c r="AD190" i="9"/>
  <c r="AD191" i="9"/>
  <c r="AE191" i="9"/>
  <c r="AD192" i="9"/>
  <c r="AE192" i="9"/>
  <c r="AD193" i="9"/>
  <c r="AE193" i="9"/>
  <c r="AD194" i="9"/>
  <c r="AD195" i="9"/>
  <c r="AE195" i="9"/>
  <c r="AE110" i="9"/>
  <c r="AE114" i="9"/>
  <c r="AE118" i="9"/>
  <c r="AE126" i="9"/>
  <c r="AE130" i="9"/>
  <c r="AE134" i="9"/>
  <c r="AE138" i="9"/>
  <c r="AE142" i="9"/>
  <c r="AE146" i="9"/>
  <c r="AE150" i="9"/>
  <c r="AE154" i="9"/>
  <c r="AF154" i="9" s="1"/>
  <c r="AE158" i="9"/>
  <c r="AE162" i="9"/>
  <c r="AE166" i="9"/>
  <c r="AE170" i="9"/>
  <c r="AE174" i="9"/>
  <c r="AE178" i="9"/>
  <c r="AE182" i="9"/>
  <c r="AE186" i="9"/>
  <c r="AF186" i="9" s="1"/>
  <c r="AG186" i="9" s="1"/>
  <c r="AE187" i="9"/>
  <c r="AE190" i="9"/>
  <c r="AE194" i="9"/>
  <c r="AD81" i="8"/>
  <c r="AE81" i="8"/>
  <c r="AD82" i="8"/>
  <c r="AE82" i="8"/>
  <c r="AD83" i="8"/>
  <c r="AE83" i="8"/>
  <c r="AD84" i="8"/>
  <c r="AE84" i="8"/>
  <c r="AD85" i="8"/>
  <c r="AE85" i="8"/>
  <c r="AD86" i="8"/>
  <c r="AE86" i="8"/>
  <c r="AD87" i="8"/>
  <c r="AE87" i="8"/>
  <c r="AD88" i="8"/>
  <c r="AE88" i="8"/>
  <c r="AD89" i="8"/>
  <c r="AE89" i="8"/>
  <c r="AD90" i="8"/>
  <c r="AE90" i="8"/>
  <c r="AD91" i="8"/>
  <c r="AE91" i="8"/>
  <c r="AD92" i="8"/>
  <c r="AE92" i="8"/>
  <c r="AD93" i="8"/>
  <c r="AE93" i="8"/>
  <c r="AD94" i="8"/>
  <c r="AE94" i="8"/>
  <c r="AD95" i="8"/>
  <c r="AE95" i="8"/>
  <c r="AD96" i="8"/>
  <c r="AE96" i="8"/>
  <c r="AD97" i="8"/>
  <c r="AE97" i="8"/>
  <c r="AD98" i="8"/>
  <c r="AE98" i="8"/>
  <c r="AF98" i="8" s="1"/>
  <c r="AD99" i="8"/>
  <c r="AE99" i="8"/>
  <c r="AD100" i="8"/>
  <c r="AE100" i="8"/>
  <c r="AD101" i="8"/>
  <c r="AE101" i="8"/>
  <c r="AD102" i="8"/>
  <c r="AE102" i="8"/>
  <c r="AD103" i="8"/>
  <c r="AE103" i="8"/>
  <c r="AD104" i="8"/>
  <c r="AE104" i="8"/>
  <c r="AD105" i="8"/>
  <c r="AE105" i="8"/>
  <c r="AD106" i="8"/>
  <c r="AE106" i="8"/>
  <c r="AD107" i="8"/>
  <c r="AE107" i="8"/>
  <c r="AD108" i="8"/>
  <c r="AE108" i="8"/>
  <c r="AD196" i="8"/>
  <c r="AE196" i="8"/>
  <c r="AE109" i="8"/>
  <c r="AE110" i="8"/>
  <c r="AD110" i="8"/>
  <c r="AE111" i="8"/>
  <c r="AE112" i="8"/>
  <c r="AE113" i="8"/>
  <c r="AE114" i="8"/>
  <c r="AE115" i="8"/>
  <c r="AE116" i="8"/>
  <c r="AE117" i="8"/>
  <c r="AE118" i="8"/>
  <c r="AE119" i="8"/>
  <c r="AD119" i="8"/>
  <c r="AE120" i="8"/>
  <c r="AE121" i="8"/>
  <c r="AE122" i="8"/>
  <c r="AE123" i="8"/>
  <c r="AE124" i="8"/>
  <c r="AE125" i="8"/>
  <c r="AE126" i="8"/>
  <c r="AE127" i="8"/>
  <c r="AD127" i="8"/>
  <c r="AE128" i="8"/>
  <c r="AE129" i="8"/>
  <c r="AE130" i="8"/>
  <c r="AE131" i="8"/>
  <c r="AE132" i="8"/>
  <c r="AE133" i="8"/>
  <c r="AE134" i="8"/>
  <c r="AE135" i="8"/>
  <c r="AD135" i="8"/>
  <c r="AE136" i="8"/>
  <c r="AE137" i="8"/>
  <c r="AE138" i="8"/>
  <c r="AE139" i="8"/>
  <c r="AE140" i="8"/>
  <c r="AE141" i="8"/>
  <c r="AE142" i="8"/>
  <c r="AE143" i="8"/>
  <c r="AE144" i="8"/>
  <c r="AD144" i="8"/>
  <c r="AE145" i="8"/>
  <c r="AE146" i="8"/>
  <c r="AE147" i="8"/>
  <c r="AE148" i="8"/>
  <c r="AD148" i="8"/>
  <c r="AE149" i="8"/>
  <c r="AE150" i="8"/>
  <c r="AE151" i="8"/>
  <c r="AE152" i="8"/>
  <c r="AD152" i="8"/>
  <c r="AE153" i="8"/>
  <c r="AE154" i="8"/>
  <c r="AE155" i="8"/>
  <c r="AE156" i="8"/>
  <c r="AD156" i="8"/>
  <c r="AE157" i="8"/>
  <c r="AE158" i="8"/>
  <c r="AE159" i="8"/>
  <c r="AE160" i="8"/>
  <c r="AD160" i="8"/>
  <c r="AE161" i="8"/>
  <c r="AE162" i="8"/>
  <c r="AE163" i="8"/>
  <c r="AE164" i="8"/>
  <c r="AD164" i="8"/>
  <c r="AE165" i="8"/>
  <c r="AE166" i="8"/>
  <c r="AE167" i="8"/>
  <c r="AE168" i="8"/>
  <c r="AE169" i="8"/>
  <c r="AE170" i="8"/>
  <c r="AE171" i="8"/>
  <c r="AE172" i="8"/>
  <c r="AD172" i="8"/>
  <c r="AE173" i="8"/>
  <c r="AE174" i="8"/>
  <c r="AE175" i="8"/>
  <c r="AE176" i="8"/>
  <c r="AD176" i="8"/>
  <c r="AE177" i="8"/>
  <c r="AE178" i="8"/>
  <c r="AE179" i="8"/>
  <c r="AE180" i="8"/>
  <c r="AD180" i="8"/>
  <c r="AE181" i="8"/>
  <c r="AF181" i="8" s="1"/>
  <c r="AE182" i="8"/>
  <c r="AE183" i="8"/>
  <c r="AE184" i="8"/>
  <c r="AE185" i="8"/>
  <c r="AE186" i="8"/>
  <c r="AE187" i="8"/>
  <c r="AE188" i="8"/>
  <c r="AE189" i="8"/>
  <c r="AE190" i="8"/>
  <c r="AE191" i="8"/>
  <c r="AE192" i="8"/>
  <c r="AE193" i="8"/>
  <c r="AE194" i="8"/>
  <c r="AE195" i="8"/>
  <c r="AD109" i="8"/>
  <c r="AD111" i="8"/>
  <c r="AD112" i="8"/>
  <c r="AD113" i="8"/>
  <c r="AD114" i="8"/>
  <c r="AD115" i="8"/>
  <c r="AD116" i="8"/>
  <c r="AD117" i="8"/>
  <c r="AD118" i="8"/>
  <c r="AD120" i="8"/>
  <c r="AD121" i="8"/>
  <c r="AD122" i="8"/>
  <c r="AD123" i="8"/>
  <c r="AD124" i="8"/>
  <c r="AD125" i="8"/>
  <c r="AD126" i="8"/>
  <c r="AD128" i="8"/>
  <c r="AD129" i="8"/>
  <c r="AD130" i="8"/>
  <c r="AD131" i="8"/>
  <c r="AD132" i="8"/>
  <c r="AD133" i="8"/>
  <c r="AD134" i="8"/>
  <c r="AD136" i="8"/>
  <c r="AD137" i="8"/>
  <c r="AD138" i="8"/>
  <c r="AD139" i="8"/>
  <c r="AD140" i="8"/>
  <c r="AD141" i="8"/>
  <c r="AD142" i="8"/>
  <c r="AD143" i="8"/>
  <c r="AD145" i="8"/>
  <c r="AD146" i="8"/>
  <c r="AD147" i="8"/>
  <c r="AD149" i="8"/>
  <c r="AD150" i="8"/>
  <c r="AD151" i="8"/>
  <c r="AD153" i="8"/>
  <c r="AD154" i="8"/>
  <c r="AD155" i="8"/>
  <c r="AD157" i="8"/>
  <c r="AD158" i="8"/>
  <c r="AF158" i="8" s="1"/>
  <c r="AD159" i="8"/>
  <c r="AD161" i="8"/>
  <c r="AD162" i="8"/>
  <c r="AD163" i="8"/>
  <c r="AD165" i="8"/>
  <c r="AD166" i="8"/>
  <c r="AD167" i="8"/>
  <c r="AD168" i="8"/>
  <c r="AD169" i="8"/>
  <c r="AD170" i="8"/>
  <c r="AD171" i="8"/>
  <c r="AF171" i="8" s="1"/>
  <c r="AD173" i="8"/>
  <c r="AD174" i="8"/>
  <c r="AD175" i="8"/>
  <c r="AD177" i="8"/>
  <c r="AD178" i="8"/>
  <c r="AD179" i="8"/>
  <c r="AD181" i="8"/>
  <c r="AD182" i="8"/>
  <c r="AD183" i="8"/>
  <c r="AD184" i="8"/>
  <c r="AD185" i="8"/>
  <c r="AD186" i="8"/>
  <c r="AD187" i="8"/>
  <c r="AD188" i="8"/>
  <c r="AD189" i="8"/>
  <c r="AD190" i="8"/>
  <c r="AD191" i="8"/>
  <c r="AD192" i="8"/>
  <c r="AD193" i="8"/>
  <c r="AD194" i="8"/>
  <c r="AD195" i="8"/>
  <c r="AF195" i="8" s="1"/>
  <c r="AG195" i="8" s="1"/>
  <c r="AD81" i="7"/>
  <c r="AE81" i="7"/>
  <c r="AD82" i="7"/>
  <c r="AE82" i="7"/>
  <c r="AD83" i="7"/>
  <c r="AE83" i="7"/>
  <c r="AD84" i="7"/>
  <c r="AE84" i="7"/>
  <c r="AD85" i="7"/>
  <c r="AE85" i="7"/>
  <c r="AD86" i="7"/>
  <c r="AE86" i="7"/>
  <c r="AD87" i="7"/>
  <c r="AE87" i="7"/>
  <c r="AD88" i="7"/>
  <c r="AE88" i="7"/>
  <c r="AD89" i="7"/>
  <c r="AE89" i="7"/>
  <c r="AD90" i="7"/>
  <c r="AE90" i="7"/>
  <c r="AD91" i="7"/>
  <c r="AE91" i="7"/>
  <c r="AD92" i="7"/>
  <c r="AE92" i="7"/>
  <c r="AD93" i="7"/>
  <c r="AE93" i="7"/>
  <c r="AD94" i="7"/>
  <c r="AE94" i="7"/>
  <c r="AD95" i="7"/>
  <c r="AE95" i="7"/>
  <c r="AF95" i="7" s="1"/>
  <c r="AD96" i="7"/>
  <c r="AE96" i="7"/>
  <c r="AD97" i="7"/>
  <c r="AE97" i="7"/>
  <c r="AD98" i="7"/>
  <c r="AE98" i="7"/>
  <c r="AD99" i="7"/>
  <c r="AE99" i="7"/>
  <c r="AD100" i="7"/>
  <c r="AE100" i="7"/>
  <c r="AD101" i="7"/>
  <c r="AE101" i="7"/>
  <c r="AD102" i="7"/>
  <c r="AE102" i="7"/>
  <c r="AD103" i="7"/>
  <c r="AE103" i="7"/>
  <c r="AD104" i="7"/>
  <c r="AE104" i="7"/>
  <c r="AD105" i="7"/>
  <c r="AE105" i="7"/>
  <c r="AD106" i="7"/>
  <c r="AF106" i="7" s="1"/>
  <c r="AE106" i="7"/>
  <c r="AD107" i="7"/>
  <c r="AE107" i="7"/>
  <c r="AD108" i="7"/>
  <c r="AE108" i="7"/>
  <c r="AD111" i="7"/>
  <c r="AE111" i="7"/>
  <c r="AD115" i="7"/>
  <c r="AE115" i="7"/>
  <c r="AD119" i="7"/>
  <c r="AE119" i="7"/>
  <c r="AD123" i="7"/>
  <c r="AF123" i="7" s="1"/>
  <c r="AE123" i="7"/>
  <c r="AD127" i="7"/>
  <c r="AE127" i="7"/>
  <c r="AD131" i="7"/>
  <c r="AE131" i="7"/>
  <c r="AD135" i="7"/>
  <c r="AE135" i="7"/>
  <c r="AD139" i="7"/>
  <c r="AE139" i="7"/>
  <c r="AD143" i="7"/>
  <c r="AE143" i="7"/>
  <c r="AD147" i="7"/>
  <c r="AE147" i="7"/>
  <c r="AD151" i="7"/>
  <c r="AE151" i="7"/>
  <c r="AD155" i="7"/>
  <c r="AE155" i="7"/>
  <c r="AD159" i="7"/>
  <c r="AE159" i="7"/>
  <c r="AD163" i="7"/>
  <c r="AE163" i="7"/>
  <c r="AD167" i="7"/>
  <c r="AE167" i="7"/>
  <c r="AD171" i="7"/>
  <c r="AF171" i="7" s="1"/>
  <c r="AE171" i="7"/>
  <c r="AD175" i="7"/>
  <c r="AE175" i="7"/>
  <c r="AD179" i="7"/>
  <c r="AE179" i="7"/>
  <c r="AD183" i="7"/>
  <c r="AE183" i="7"/>
  <c r="AD187" i="7"/>
  <c r="AE187" i="7"/>
  <c r="AD191" i="7"/>
  <c r="AE191" i="7"/>
  <c r="AD195" i="7"/>
  <c r="AE195" i="7"/>
  <c r="AD196" i="7"/>
  <c r="AE196" i="7"/>
  <c r="AD80" i="7"/>
  <c r="AE80" i="7"/>
  <c r="AE109" i="7"/>
  <c r="AE110" i="7"/>
  <c r="AE112" i="7"/>
  <c r="AE113" i="7"/>
  <c r="AE114" i="7"/>
  <c r="AE116" i="7"/>
  <c r="AD116" i="7"/>
  <c r="AE117" i="7"/>
  <c r="AE118" i="7"/>
  <c r="AE120" i="7"/>
  <c r="AE121" i="7"/>
  <c r="AE122" i="7"/>
  <c r="AE124" i="7"/>
  <c r="AE125" i="7"/>
  <c r="AE126" i="7"/>
  <c r="AE128" i="7"/>
  <c r="AE129" i="7"/>
  <c r="AE130" i="7"/>
  <c r="AE132" i="7"/>
  <c r="AE133" i="7"/>
  <c r="AE134" i="7"/>
  <c r="AE136" i="7"/>
  <c r="AE137" i="7"/>
  <c r="AE138" i="7"/>
  <c r="AD138" i="7"/>
  <c r="AE140" i="7"/>
  <c r="AE141" i="7"/>
  <c r="AE142" i="7"/>
  <c r="AE144" i="7"/>
  <c r="AE145" i="7"/>
  <c r="AE146" i="7"/>
  <c r="AE148" i="7"/>
  <c r="AE149" i="7"/>
  <c r="AE150" i="7"/>
  <c r="AE152" i="7"/>
  <c r="AE153" i="7"/>
  <c r="AE154" i="7"/>
  <c r="AE156" i="7"/>
  <c r="AE157" i="7"/>
  <c r="AE158" i="7"/>
  <c r="AE160" i="7"/>
  <c r="AE161" i="7"/>
  <c r="AE162" i="7"/>
  <c r="AE164" i="7"/>
  <c r="AE165" i="7"/>
  <c r="AE166" i="7"/>
  <c r="AE168" i="7"/>
  <c r="AE169" i="7"/>
  <c r="AE170" i="7"/>
  <c r="AE172" i="7"/>
  <c r="AE173" i="7"/>
  <c r="AE174" i="7"/>
  <c r="AD174" i="7"/>
  <c r="AE176" i="7"/>
  <c r="AE177" i="7"/>
  <c r="AE178" i="7"/>
  <c r="AE180" i="7"/>
  <c r="AE181" i="7"/>
  <c r="AD181" i="7"/>
  <c r="AE182" i="7"/>
  <c r="AE184" i="7"/>
  <c r="AE185" i="7"/>
  <c r="AE186" i="7"/>
  <c r="AE188" i="7"/>
  <c r="AE189" i="7"/>
  <c r="AE190" i="7"/>
  <c r="AD190" i="7"/>
  <c r="AE192" i="7"/>
  <c r="AE193" i="7"/>
  <c r="AE194" i="7"/>
  <c r="AD109" i="7"/>
  <c r="AD110" i="7"/>
  <c r="AD112" i="7"/>
  <c r="AD113" i="7"/>
  <c r="AD114" i="7"/>
  <c r="AD117" i="7"/>
  <c r="AD118" i="7"/>
  <c r="AD120" i="7"/>
  <c r="AF120" i="7" s="1"/>
  <c r="AD121" i="7"/>
  <c r="AD122" i="7"/>
  <c r="AD124" i="7"/>
  <c r="AD125" i="7"/>
  <c r="AD126" i="7"/>
  <c r="AD128" i="7"/>
  <c r="AD129" i="7"/>
  <c r="AD130" i="7"/>
  <c r="AD132" i="7"/>
  <c r="AD133" i="7"/>
  <c r="AD134" i="7"/>
  <c r="AD136" i="7"/>
  <c r="AD137" i="7"/>
  <c r="AD140" i="7"/>
  <c r="AD141" i="7"/>
  <c r="AD142" i="7"/>
  <c r="AD144" i="7"/>
  <c r="AD145" i="7"/>
  <c r="AD146" i="7"/>
  <c r="AD148" i="7"/>
  <c r="AD149" i="7"/>
  <c r="AD150" i="7"/>
  <c r="AD152" i="7"/>
  <c r="AD153" i="7"/>
  <c r="AD154" i="7"/>
  <c r="AD156" i="7"/>
  <c r="AD157" i="7"/>
  <c r="AD158" i="7"/>
  <c r="AD160" i="7"/>
  <c r="AD161" i="7"/>
  <c r="AD162" i="7"/>
  <c r="AD164" i="7"/>
  <c r="AD165" i="7"/>
  <c r="AD166" i="7"/>
  <c r="AD168" i="7"/>
  <c r="AD169" i="7"/>
  <c r="AD170" i="7"/>
  <c r="AD172" i="7"/>
  <c r="AD173" i="7"/>
  <c r="AD176" i="7"/>
  <c r="AD177" i="7"/>
  <c r="AD178" i="7"/>
  <c r="AD180" i="7"/>
  <c r="AD182" i="7"/>
  <c r="AD184" i="7"/>
  <c r="AD185" i="7"/>
  <c r="AD186" i="7"/>
  <c r="AD188" i="7"/>
  <c r="AF188" i="7" s="1"/>
  <c r="AG188" i="7" s="1"/>
  <c r="AD189" i="7"/>
  <c r="AD192" i="7"/>
  <c r="AD193" i="7"/>
  <c r="AD194" i="7"/>
  <c r="AD81" i="6"/>
  <c r="AE81" i="6"/>
  <c r="AD82" i="6"/>
  <c r="AE82" i="6"/>
  <c r="AD83" i="6"/>
  <c r="AE83" i="6"/>
  <c r="AF83" i="6" s="1"/>
  <c r="AG83" i="6" s="1"/>
  <c r="AD84" i="6"/>
  <c r="AE84" i="6"/>
  <c r="AD85" i="6"/>
  <c r="AE85" i="6"/>
  <c r="AD86" i="6"/>
  <c r="AE86" i="6"/>
  <c r="AD87" i="6"/>
  <c r="AE87" i="6"/>
  <c r="AD88" i="6"/>
  <c r="AE88" i="6"/>
  <c r="AD89" i="6"/>
  <c r="AE89" i="6"/>
  <c r="AD90" i="6"/>
  <c r="AE90" i="6"/>
  <c r="AD91" i="6"/>
  <c r="AE91" i="6"/>
  <c r="AD92" i="6"/>
  <c r="AE92" i="6"/>
  <c r="AD93" i="6"/>
  <c r="AE93" i="6"/>
  <c r="AD94" i="6"/>
  <c r="AE94" i="6"/>
  <c r="AD95" i="6"/>
  <c r="AE95" i="6"/>
  <c r="AD96" i="6"/>
  <c r="AE96" i="6"/>
  <c r="AD97" i="6"/>
  <c r="AE97" i="6"/>
  <c r="AD98" i="6"/>
  <c r="AE98" i="6"/>
  <c r="AF98" i="6" s="1"/>
  <c r="AD99" i="6"/>
  <c r="AE99" i="6"/>
  <c r="AD100" i="6"/>
  <c r="AE100" i="6"/>
  <c r="AD101" i="6"/>
  <c r="AE101" i="6"/>
  <c r="AD102" i="6"/>
  <c r="AE102" i="6"/>
  <c r="AD103" i="6"/>
  <c r="AE103" i="6"/>
  <c r="AD104" i="6"/>
  <c r="AE104" i="6"/>
  <c r="AD105" i="6"/>
  <c r="AE105" i="6"/>
  <c r="AD106" i="6"/>
  <c r="AE106" i="6"/>
  <c r="AD107" i="6"/>
  <c r="AE107" i="6"/>
  <c r="AD108" i="6"/>
  <c r="AE108" i="6"/>
  <c r="AF108" i="6" s="1"/>
  <c r="AD196" i="6"/>
  <c r="AE196" i="6"/>
  <c r="AE109" i="6"/>
  <c r="AD109" i="6"/>
  <c r="AE110" i="6"/>
  <c r="AE111" i="6"/>
  <c r="AE112" i="6"/>
  <c r="AE113" i="6"/>
  <c r="AD113" i="6"/>
  <c r="AE114" i="6"/>
  <c r="AE115" i="6"/>
  <c r="AE116" i="6"/>
  <c r="AE117" i="6"/>
  <c r="AD117" i="6"/>
  <c r="AE118" i="6"/>
  <c r="AE119" i="6"/>
  <c r="AE120" i="6"/>
  <c r="AE121" i="6"/>
  <c r="AD121" i="6"/>
  <c r="AE122" i="6"/>
  <c r="AE123" i="6"/>
  <c r="AE124" i="6"/>
  <c r="AD124" i="6"/>
  <c r="AE125" i="6"/>
  <c r="AE126" i="6"/>
  <c r="AE127" i="6"/>
  <c r="AE128" i="6"/>
  <c r="AE129" i="6"/>
  <c r="AE130" i="6"/>
  <c r="AE131" i="6"/>
  <c r="AE132" i="6"/>
  <c r="AE133" i="6"/>
  <c r="AE134" i="6"/>
  <c r="AE135" i="6"/>
  <c r="AE136" i="6"/>
  <c r="AE137" i="6"/>
  <c r="AE138" i="6"/>
  <c r="AE139" i="6"/>
  <c r="AE140" i="6"/>
  <c r="AE141" i="6"/>
  <c r="AE142" i="6"/>
  <c r="AE143" i="6"/>
  <c r="AE144" i="6"/>
  <c r="AE145" i="6"/>
  <c r="AE146" i="6"/>
  <c r="AE147" i="6"/>
  <c r="AE148" i="6"/>
  <c r="AE149" i="6"/>
  <c r="AE150" i="6"/>
  <c r="AE151" i="6"/>
  <c r="AE152" i="6"/>
  <c r="AE153" i="6"/>
  <c r="AE154" i="6"/>
  <c r="AE155" i="6"/>
  <c r="AE156" i="6"/>
  <c r="AE157" i="6"/>
  <c r="AE158" i="6"/>
  <c r="AE159" i="6"/>
  <c r="AE160" i="6"/>
  <c r="AE161" i="6"/>
  <c r="AE162" i="6"/>
  <c r="AE163" i="6"/>
  <c r="AE164" i="6"/>
  <c r="AE165" i="6"/>
  <c r="AE166" i="6"/>
  <c r="AE167" i="6"/>
  <c r="AE168" i="6"/>
  <c r="AE169" i="6"/>
  <c r="AD169" i="6"/>
  <c r="AE170" i="6"/>
  <c r="AE171" i="6"/>
  <c r="AE172" i="6"/>
  <c r="AE173" i="6"/>
  <c r="AD173" i="6"/>
  <c r="AE174" i="6"/>
  <c r="AE175" i="6"/>
  <c r="AE176" i="6"/>
  <c r="AE177" i="6"/>
  <c r="AE178" i="6"/>
  <c r="AE179" i="6"/>
  <c r="AE180" i="6"/>
  <c r="AE181" i="6"/>
  <c r="AE182" i="6"/>
  <c r="AE183" i="6"/>
  <c r="AE184" i="6"/>
  <c r="AE185" i="6"/>
  <c r="AE186" i="6"/>
  <c r="AE187" i="6"/>
  <c r="AE188" i="6"/>
  <c r="AE189" i="6"/>
  <c r="AE190" i="6"/>
  <c r="AE191" i="6"/>
  <c r="AE192" i="6"/>
  <c r="AE193" i="6"/>
  <c r="AE194" i="6"/>
  <c r="AE195" i="6"/>
  <c r="AF195" i="6" s="1"/>
  <c r="AG195" i="6" s="1"/>
  <c r="AD110" i="6"/>
  <c r="AF110" i="6" s="1"/>
  <c r="AD111" i="6"/>
  <c r="AD112" i="6"/>
  <c r="AD114" i="6"/>
  <c r="AF114" i="6" s="1"/>
  <c r="AD115" i="6"/>
  <c r="AD116" i="6"/>
  <c r="AD118" i="6"/>
  <c r="AD119" i="6"/>
  <c r="AD120" i="6"/>
  <c r="AD122" i="6"/>
  <c r="AD123" i="6"/>
  <c r="AD125" i="6"/>
  <c r="AD126" i="6"/>
  <c r="AD127" i="6"/>
  <c r="AD128" i="6"/>
  <c r="AF128" i="6" s="1"/>
  <c r="AD129" i="6"/>
  <c r="AD130" i="6"/>
  <c r="AD131" i="6"/>
  <c r="AD132" i="6"/>
  <c r="AD133" i="6"/>
  <c r="AD134" i="6"/>
  <c r="AD135" i="6"/>
  <c r="AD136" i="6"/>
  <c r="AD137" i="6"/>
  <c r="AD138" i="6"/>
  <c r="AD139" i="6"/>
  <c r="AD140" i="6"/>
  <c r="AD141" i="6"/>
  <c r="AD142" i="6"/>
  <c r="AD143" i="6"/>
  <c r="AD144" i="6"/>
  <c r="AD145" i="6"/>
  <c r="AD146" i="6"/>
  <c r="AD147" i="6"/>
  <c r="AD148" i="6"/>
  <c r="AD149" i="6"/>
  <c r="AD150" i="6"/>
  <c r="AD151" i="6"/>
  <c r="AD152" i="6"/>
  <c r="AD153" i="6"/>
  <c r="AD154" i="6"/>
  <c r="AD155" i="6"/>
  <c r="AD156" i="6"/>
  <c r="AD157" i="6"/>
  <c r="AD158" i="6"/>
  <c r="AD159" i="6"/>
  <c r="AD160" i="6"/>
  <c r="AD161" i="6"/>
  <c r="AD162" i="6"/>
  <c r="AD163" i="6"/>
  <c r="AD164" i="6"/>
  <c r="AD165" i="6"/>
  <c r="AD166" i="6"/>
  <c r="AD167" i="6"/>
  <c r="AD168" i="6"/>
  <c r="AD170" i="6"/>
  <c r="AD171" i="6"/>
  <c r="AD172" i="6"/>
  <c r="AD174" i="6"/>
  <c r="AD175" i="6"/>
  <c r="AD176" i="6"/>
  <c r="AD177" i="6"/>
  <c r="AD178" i="6"/>
  <c r="AD179" i="6"/>
  <c r="AD180" i="6"/>
  <c r="AD181" i="6"/>
  <c r="AD182" i="6"/>
  <c r="AD183" i="6"/>
  <c r="AD184" i="6"/>
  <c r="AD185" i="6"/>
  <c r="AD186" i="6"/>
  <c r="AD187" i="6"/>
  <c r="AD188" i="6"/>
  <c r="AD189" i="6"/>
  <c r="AD190" i="6"/>
  <c r="AD191" i="6"/>
  <c r="AD192" i="6"/>
  <c r="AD193" i="6"/>
  <c r="AD194" i="6"/>
  <c r="AD195" i="6"/>
  <c r="AD81" i="5"/>
  <c r="AE81" i="5"/>
  <c r="AD82" i="5"/>
  <c r="AE82" i="5"/>
  <c r="AF82" i="5"/>
  <c r="AG82" i="5" s="1"/>
  <c r="AD83" i="5"/>
  <c r="AE83" i="5"/>
  <c r="AD84" i="5"/>
  <c r="AE84" i="5"/>
  <c r="AD85" i="5"/>
  <c r="AE85" i="5"/>
  <c r="AD86" i="5"/>
  <c r="AE86" i="5"/>
  <c r="AD87" i="5"/>
  <c r="AE87" i="5"/>
  <c r="AD88" i="5"/>
  <c r="AE88" i="5"/>
  <c r="AF88" i="5" s="1"/>
  <c r="AD89" i="5"/>
  <c r="AE89" i="5"/>
  <c r="AD90" i="5"/>
  <c r="AE90" i="5"/>
  <c r="AD91" i="5"/>
  <c r="AE91" i="5"/>
  <c r="AD92" i="5"/>
  <c r="AE92" i="5"/>
  <c r="AF92" i="5" s="1"/>
  <c r="AD93" i="5"/>
  <c r="AE93" i="5"/>
  <c r="AD94" i="5"/>
  <c r="AE94" i="5"/>
  <c r="AD95" i="5"/>
  <c r="AE95" i="5"/>
  <c r="AF95" i="5"/>
  <c r="AD96" i="5"/>
  <c r="AE96" i="5"/>
  <c r="AD97" i="5"/>
  <c r="AE97" i="5"/>
  <c r="AD98" i="5"/>
  <c r="AE98" i="5"/>
  <c r="AD99" i="5"/>
  <c r="AE99" i="5"/>
  <c r="AD100" i="5"/>
  <c r="AE100" i="5"/>
  <c r="AD101" i="5"/>
  <c r="AE101" i="5"/>
  <c r="AD102" i="5"/>
  <c r="AE102" i="5"/>
  <c r="AD103" i="5"/>
  <c r="AE103" i="5"/>
  <c r="AD104" i="5"/>
  <c r="AE104" i="5"/>
  <c r="AD105" i="5"/>
  <c r="AE105" i="5"/>
  <c r="AD106" i="5"/>
  <c r="AE106" i="5"/>
  <c r="AD107" i="5"/>
  <c r="AE107" i="5"/>
  <c r="AF107" i="5" s="1"/>
  <c r="AD108" i="5"/>
  <c r="AE108" i="5"/>
  <c r="AD196" i="5"/>
  <c r="AE196" i="5"/>
  <c r="AE109" i="5"/>
  <c r="AE110" i="5"/>
  <c r="AE111" i="5"/>
  <c r="AE112" i="5"/>
  <c r="AD112" i="5"/>
  <c r="AE113" i="5"/>
  <c r="AE114" i="5"/>
  <c r="AE115" i="5"/>
  <c r="AE116" i="5"/>
  <c r="AE117" i="5"/>
  <c r="AE118" i="5"/>
  <c r="AE119" i="5"/>
  <c r="AE120" i="5"/>
  <c r="AE121" i="5"/>
  <c r="AE122" i="5"/>
  <c r="AE123" i="5"/>
  <c r="AE124" i="5"/>
  <c r="AD124" i="5"/>
  <c r="AE125" i="5"/>
  <c r="AE126" i="5"/>
  <c r="AE127" i="5"/>
  <c r="AE128" i="5"/>
  <c r="AE129" i="5"/>
  <c r="AE130" i="5"/>
  <c r="AE131" i="5"/>
  <c r="AE132" i="5"/>
  <c r="AE133" i="5"/>
  <c r="AE134" i="5"/>
  <c r="AE135" i="5"/>
  <c r="AE136" i="5"/>
  <c r="AE137" i="5"/>
  <c r="AE138" i="5"/>
  <c r="AE139" i="5"/>
  <c r="AE140" i="5"/>
  <c r="AD140" i="5"/>
  <c r="AE141" i="5"/>
  <c r="AE142" i="5"/>
  <c r="AE143" i="5"/>
  <c r="AF143" i="5" s="1"/>
  <c r="AE144" i="5"/>
  <c r="AD144" i="5"/>
  <c r="AE145" i="5"/>
  <c r="AE146" i="5"/>
  <c r="AE147" i="5"/>
  <c r="AE148" i="5"/>
  <c r="AE149" i="5"/>
  <c r="AE150" i="5"/>
  <c r="AE151" i="5"/>
  <c r="AE152" i="5"/>
  <c r="AE153" i="5"/>
  <c r="AE154" i="5"/>
  <c r="AE155" i="5"/>
  <c r="AE156" i="5"/>
  <c r="AE157" i="5"/>
  <c r="AE158" i="5"/>
  <c r="AE159" i="5"/>
  <c r="AE160" i="5"/>
  <c r="AE161" i="5"/>
  <c r="AE162" i="5"/>
  <c r="AE163" i="5"/>
  <c r="AE164" i="5"/>
  <c r="AE165" i="5"/>
  <c r="AE166" i="5"/>
  <c r="AE167" i="5"/>
  <c r="AE168" i="5"/>
  <c r="AE169" i="5"/>
  <c r="AF169" i="5" s="1"/>
  <c r="AE170" i="5"/>
  <c r="AE171" i="5"/>
  <c r="AE172" i="5"/>
  <c r="AE173" i="5"/>
  <c r="AE174" i="5"/>
  <c r="AE175" i="5"/>
  <c r="AE176" i="5"/>
  <c r="AE177" i="5"/>
  <c r="AE178" i="5"/>
  <c r="AE179" i="5"/>
  <c r="AE180" i="5"/>
  <c r="AE181" i="5"/>
  <c r="AE182" i="5"/>
  <c r="AE183" i="5"/>
  <c r="AE184" i="5"/>
  <c r="AD184" i="5"/>
  <c r="AE185" i="5"/>
  <c r="AE186" i="5"/>
  <c r="AE187" i="5"/>
  <c r="AE188" i="5"/>
  <c r="AD188" i="5"/>
  <c r="AE189" i="5"/>
  <c r="AE190" i="5"/>
  <c r="AE191" i="5"/>
  <c r="AE192" i="5"/>
  <c r="AD192" i="5"/>
  <c r="AE193" i="5"/>
  <c r="AE194" i="5"/>
  <c r="AE195" i="5"/>
  <c r="AD109" i="5"/>
  <c r="AD110" i="5"/>
  <c r="AD111" i="5"/>
  <c r="AD113" i="5"/>
  <c r="AD114" i="5"/>
  <c r="AD115" i="5"/>
  <c r="AD116" i="5"/>
  <c r="AD117" i="5"/>
  <c r="AD118" i="5"/>
  <c r="AD119" i="5"/>
  <c r="AD120" i="5"/>
  <c r="AD121" i="5"/>
  <c r="AF121" i="5" s="1"/>
  <c r="AD122" i="5"/>
  <c r="AD123" i="5"/>
  <c r="AD125" i="5"/>
  <c r="AD126" i="5"/>
  <c r="AD127" i="5"/>
  <c r="AD128" i="5"/>
  <c r="AD129" i="5"/>
  <c r="AD130" i="5"/>
  <c r="AD131" i="5"/>
  <c r="AD132" i="5"/>
  <c r="AD133" i="5"/>
  <c r="AD134" i="5"/>
  <c r="AD135" i="5"/>
  <c r="AD136" i="5"/>
  <c r="AD137" i="5"/>
  <c r="AD138" i="5"/>
  <c r="AD139" i="5"/>
  <c r="AD141" i="5"/>
  <c r="AD142" i="5"/>
  <c r="AD143" i="5"/>
  <c r="AD145" i="5"/>
  <c r="AD146" i="5"/>
  <c r="AD147" i="5"/>
  <c r="AD148" i="5"/>
  <c r="AD149" i="5"/>
  <c r="AD150" i="5"/>
  <c r="AD151" i="5"/>
  <c r="AD152" i="5"/>
  <c r="AD153" i="5"/>
  <c r="AF153" i="5" s="1"/>
  <c r="AD154" i="5"/>
  <c r="AF154" i="5" s="1"/>
  <c r="AG154" i="5" s="1"/>
  <c r="AD155" i="5"/>
  <c r="AD156" i="5"/>
  <c r="AD157" i="5"/>
  <c r="AD158" i="5"/>
  <c r="AF158" i="5" s="1"/>
  <c r="AG158" i="5" s="1"/>
  <c r="AD159" i="5"/>
  <c r="AF159" i="5" s="1"/>
  <c r="AD160" i="5"/>
  <c r="AD161" i="5"/>
  <c r="AF161" i="5" s="1"/>
  <c r="AD162" i="5"/>
  <c r="AD163" i="5"/>
  <c r="AD164" i="5"/>
  <c r="AD165" i="5"/>
  <c r="AF165" i="5" s="1"/>
  <c r="AD166" i="5"/>
  <c r="AF166" i="5" s="1"/>
  <c r="AD167" i="5"/>
  <c r="AD168" i="5"/>
  <c r="AD169" i="5"/>
  <c r="AD170" i="5"/>
  <c r="AD171" i="5"/>
  <c r="AD172" i="5"/>
  <c r="AD173" i="5"/>
  <c r="AD174" i="5"/>
  <c r="AD175" i="5"/>
  <c r="AD176" i="5"/>
  <c r="AD177" i="5"/>
  <c r="AF177" i="5" s="1"/>
  <c r="AD178" i="5"/>
  <c r="AF178" i="5" s="1"/>
  <c r="AD179" i="5"/>
  <c r="AD180" i="5"/>
  <c r="AD181" i="5"/>
  <c r="AD182" i="5"/>
  <c r="AD183" i="5"/>
  <c r="AD185" i="5"/>
  <c r="AD186" i="5"/>
  <c r="AD187" i="5"/>
  <c r="AD189" i="5"/>
  <c r="AF189" i="5" s="1"/>
  <c r="AD190" i="5"/>
  <c r="AD191" i="5"/>
  <c r="AD193" i="5"/>
  <c r="AD194" i="5"/>
  <c r="AD195" i="5"/>
  <c r="AD81" i="4"/>
  <c r="AE81" i="4"/>
  <c r="AD82" i="4"/>
  <c r="AE82" i="4"/>
  <c r="AD83" i="4"/>
  <c r="AE83" i="4"/>
  <c r="AD84" i="4"/>
  <c r="AF84" i="4" s="1"/>
  <c r="AG84" i="4" s="1"/>
  <c r="AE84" i="4"/>
  <c r="AD85" i="4"/>
  <c r="AE85" i="4"/>
  <c r="AD86" i="4"/>
  <c r="AE86" i="4"/>
  <c r="AD87" i="4"/>
  <c r="AE87" i="4"/>
  <c r="AD88" i="4"/>
  <c r="AE88" i="4"/>
  <c r="AD89" i="4"/>
  <c r="AE89" i="4"/>
  <c r="AD90" i="4"/>
  <c r="AE90" i="4"/>
  <c r="AD91" i="4"/>
  <c r="AE91" i="4"/>
  <c r="AD92" i="4"/>
  <c r="AE92" i="4"/>
  <c r="AD93" i="4"/>
  <c r="AE93" i="4"/>
  <c r="AD94" i="4"/>
  <c r="AE94" i="4"/>
  <c r="AD95" i="4"/>
  <c r="AE95" i="4"/>
  <c r="AD96" i="4"/>
  <c r="AE96" i="4"/>
  <c r="AD97" i="4"/>
  <c r="AE97" i="4"/>
  <c r="AD98" i="4"/>
  <c r="AE98" i="4"/>
  <c r="AD99" i="4"/>
  <c r="AE99" i="4"/>
  <c r="AD100" i="4"/>
  <c r="AE100" i="4"/>
  <c r="AD101" i="4"/>
  <c r="AE101" i="4"/>
  <c r="AD102" i="4"/>
  <c r="AE102" i="4"/>
  <c r="AD103" i="4"/>
  <c r="AE103" i="4"/>
  <c r="AD104" i="4"/>
  <c r="AE104" i="4"/>
  <c r="AD105" i="4"/>
  <c r="AE105" i="4"/>
  <c r="AD106" i="4"/>
  <c r="AE106" i="4"/>
  <c r="AD107" i="4"/>
  <c r="AE107" i="4"/>
  <c r="AD108" i="4"/>
  <c r="AE108" i="4"/>
  <c r="AD196" i="4"/>
  <c r="AE196"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D179" i="4"/>
  <c r="AE180" i="4"/>
  <c r="AE181" i="4"/>
  <c r="AE182" i="4"/>
  <c r="AE183" i="4"/>
  <c r="AE184" i="4"/>
  <c r="AE185" i="4"/>
  <c r="AE186" i="4"/>
  <c r="AE187" i="4"/>
  <c r="AE188" i="4"/>
  <c r="AE189" i="4"/>
  <c r="AE190" i="4"/>
  <c r="AE191" i="4"/>
  <c r="AD191" i="4"/>
  <c r="AE192" i="4"/>
  <c r="AE193" i="4"/>
  <c r="AE194" i="4"/>
  <c r="AE195" i="4"/>
  <c r="AD109" i="4"/>
  <c r="AD110" i="4"/>
  <c r="AD111" i="4"/>
  <c r="AD112" i="4"/>
  <c r="AD113" i="4"/>
  <c r="AD114" i="4"/>
  <c r="AD115" i="4"/>
  <c r="AF115" i="4" s="1"/>
  <c r="AD116" i="4"/>
  <c r="AD117" i="4"/>
  <c r="AD118" i="4"/>
  <c r="AD119" i="4"/>
  <c r="AF119" i="4"/>
  <c r="AD120" i="4"/>
  <c r="AD121" i="4"/>
  <c r="AD122" i="4"/>
  <c r="AD123" i="4"/>
  <c r="AF123" i="4" s="1"/>
  <c r="AD124" i="4"/>
  <c r="AD125" i="4"/>
  <c r="AD126" i="4"/>
  <c r="AD127" i="4"/>
  <c r="AD128" i="4"/>
  <c r="AD129" i="4"/>
  <c r="AD130" i="4"/>
  <c r="AD131" i="4"/>
  <c r="AF131" i="4" s="1"/>
  <c r="AD132" i="4"/>
  <c r="AD133" i="4"/>
  <c r="AD134" i="4"/>
  <c r="AD135" i="4"/>
  <c r="AD136" i="4"/>
  <c r="AD137" i="4"/>
  <c r="AD138" i="4"/>
  <c r="AD139" i="4"/>
  <c r="AF139" i="4" s="1"/>
  <c r="AD140" i="4"/>
  <c r="AD141" i="4"/>
  <c r="AD142" i="4"/>
  <c r="AD143" i="4"/>
  <c r="AF143" i="4" s="1"/>
  <c r="AD144" i="4"/>
  <c r="AD145" i="4"/>
  <c r="AD146" i="4"/>
  <c r="AD147" i="4"/>
  <c r="AD148" i="4"/>
  <c r="AD149" i="4"/>
  <c r="AD150" i="4"/>
  <c r="AD151" i="4"/>
  <c r="AD152" i="4"/>
  <c r="AD153" i="4"/>
  <c r="AD154" i="4"/>
  <c r="AD155" i="4"/>
  <c r="AD156" i="4"/>
  <c r="AD157" i="4"/>
  <c r="AD158" i="4"/>
  <c r="AD159" i="4"/>
  <c r="AD160" i="4"/>
  <c r="AD161" i="4"/>
  <c r="AD162" i="4"/>
  <c r="AD163" i="4"/>
  <c r="AF163" i="4"/>
  <c r="AD164" i="4"/>
  <c r="AD165" i="4"/>
  <c r="AD166" i="4"/>
  <c r="AD167" i="4"/>
  <c r="AD168" i="4"/>
  <c r="AD169" i="4"/>
  <c r="AD170" i="4"/>
  <c r="AD171" i="4"/>
  <c r="AD172" i="4"/>
  <c r="AD173" i="4"/>
  <c r="AD174" i="4"/>
  <c r="AD175" i="4"/>
  <c r="AF175" i="4" s="1"/>
  <c r="AD176" i="4"/>
  <c r="AD177" i="4"/>
  <c r="AD178" i="4"/>
  <c r="AD180" i="4"/>
  <c r="AD181" i="4"/>
  <c r="AD182" i="4"/>
  <c r="AD183" i="4"/>
  <c r="AD184" i="4"/>
  <c r="AD185" i="4"/>
  <c r="AD186" i="4"/>
  <c r="AD187" i="4"/>
  <c r="AD188" i="4"/>
  <c r="AD189" i="4"/>
  <c r="AD190" i="4"/>
  <c r="AD192" i="4"/>
  <c r="AD193" i="4"/>
  <c r="AD194" i="4"/>
  <c r="AD195" i="4"/>
  <c r="AE81" i="3"/>
  <c r="AE82" i="3"/>
  <c r="AE83" i="3"/>
  <c r="AE84" i="3"/>
  <c r="AE85" i="3"/>
  <c r="AE86" i="3"/>
  <c r="AE87" i="3"/>
  <c r="AF87" i="3" s="1"/>
  <c r="AD87" i="3"/>
  <c r="AE88" i="3"/>
  <c r="AE89" i="3"/>
  <c r="AD89" i="3"/>
  <c r="AE90" i="3"/>
  <c r="AD90" i="3"/>
  <c r="AE91" i="3"/>
  <c r="AD91" i="3"/>
  <c r="AF91" i="3" s="1"/>
  <c r="AE92" i="3"/>
  <c r="AE93" i="3"/>
  <c r="AD93" i="3"/>
  <c r="AE94" i="3"/>
  <c r="AF94" i="3" s="1"/>
  <c r="AD94" i="3"/>
  <c r="AE95" i="3"/>
  <c r="AD95" i="3"/>
  <c r="AE96" i="3"/>
  <c r="AE97" i="3"/>
  <c r="AD97" i="3"/>
  <c r="AE98" i="3"/>
  <c r="AD98" i="3"/>
  <c r="AE99" i="3"/>
  <c r="AD99" i="3"/>
  <c r="AE100" i="3"/>
  <c r="AE101" i="3"/>
  <c r="AD101" i="3"/>
  <c r="AE102" i="3"/>
  <c r="AD102" i="3"/>
  <c r="AE103" i="3"/>
  <c r="AD103" i="3"/>
  <c r="AE104" i="3"/>
  <c r="AE105" i="3"/>
  <c r="AD105" i="3"/>
  <c r="AE106" i="3"/>
  <c r="AD106" i="3"/>
  <c r="AE107" i="3"/>
  <c r="AD107" i="3"/>
  <c r="AE108" i="3"/>
  <c r="AE109" i="3"/>
  <c r="AE110" i="3"/>
  <c r="AD110" i="3"/>
  <c r="AE111" i="3"/>
  <c r="AE112" i="3"/>
  <c r="AE113" i="3"/>
  <c r="AE114" i="3"/>
  <c r="AD114" i="3"/>
  <c r="AE115" i="3"/>
  <c r="AE116" i="3"/>
  <c r="AD116" i="3"/>
  <c r="AE117" i="3"/>
  <c r="AE118" i="3"/>
  <c r="AD118" i="3"/>
  <c r="AE119" i="3"/>
  <c r="AE120" i="3"/>
  <c r="AE121" i="3"/>
  <c r="AE122" i="3"/>
  <c r="AD122" i="3"/>
  <c r="AE123" i="3"/>
  <c r="AE124" i="3"/>
  <c r="AD124" i="3"/>
  <c r="AE125" i="3"/>
  <c r="AE126" i="3"/>
  <c r="AE127" i="3"/>
  <c r="AE128" i="3"/>
  <c r="AE129" i="3"/>
  <c r="AE130" i="3"/>
  <c r="AE131" i="3"/>
  <c r="AE132" i="3"/>
  <c r="AD132" i="3"/>
  <c r="AE133" i="3"/>
  <c r="AE134" i="3"/>
  <c r="AE135" i="3"/>
  <c r="AE136" i="3"/>
  <c r="AE137" i="3"/>
  <c r="AE138" i="3"/>
  <c r="AE139" i="3"/>
  <c r="AE140" i="3"/>
  <c r="AE141" i="3"/>
  <c r="AE142" i="3"/>
  <c r="AD142" i="3"/>
  <c r="AE143" i="3"/>
  <c r="AE144" i="3"/>
  <c r="AE145" i="3"/>
  <c r="AE146" i="3"/>
  <c r="AD146" i="3"/>
  <c r="AE147" i="3"/>
  <c r="AE148" i="3"/>
  <c r="AE149" i="3"/>
  <c r="AE150" i="3"/>
  <c r="AD150" i="3"/>
  <c r="AE151" i="3"/>
  <c r="AE152" i="3"/>
  <c r="AE153" i="3"/>
  <c r="AE154" i="3"/>
  <c r="AD154" i="3"/>
  <c r="AE155" i="3"/>
  <c r="AE156" i="3"/>
  <c r="AE157" i="3"/>
  <c r="AE158" i="3"/>
  <c r="AE159" i="3"/>
  <c r="AE160" i="3"/>
  <c r="AE161" i="3"/>
  <c r="AE162" i="3"/>
  <c r="AE163" i="3"/>
  <c r="AE164" i="3"/>
  <c r="AE165" i="3"/>
  <c r="AE166" i="3"/>
  <c r="AE167" i="3"/>
  <c r="AE168" i="3"/>
  <c r="AE169" i="3"/>
  <c r="AE170" i="3"/>
  <c r="AD170" i="3"/>
  <c r="AE171" i="3"/>
  <c r="AE172" i="3"/>
  <c r="AE173" i="3"/>
  <c r="AE174" i="3"/>
  <c r="AD174" i="3"/>
  <c r="AE175" i="3"/>
  <c r="AE176" i="3"/>
  <c r="AE177" i="3"/>
  <c r="AE178" i="3"/>
  <c r="AD178" i="3"/>
  <c r="AE179" i="3"/>
  <c r="AE180" i="3"/>
  <c r="AE181" i="3"/>
  <c r="AE182" i="3"/>
  <c r="AE183" i="3"/>
  <c r="AE184" i="3"/>
  <c r="AE185" i="3"/>
  <c r="AE186" i="3"/>
  <c r="AE187" i="3"/>
  <c r="AE188" i="3"/>
  <c r="AE189" i="3"/>
  <c r="AE190" i="3"/>
  <c r="AE191" i="3"/>
  <c r="AE192" i="3"/>
  <c r="AE193" i="3"/>
  <c r="AE194" i="3"/>
  <c r="AE195" i="3"/>
  <c r="AE196" i="3"/>
  <c r="AD81" i="3"/>
  <c r="AD82" i="3"/>
  <c r="AD83" i="3"/>
  <c r="AD84" i="3"/>
  <c r="AD85" i="3"/>
  <c r="AD86" i="3"/>
  <c r="AD88" i="3"/>
  <c r="AD92" i="3"/>
  <c r="AD96" i="3"/>
  <c r="AF96" i="3" s="1"/>
  <c r="AD100" i="3"/>
  <c r="AD104" i="3"/>
  <c r="AF104" i="3" s="1"/>
  <c r="AD108" i="3"/>
  <c r="AD109" i="3"/>
  <c r="AD111" i="3"/>
  <c r="AD112" i="3"/>
  <c r="AD113" i="3"/>
  <c r="AD115" i="3"/>
  <c r="AD117" i="3"/>
  <c r="AD119" i="3"/>
  <c r="AD120" i="3"/>
  <c r="AD121" i="3"/>
  <c r="AD123" i="3"/>
  <c r="AD125" i="3"/>
  <c r="AD126" i="3"/>
  <c r="AD127" i="3"/>
  <c r="AD128" i="3"/>
  <c r="AD129" i="3"/>
  <c r="AD130" i="3"/>
  <c r="AD131" i="3"/>
  <c r="AD133" i="3"/>
  <c r="AD134" i="3"/>
  <c r="AF134" i="3" s="1"/>
  <c r="AD135" i="3"/>
  <c r="AD136" i="3"/>
  <c r="AD137" i="3"/>
  <c r="AD138" i="3"/>
  <c r="AD139" i="3"/>
  <c r="AD140" i="3"/>
  <c r="AF140" i="3" s="1"/>
  <c r="AD141" i="3"/>
  <c r="AD143" i="3"/>
  <c r="AD144" i="3"/>
  <c r="AD145" i="3"/>
  <c r="AD147" i="3"/>
  <c r="AD148" i="3"/>
  <c r="AF148" i="3" s="1"/>
  <c r="AD149" i="3"/>
  <c r="AD151" i="3"/>
  <c r="AD152" i="3"/>
  <c r="AD153" i="3"/>
  <c r="AD155" i="3"/>
  <c r="AD156" i="3"/>
  <c r="AF156" i="3" s="1"/>
  <c r="AD157" i="3"/>
  <c r="AF157" i="3" s="1"/>
  <c r="AD158" i="3"/>
  <c r="AD159" i="3"/>
  <c r="AD160" i="3"/>
  <c r="AF160" i="3" s="1"/>
  <c r="AD161" i="3"/>
  <c r="AD162" i="3"/>
  <c r="AD163" i="3"/>
  <c r="AD164" i="3"/>
  <c r="AD165" i="3"/>
  <c r="AD166" i="3"/>
  <c r="AD167" i="3"/>
  <c r="AD168" i="3"/>
  <c r="AF168" i="3" s="1"/>
  <c r="AG168" i="3" s="1"/>
  <c r="AD169" i="3"/>
  <c r="AD171" i="3"/>
  <c r="AD172" i="3"/>
  <c r="AD173" i="3"/>
  <c r="AD175" i="3"/>
  <c r="AD176" i="3"/>
  <c r="AD177" i="3"/>
  <c r="AD179" i="3"/>
  <c r="AD180" i="3"/>
  <c r="AD181" i="3"/>
  <c r="AD182" i="3"/>
  <c r="AD183" i="3"/>
  <c r="AD184" i="3"/>
  <c r="AD185" i="3"/>
  <c r="AD186" i="3"/>
  <c r="AD187" i="3"/>
  <c r="AD188" i="3"/>
  <c r="AD189" i="3"/>
  <c r="AD190" i="3"/>
  <c r="AD191" i="3"/>
  <c r="AD192" i="3"/>
  <c r="AD193" i="3"/>
  <c r="AD194" i="3"/>
  <c r="AD195" i="3"/>
  <c r="AD196" i="3"/>
  <c r="E79" i="3"/>
  <c r="BB79" i="3" s="1"/>
  <c r="P53" i="3"/>
  <c r="K12" i="15" s="1"/>
  <c r="M53" i="3"/>
  <c r="H12" i="15" s="1"/>
  <c r="M53" i="4"/>
  <c r="H13" i="15" s="1"/>
  <c r="M53" i="5"/>
  <c r="H14" i="15" s="1"/>
  <c r="M53" i="6"/>
  <c r="H15" i="15" s="1"/>
  <c r="M53" i="7"/>
  <c r="H16" i="15" s="1"/>
  <c r="M53" i="8"/>
  <c r="H17" i="15" s="1"/>
  <c r="M53" i="9"/>
  <c r="H18" i="15" s="1"/>
  <c r="M53" i="10"/>
  <c r="H19" i="15" s="1"/>
  <c r="M53" i="11"/>
  <c r="H20" i="15" s="1"/>
  <c r="M53" i="12"/>
  <c r="H21" i="15" s="1"/>
  <c r="M53" i="13"/>
  <c r="H22" i="15" s="1"/>
  <c r="M53" i="14"/>
  <c r="H23" i="15" s="1"/>
  <c r="N53" i="3"/>
  <c r="I12" i="15"/>
  <c r="O53" i="3"/>
  <c r="L53" i="3"/>
  <c r="G12" i="15" s="1"/>
  <c r="G21" i="3"/>
  <c r="E21" i="3" s="1"/>
  <c r="G24" i="3"/>
  <c r="E24" i="3" s="1"/>
  <c r="G25" i="3"/>
  <c r="E25" i="3" s="1"/>
  <c r="G28" i="3"/>
  <c r="E28" i="3" s="1"/>
  <c r="G29" i="3"/>
  <c r="E29" i="3" s="1"/>
  <c r="G32" i="3"/>
  <c r="E32" i="3" s="1"/>
  <c r="G33" i="3"/>
  <c r="E33" i="3" s="1"/>
  <c r="G36" i="3"/>
  <c r="E36" i="3" s="1"/>
  <c r="G37" i="3"/>
  <c r="E37" i="3" s="1"/>
  <c r="G44" i="3"/>
  <c r="E44" i="3" s="1"/>
  <c r="G52" i="3"/>
  <c r="E52" i="3" s="1"/>
  <c r="F54" i="3"/>
  <c r="F53" i="3"/>
  <c r="E61" i="3" s="1"/>
  <c r="G61" i="3" s="1"/>
  <c r="G18" i="3"/>
  <c r="E18" i="3" s="1"/>
  <c r="G19" i="3"/>
  <c r="E19" i="3" s="1"/>
  <c r="G20" i="3"/>
  <c r="E20" i="3" s="1"/>
  <c r="G17" i="3"/>
  <c r="E17" i="3" s="1"/>
  <c r="G22" i="3"/>
  <c r="E22" i="3" s="1"/>
  <c r="G23" i="3"/>
  <c r="E23" i="3" s="1"/>
  <c r="G26" i="3"/>
  <c r="E26" i="3" s="1"/>
  <c r="G27" i="3"/>
  <c r="E27" i="3" s="1"/>
  <c r="G30" i="3"/>
  <c r="E30" i="3" s="1"/>
  <c r="G31" i="3"/>
  <c r="E31" i="3" s="1"/>
  <c r="G34" i="3"/>
  <c r="E34" i="3" s="1"/>
  <c r="G35" i="3"/>
  <c r="E35" i="3" s="1"/>
  <c r="G38" i="3"/>
  <c r="E38" i="3" s="1"/>
  <c r="G39" i="3"/>
  <c r="E39" i="3" s="1"/>
  <c r="G40" i="3"/>
  <c r="E40" i="3" s="1"/>
  <c r="G41" i="3"/>
  <c r="E41" i="3" s="1"/>
  <c r="G42" i="3"/>
  <c r="E42" i="3" s="1"/>
  <c r="G43" i="3"/>
  <c r="E43" i="3" s="1"/>
  <c r="G45" i="3"/>
  <c r="E45" i="3" s="1"/>
  <c r="G46" i="3"/>
  <c r="E46" i="3" s="1"/>
  <c r="G47" i="3"/>
  <c r="E47" i="3" s="1"/>
  <c r="G48" i="3"/>
  <c r="E48" i="3" s="1"/>
  <c r="G49" i="3"/>
  <c r="E49" i="3" s="1"/>
  <c r="G50" i="3"/>
  <c r="E50" i="3" s="1"/>
  <c r="G51" i="3"/>
  <c r="E51" i="3" s="1"/>
  <c r="D41" i="3"/>
  <c r="D42" i="3"/>
  <c r="D43" i="3"/>
  <c r="D44" i="3"/>
  <c r="D45" i="3"/>
  <c r="D46" i="3"/>
  <c r="D47" i="3"/>
  <c r="D48" i="3"/>
  <c r="D49" i="3"/>
  <c r="D50" i="3"/>
  <c r="D51" i="3"/>
  <c r="D52" i="3"/>
  <c r="D18" i="3"/>
  <c r="D19" i="3"/>
  <c r="D21" i="3"/>
  <c r="D22" i="3"/>
  <c r="D23" i="3"/>
  <c r="D24" i="3"/>
  <c r="D25" i="3"/>
  <c r="D26" i="3"/>
  <c r="D27" i="3"/>
  <c r="D28" i="3"/>
  <c r="D29" i="3"/>
  <c r="D30" i="3"/>
  <c r="D31" i="3"/>
  <c r="D32" i="3"/>
  <c r="D33" i="3"/>
  <c r="D34" i="3"/>
  <c r="D35" i="3"/>
  <c r="D36" i="3"/>
  <c r="D37" i="3"/>
  <c r="D38" i="3"/>
  <c r="D39" i="3"/>
  <c r="D40" i="3"/>
  <c r="D17" i="3"/>
  <c r="E9" i="4"/>
  <c r="E11" i="4"/>
  <c r="G28" i="4" s="1"/>
  <c r="A1" i="15"/>
  <c r="A1" i="39" s="1"/>
  <c r="A2" i="14"/>
  <c r="A2" i="13"/>
  <c r="A2" i="12"/>
  <c r="A2" i="11"/>
  <c r="A2" i="10"/>
  <c r="A2" i="9"/>
  <c r="A2" i="8"/>
  <c r="A2" i="7"/>
  <c r="A2" i="6"/>
  <c r="A2" i="5"/>
  <c r="A2" i="4"/>
  <c r="H2" i="39"/>
  <c r="N2" i="38"/>
  <c r="C12" i="38"/>
  <c r="G12" i="38"/>
  <c r="C17" i="38"/>
  <c r="G17" i="38"/>
  <c r="C22" i="38"/>
  <c r="C34" i="38" s="1"/>
  <c r="G22" i="38"/>
  <c r="G27" i="38"/>
  <c r="G32" i="38"/>
  <c r="C32" i="38"/>
  <c r="G49" i="38"/>
  <c r="G54" i="38"/>
  <c r="G59" i="38"/>
  <c r="G64" i="38"/>
  <c r="G69" i="38"/>
  <c r="I2" i="37"/>
  <c r="I16" i="37"/>
  <c r="C18" i="37"/>
  <c r="A22" i="37"/>
  <c r="I24" i="37"/>
  <c r="A28" i="37"/>
  <c r="A32" i="37" s="1"/>
  <c r="C28" i="37"/>
  <c r="A34" i="37"/>
  <c r="C34" i="37"/>
  <c r="G39" i="37"/>
  <c r="G41" i="37"/>
  <c r="H41" i="37" s="1"/>
  <c r="N53" i="4"/>
  <c r="I13" i="15"/>
  <c r="O53" i="4"/>
  <c r="J13" i="15"/>
  <c r="P53" i="4"/>
  <c r="K13" i="15" s="1"/>
  <c r="I198" i="3"/>
  <c r="J198" i="3"/>
  <c r="K198" i="3"/>
  <c r="K79" i="4" s="1"/>
  <c r="K198" i="4" s="1"/>
  <c r="K79" i="5" s="1"/>
  <c r="K198" i="5" s="1"/>
  <c r="K79" i="6" s="1"/>
  <c r="K198" i="6" s="1"/>
  <c r="L198" i="3"/>
  <c r="L79" i="4" s="1"/>
  <c r="M198" i="3"/>
  <c r="M79" i="4" s="1"/>
  <c r="M198" i="4" s="1"/>
  <c r="M79" i="5"/>
  <c r="M198" i="5" s="1"/>
  <c r="M79" i="6" s="1"/>
  <c r="M198" i="6" s="1"/>
  <c r="N198" i="3"/>
  <c r="N79" i="4" s="1"/>
  <c r="N198" i="4" s="1"/>
  <c r="N79" i="5" s="1"/>
  <c r="N198" i="5" s="1"/>
  <c r="N79" i="6" s="1"/>
  <c r="N198" i="6" s="1"/>
  <c r="O198" i="3"/>
  <c r="O79" i="4" s="1"/>
  <c r="O198" i="4"/>
  <c r="O79" i="5" s="1"/>
  <c r="O198" i="5" s="1"/>
  <c r="O79" i="6" s="1"/>
  <c r="Q198" i="3"/>
  <c r="Q79" i="4" s="1"/>
  <c r="G198" i="3"/>
  <c r="G79" i="4" s="1"/>
  <c r="G198" i="4" s="1"/>
  <c r="G79" i="5" s="1"/>
  <c r="G198" i="5" s="1"/>
  <c r="G79" i="6" s="1"/>
  <c r="G198" i="6" s="1"/>
  <c r="G79" i="7" s="1"/>
  <c r="G198" i="7" s="1"/>
  <c r="G79" i="8" s="1"/>
  <c r="G198" i="8" s="1"/>
  <c r="G79" i="9" s="1"/>
  <c r="G198" i="9" s="1"/>
  <c r="G79" i="10" s="1"/>
  <c r="G198" i="10" s="1"/>
  <c r="G79" i="11" s="1"/>
  <c r="G198" i="11" s="1"/>
  <c r="P198" i="3"/>
  <c r="R198" i="3"/>
  <c r="R79" i="4" s="1"/>
  <c r="S198" i="3"/>
  <c r="S79" i="4" s="1"/>
  <c r="S198" i="4" s="1"/>
  <c r="S79" i="5" s="1"/>
  <c r="S198" i="5" s="1"/>
  <c r="S79" i="6" s="1"/>
  <c r="T198" i="3"/>
  <c r="U198" i="3"/>
  <c r="U79" i="4" s="1"/>
  <c r="V198" i="3"/>
  <c r="V79" i="4" s="1"/>
  <c r="W198" i="3"/>
  <c r="W79" i="4" s="1"/>
  <c r="W198" i="4" s="1"/>
  <c r="X198" i="3"/>
  <c r="X79" i="4" s="1"/>
  <c r="X198" i="4" s="1"/>
  <c r="X79" i="5" s="1"/>
  <c r="X198" i="5" s="1"/>
  <c r="X79" i="6" s="1"/>
  <c r="X198" i="6" s="1"/>
  <c r="X79" i="7" s="1"/>
  <c r="Y198" i="3"/>
  <c r="Z198" i="3"/>
  <c r="Z79" i="4" s="1"/>
  <c r="Z198" i="4" s="1"/>
  <c r="Z79" i="5" s="1"/>
  <c r="AA198" i="3"/>
  <c r="AA79" i="4" s="1"/>
  <c r="AB198" i="3"/>
  <c r="AC198" i="3"/>
  <c r="J26" i="34"/>
  <c r="D26" i="34"/>
  <c r="G12" i="34"/>
  <c r="D16" i="28"/>
  <c r="D24" i="28"/>
  <c r="E16" i="28"/>
  <c r="E24" i="28"/>
  <c r="F12" i="28"/>
  <c r="F13" i="28"/>
  <c r="K13" i="28"/>
  <c r="F14" i="28"/>
  <c r="F20" i="28"/>
  <c r="F21" i="28"/>
  <c r="F22" i="28"/>
  <c r="I16" i="28"/>
  <c r="I24" i="28"/>
  <c r="J16" i="28"/>
  <c r="J24" i="28"/>
  <c r="K12" i="28"/>
  <c r="K14" i="28"/>
  <c r="K20" i="28"/>
  <c r="K21" i="28"/>
  <c r="K22" i="28"/>
  <c r="M2" i="28"/>
  <c r="H24" i="28"/>
  <c r="C24" i="28"/>
  <c r="H16" i="28"/>
  <c r="C16" i="28"/>
  <c r="C27" i="17"/>
  <c r="E27" i="17"/>
  <c r="A1" i="18"/>
  <c r="M2" i="18"/>
  <c r="A1" i="17"/>
  <c r="H2" i="17"/>
  <c r="A1" i="16"/>
  <c r="H2" i="16"/>
  <c r="H23" i="16"/>
  <c r="A1" i="26"/>
  <c r="A12" i="26"/>
  <c r="A34" i="26"/>
  <c r="O11" i="15"/>
  <c r="A12" i="15"/>
  <c r="F12" i="15"/>
  <c r="Q12" i="15"/>
  <c r="AD34" i="15"/>
  <c r="AE34" i="15" s="1"/>
  <c r="A35" i="15"/>
  <c r="F53" i="14"/>
  <c r="L53" i="14"/>
  <c r="G23" i="15" s="1"/>
  <c r="N53" i="14"/>
  <c r="I23" i="15" s="1"/>
  <c r="O53" i="14"/>
  <c r="J23" i="15" s="1"/>
  <c r="P53" i="14"/>
  <c r="K23" i="15" s="1"/>
  <c r="AG79" i="14"/>
  <c r="AD80" i="14"/>
  <c r="AE80" i="14"/>
  <c r="AH80" i="14"/>
  <c r="AI80" i="14"/>
  <c r="AJ80" i="14"/>
  <c r="AK80" i="14"/>
  <c r="AL80" i="14"/>
  <c r="AM80" i="14"/>
  <c r="AN80" i="14"/>
  <c r="AO80" i="14"/>
  <c r="AP80" i="14"/>
  <c r="AQ80" i="14"/>
  <c r="AR80" i="14"/>
  <c r="AS80" i="14"/>
  <c r="AT80" i="14"/>
  <c r="AU80" i="14"/>
  <c r="AV80" i="14"/>
  <c r="AW80" i="14"/>
  <c r="AX80" i="14"/>
  <c r="AY80" i="14"/>
  <c r="AZ80" i="14"/>
  <c r="BA80" i="14"/>
  <c r="BB80" i="14"/>
  <c r="BC80" i="14"/>
  <c r="BD80" i="14"/>
  <c r="AH81" i="14"/>
  <c r="AI81" i="14"/>
  <c r="AJ81" i="14"/>
  <c r="AK81" i="14"/>
  <c r="AL81" i="14"/>
  <c r="AM81" i="14"/>
  <c r="AN81" i="14"/>
  <c r="AO81" i="14"/>
  <c r="AP81" i="14"/>
  <c r="AQ81" i="14"/>
  <c r="AR81" i="14"/>
  <c r="AS81" i="14"/>
  <c r="AT81" i="14"/>
  <c r="AU81" i="14"/>
  <c r="AV81" i="14"/>
  <c r="AW81" i="14"/>
  <c r="AX81" i="14"/>
  <c r="AY81" i="14"/>
  <c r="AZ81" i="14"/>
  <c r="BA81" i="14"/>
  <c r="BB81" i="14"/>
  <c r="BC81" i="14"/>
  <c r="BD81" i="14"/>
  <c r="AH82" i="14"/>
  <c r="AI82" i="14"/>
  <c r="AJ82" i="14"/>
  <c r="AK82" i="14"/>
  <c r="AL82" i="14"/>
  <c r="AM82" i="14"/>
  <c r="AN82" i="14"/>
  <c r="AO82" i="14"/>
  <c r="AP82" i="14"/>
  <c r="AQ82" i="14"/>
  <c r="AR82" i="14"/>
  <c r="AS82" i="14"/>
  <c r="AT82" i="14"/>
  <c r="AU82" i="14"/>
  <c r="AV82" i="14"/>
  <c r="AW82" i="14"/>
  <c r="AX82" i="14"/>
  <c r="AY82" i="14"/>
  <c r="AZ82" i="14"/>
  <c r="BA82" i="14"/>
  <c r="BB82" i="14"/>
  <c r="BC82" i="14"/>
  <c r="BD82" i="14"/>
  <c r="BE82" i="14"/>
  <c r="AH164" i="14"/>
  <c r="AI164" i="14"/>
  <c r="AJ164" i="14"/>
  <c r="AK164" i="14"/>
  <c r="AL164" i="14"/>
  <c r="AM164" i="14"/>
  <c r="AN164" i="14"/>
  <c r="AO164" i="14"/>
  <c r="AP164" i="14"/>
  <c r="AQ164" i="14"/>
  <c r="AR164" i="14"/>
  <c r="AS164" i="14"/>
  <c r="AT164" i="14"/>
  <c r="AU164" i="14"/>
  <c r="AV164" i="14"/>
  <c r="AW164" i="14"/>
  <c r="AX164" i="14"/>
  <c r="AY164" i="14"/>
  <c r="AZ164" i="14"/>
  <c r="BA164" i="14"/>
  <c r="BB164" i="14"/>
  <c r="BC164" i="14"/>
  <c r="BD164" i="14"/>
  <c r="BE164" i="14"/>
  <c r="AH165" i="14"/>
  <c r="AI165" i="14"/>
  <c r="AJ165" i="14"/>
  <c r="AK165" i="14"/>
  <c r="AL165" i="14"/>
  <c r="AM165" i="14"/>
  <c r="AN165" i="14"/>
  <c r="AO165" i="14"/>
  <c r="AP165" i="14"/>
  <c r="AQ165" i="14"/>
  <c r="AR165" i="14"/>
  <c r="AS165" i="14"/>
  <c r="AT165" i="14"/>
  <c r="AU165" i="14"/>
  <c r="AV165" i="14"/>
  <c r="AW165" i="14"/>
  <c r="AX165" i="14"/>
  <c r="AY165" i="14"/>
  <c r="AZ165" i="14"/>
  <c r="BA165" i="14"/>
  <c r="BB165" i="14"/>
  <c r="BC165" i="14"/>
  <c r="BD165" i="14"/>
  <c r="BE165" i="14"/>
  <c r="AH166" i="14"/>
  <c r="AI166" i="14"/>
  <c r="AJ166" i="14"/>
  <c r="AK166" i="14"/>
  <c r="AL166" i="14"/>
  <c r="AM166" i="14"/>
  <c r="AN166" i="14"/>
  <c r="AO166" i="14"/>
  <c r="AP166" i="14"/>
  <c r="AQ166" i="14"/>
  <c r="AR166" i="14"/>
  <c r="AS166" i="14"/>
  <c r="AT166" i="14"/>
  <c r="AU166" i="14"/>
  <c r="AV166" i="14"/>
  <c r="AW166" i="14"/>
  <c r="AX166" i="14"/>
  <c r="AY166" i="14"/>
  <c r="AZ166" i="14"/>
  <c r="BA166" i="14"/>
  <c r="BB166" i="14"/>
  <c r="BC166" i="14"/>
  <c r="BD166" i="14"/>
  <c r="BE166" i="14"/>
  <c r="AH167" i="14"/>
  <c r="AI167" i="14"/>
  <c r="AJ167" i="14"/>
  <c r="AK167" i="14"/>
  <c r="AL167" i="14"/>
  <c r="AM167" i="14"/>
  <c r="AN167" i="14"/>
  <c r="AO167" i="14"/>
  <c r="AP167" i="14"/>
  <c r="AQ167" i="14"/>
  <c r="AR167" i="14"/>
  <c r="AS167" i="14"/>
  <c r="AT167" i="14"/>
  <c r="AU167" i="14"/>
  <c r="AV167" i="14"/>
  <c r="AW167" i="14"/>
  <c r="AX167" i="14"/>
  <c r="AY167" i="14"/>
  <c r="AZ167" i="14"/>
  <c r="BA167" i="14"/>
  <c r="BB167" i="14"/>
  <c r="BC167" i="14"/>
  <c r="BD167" i="14"/>
  <c r="BE167" i="14"/>
  <c r="AH168" i="14"/>
  <c r="AI168" i="14"/>
  <c r="AJ168" i="14"/>
  <c r="AK168" i="14"/>
  <c r="AL168" i="14"/>
  <c r="AM168" i="14"/>
  <c r="AN168" i="14"/>
  <c r="AO168" i="14"/>
  <c r="AP168" i="14"/>
  <c r="AQ168" i="14"/>
  <c r="AR168" i="14"/>
  <c r="AS168" i="14"/>
  <c r="AT168" i="14"/>
  <c r="AU168" i="14"/>
  <c r="AV168" i="14"/>
  <c r="AW168" i="14"/>
  <c r="AX168" i="14"/>
  <c r="AY168" i="14"/>
  <c r="AZ168" i="14"/>
  <c r="BA168" i="14"/>
  <c r="BB168" i="14"/>
  <c r="BC168" i="14"/>
  <c r="BD168" i="14"/>
  <c r="BE168" i="14"/>
  <c r="AH169" i="14"/>
  <c r="AI169" i="14"/>
  <c r="AJ169" i="14"/>
  <c r="AK169" i="14"/>
  <c r="AL169" i="14"/>
  <c r="AM169" i="14"/>
  <c r="AN169" i="14"/>
  <c r="AO169" i="14"/>
  <c r="AP169" i="14"/>
  <c r="AQ169" i="14"/>
  <c r="AR169" i="14"/>
  <c r="AS169" i="14"/>
  <c r="AT169" i="14"/>
  <c r="AU169" i="14"/>
  <c r="AV169" i="14"/>
  <c r="AW169" i="14"/>
  <c r="AX169" i="14"/>
  <c r="AY169" i="14"/>
  <c r="AZ169" i="14"/>
  <c r="BA169" i="14"/>
  <c r="BB169" i="14"/>
  <c r="BC169" i="14"/>
  <c r="BD169" i="14"/>
  <c r="BE169" i="14"/>
  <c r="AH170" i="14"/>
  <c r="AI170" i="14"/>
  <c r="AJ170" i="14"/>
  <c r="AK170" i="14"/>
  <c r="AL170" i="14"/>
  <c r="AM170" i="14"/>
  <c r="AN170" i="14"/>
  <c r="AO170" i="14"/>
  <c r="AP170" i="14"/>
  <c r="AQ170" i="14"/>
  <c r="AR170" i="14"/>
  <c r="AS170" i="14"/>
  <c r="AT170" i="14"/>
  <c r="AU170" i="14"/>
  <c r="AV170" i="14"/>
  <c r="AW170" i="14"/>
  <c r="AX170" i="14"/>
  <c r="AY170" i="14"/>
  <c r="AZ170" i="14"/>
  <c r="BA170" i="14"/>
  <c r="BB170" i="14"/>
  <c r="BC170" i="14"/>
  <c r="BD170" i="14"/>
  <c r="BE170" i="14"/>
  <c r="AH171" i="14"/>
  <c r="AI171" i="14"/>
  <c r="AJ171" i="14"/>
  <c r="AK171" i="14"/>
  <c r="AL171" i="14"/>
  <c r="AM171" i="14"/>
  <c r="AN171" i="14"/>
  <c r="AO171" i="14"/>
  <c r="AP171" i="14"/>
  <c r="AQ171" i="14"/>
  <c r="AR171" i="14"/>
  <c r="AS171" i="14"/>
  <c r="AT171" i="14"/>
  <c r="AU171" i="14"/>
  <c r="AV171" i="14"/>
  <c r="AW171" i="14"/>
  <c r="AX171" i="14"/>
  <c r="AY171" i="14"/>
  <c r="AZ171" i="14"/>
  <c r="BA171" i="14"/>
  <c r="BB171" i="14"/>
  <c r="BC171" i="14"/>
  <c r="BD171" i="14"/>
  <c r="BE171" i="14"/>
  <c r="AH172" i="14"/>
  <c r="AI172" i="14"/>
  <c r="AJ172" i="14"/>
  <c r="AK172" i="14"/>
  <c r="AL172" i="14"/>
  <c r="AM172" i="14"/>
  <c r="AN172" i="14"/>
  <c r="AO172" i="14"/>
  <c r="AP172" i="14"/>
  <c r="AQ172" i="14"/>
  <c r="AR172" i="14"/>
  <c r="AS172" i="14"/>
  <c r="AT172" i="14"/>
  <c r="AU172" i="14"/>
  <c r="AV172" i="14"/>
  <c r="AW172" i="14"/>
  <c r="AX172" i="14"/>
  <c r="AY172" i="14"/>
  <c r="AZ172" i="14"/>
  <c r="BA172" i="14"/>
  <c r="BB172" i="14"/>
  <c r="BC172" i="14"/>
  <c r="BD172" i="14"/>
  <c r="BE172" i="14"/>
  <c r="AH173" i="14"/>
  <c r="AI173" i="14"/>
  <c r="AJ173" i="14"/>
  <c r="AK173" i="14"/>
  <c r="AL173" i="14"/>
  <c r="AM173" i="14"/>
  <c r="AN173" i="14"/>
  <c r="AO173" i="14"/>
  <c r="AP173" i="14"/>
  <c r="AQ173" i="14"/>
  <c r="AR173" i="14"/>
  <c r="AS173" i="14"/>
  <c r="AT173" i="14"/>
  <c r="AU173" i="14"/>
  <c r="AV173" i="14"/>
  <c r="AW173" i="14"/>
  <c r="AX173" i="14"/>
  <c r="AY173" i="14"/>
  <c r="AZ173" i="14"/>
  <c r="BA173" i="14"/>
  <c r="BB173" i="14"/>
  <c r="BC173" i="14"/>
  <c r="BD173" i="14"/>
  <c r="BE173" i="14"/>
  <c r="AH174" i="14"/>
  <c r="AI174" i="14"/>
  <c r="AJ174" i="14"/>
  <c r="AK174" i="14"/>
  <c r="AL174" i="14"/>
  <c r="AM174" i="14"/>
  <c r="AN174" i="14"/>
  <c r="AO174" i="14"/>
  <c r="AP174" i="14"/>
  <c r="AQ174" i="14"/>
  <c r="AR174" i="14"/>
  <c r="AS174" i="14"/>
  <c r="AT174" i="14"/>
  <c r="AU174" i="14"/>
  <c r="AV174" i="14"/>
  <c r="AW174" i="14"/>
  <c r="AX174" i="14"/>
  <c r="AY174" i="14"/>
  <c r="AZ174" i="14"/>
  <c r="BA174" i="14"/>
  <c r="BB174" i="14"/>
  <c r="BC174" i="14"/>
  <c r="BD174" i="14"/>
  <c r="BE174" i="14"/>
  <c r="AH175" i="14"/>
  <c r="AI175" i="14"/>
  <c r="AJ175" i="14"/>
  <c r="AK175" i="14"/>
  <c r="AL175" i="14"/>
  <c r="AM175" i="14"/>
  <c r="AN175" i="14"/>
  <c r="AO175" i="14"/>
  <c r="AP175" i="14"/>
  <c r="AQ175" i="14"/>
  <c r="AR175" i="14"/>
  <c r="AS175" i="14"/>
  <c r="AT175" i="14"/>
  <c r="AU175" i="14"/>
  <c r="AV175" i="14"/>
  <c r="AW175" i="14"/>
  <c r="AX175" i="14"/>
  <c r="AY175" i="14"/>
  <c r="AZ175" i="14"/>
  <c r="BA175" i="14"/>
  <c r="BB175" i="14"/>
  <c r="BC175" i="14"/>
  <c r="BD175" i="14"/>
  <c r="BE175" i="14"/>
  <c r="AH176" i="14"/>
  <c r="AI176" i="14"/>
  <c r="AJ176" i="14"/>
  <c r="AK176" i="14"/>
  <c r="AL176" i="14"/>
  <c r="AM176" i="14"/>
  <c r="AN176" i="14"/>
  <c r="AO176" i="14"/>
  <c r="AP176" i="14"/>
  <c r="AQ176" i="14"/>
  <c r="AR176" i="14"/>
  <c r="AS176" i="14"/>
  <c r="AT176" i="14"/>
  <c r="AU176" i="14"/>
  <c r="AV176" i="14"/>
  <c r="AW176" i="14"/>
  <c r="AX176" i="14"/>
  <c r="AY176" i="14"/>
  <c r="AZ176" i="14"/>
  <c r="BA176" i="14"/>
  <c r="BB176" i="14"/>
  <c r="BC176" i="14"/>
  <c r="BD176" i="14"/>
  <c r="BE176" i="14"/>
  <c r="AH177" i="14"/>
  <c r="AI177" i="14"/>
  <c r="AJ177" i="14"/>
  <c r="AK177" i="14"/>
  <c r="AL177" i="14"/>
  <c r="AM177" i="14"/>
  <c r="AN177" i="14"/>
  <c r="AO177" i="14"/>
  <c r="AP177" i="14"/>
  <c r="AQ177" i="14"/>
  <c r="AR177" i="14"/>
  <c r="AS177" i="14"/>
  <c r="AT177" i="14"/>
  <c r="AU177" i="14"/>
  <c r="AV177" i="14"/>
  <c r="AW177" i="14"/>
  <c r="AX177" i="14"/>
  <c r="AY177" i="14"/>
  <c r="AZ177" i="14"/>
  <c r="BA177" i="14"/>
  <c r="BB177" i="14"/>
  <c r="BC177" i="14"/>
  <c r="BD177" i="14"/>
  <c r="BE177" i="14"/>
  <c r="AH178" i="14"/>
  <c r="AI178" i="14"/>
  <c r="AJ178" i="14"/>
  <c r="AK178" i="14"/>
  <c r="AL178" i="14"/>
  <c r="AM178" i="14"/>
  <c r="AN178" i="14"/>
  <c r="AO178" i="14"/>
  <c r="AP178" i="14"/>
  <c r="AQ178" i="14"/>
  <c r="AR178" i="14"/>
  <c r="AS178" i="14"/>
  <c r="AT178" i="14"/>
  <c r="AU178" i="14"/>
  <c r="AV178" i="14"/>
  <c r="AW178" i="14"/>
  <c r="AX178" i="14"/>
  <c r="AY178" i="14"/>
  <c r="AZ178" i="14"/>
  <c r="BA178" i="14"/>
  <c r="BB178" i="14"/>
  <c r="BC178" i="14"/>
  <c r="BD178" i="14"/>
  <c r="BE178" i="14"/>
  <c r="AH179" i="14"/>
  <c r="AI179" i="14"/>
  <c r="AJ179" i="14"/>
  <c r="AK179" i="14"/>
  <c r="AL179" i="14"/>
  <c r="AM179" i="14"/>
  <c r="AN179" i="14"/>
  <c r="AO179" i="14"/>
  <c r="AP179" i="14"/>
  <c r="AQ179" i="14"/>
  <c r="AR179" i="14"/>
  <c r="AS179" i="14"/>
  <c r="AT179" i="14"/>
  <c r="AU179" i="14"/>
  <c r="AV179" i="14"/>
  <c r="AW179" i="14"/>
  <c r="AX179" i="14"/>
  <c r="AY179" i="14"/>
  <c r="AZ179" i="14"/>
  <c r="BA179" i="14"/>
  <c r="BB179" i="14"/>
  <c r="BC179" i="14"/>
  <c r="BD179" i="14"/>
  <c r="BE179" i="14"/>
  <c r="AH180" i="14"/>
  <c r="AI180" i="14"/>
  <c r="AJ180" i="14"/>
  <c r="AK180" i="14"/>
  <c r="AL180" i="14"/>
  <c r="AM180" i="14"/>
  <c r="AN180" i="14"/>
  <c r="AO180" i="14"/>
  <c r="AP180" i="14"/>
  <c r="AQ180" i="14"/>
  <c r="AR180" i="14"/>
  <c r="AS180" i="14"/>
  <c r="AT180" i="14"/>
  <c r="AU180" i="14"/>
  <c r="AV180" i="14"/>
  <c r="AW180" i="14"/>
  <c r="AX180" i="14"/>
  <c r="AY180" i="14"/>
  <c r="AZ180" i="14"/>
  <c r="BA180" i="14"/>
  <c r="BB180" i="14"/>
  <c r="BC180" i="14"/>
  <c r="BD180" i="14"/>
  <c r="BE180" i="14"/>
  <c r="AH181" i="14"/>
  <c r="AI181" i="14"/>
  <c r="AJ181" i="14"/>
  <c r="AK181" i="14"/>
  <c r="AL181" i="14"/>
  <c r="AM181" i="14"/>
  <c r="AN181" i="14"/>
  <c r="AO181" i="14"/>
  <c r="AP181" i="14"/>
  <c r="AQ181" i="14"/>
  <c r="AR181" i="14"/>
  <c r="AS181" i="14"/>
  <c r="AT181" i="14"/>
  <c r="AU181" i="14"/>
  <c r="AV181" i="14"/>
  <c r="AW181" i="14"/>
  <c r="AX181" i="14"/>
  <c r="AY181" i="14"/>
  <c r="AZ181" i="14"/>
  <c r="BA181" i="14"/>
  <c r="BB181" i="14"/>
  <c r="BC181" i="14"/>
  <c r="BD181" i="14"/>
  <c r="BE181" i="14"/>
  <c r="AH182" i="14"/>
  <c r="AI182" i="14"/>
  <c r="AJ182" i="14"/>
  <c r="AK182" i="14"/>
  <c r="AL182" i="14"/>
  <c r="AM182" i="14"/>
  <c r="AN182" i="14"/>
  <c r="AO182" i="14"/>
  <c r="AP182" i="14"/>
  <c r="AQ182" i="14"/>
  <c r="AR182" i="14"/>
  <c r="AS182" i="14"/>
  <c r="AT182" i="14"/>
  <c r="AU182" i="14"/>
  <c r="AV182" i="14"/>
  <c r="AW182" i="14"/>
  <c r="AX182" i="14"/>
  <c r="AY182" i="14"/>
  <c r="AZ182" i="14"/>
  <c r="BA182" i="14"/>
  <c r="BB182" i="14"/>
  <c r="BC182" i="14"/>
  <c r="BD182" i="14"/>
  <c r="BE182" i="14"/>
  <c r="AH183" i="14"/>
  <c r="AI183" i="14"/>
  <c r="AJ183" i="14"/>
  <c r="AK183" i="14"/>
  <c r="AL183" i="14"/>
  <c r="AM183" i="14"/>
  <c r="AN183" i="14"/>
  <c r="AO183" i="14"/>
  <c r="AP183" i="14"/>
  <c r="AQ183" i="14"/>
  <c r="AR183" i="14"/>
  <c r="AS183" i="14"/>
  <c r="AT183" i="14"/>
  <c r="AU183" i="14"/>
  <c r="AV183" i="14"/>
  <c r="AW183" i="14"/>
  <c r="AX183" i="14"/>
  <c r="AY183" i="14"/>
  <c r="AZ183" i="14"/>
  <c r="BA183" i="14"/>
  <c r="BB183" i="14"/>
  <c r="BC183" i="14"/>
  <c r="BD183" i="14"/>
  <c r="BE183" i="14"/>
  <c r="AH184" i="14"/>
  <c r="AI184" i="14"/>
  <c r="AJ184" i="14"/>
  <c r="AK184" i="14"/>
  <c r="AL184" i="14"/>
  <c r="AM184" i="14"/>
  <c r="AN184" i="14"/>
  <c r="AO184" i="14"/>
  <c r="AP184" i="14"/>
  <c r="AQ184" i="14"/>
  <c r="AR184" i="14"/>
  <c r="AS184" i="14"/>
  <c r="AT184" i="14"/>
  <c r="AU184" i="14"/>
  <c r="AV184" i="14"/>
  <c r="AW184" i="14"/>
  <c r="AX184" i="14"/>
  <c r="AY184" i="14"/>
  <c r="AZ184" i="14"/>
  <c r="BA184" i="14"/>
  <c r="BB184" i="14"/>
  <c r="BC184" i="14"/>
  <c r="BD184" i="14"/>
  <c r="BE184" i="14"/>
  <c r="AH188" i="14"/>
  <c r="AI188" i="14"/>
  <c r="AJ188" i="14"/>
  <c r="AK188" i="14"/>
  <c r="AL188" i="14"/>
  <c r="AM188" i="14"/>
  <c r="AN188" i="14"/>
  <c r="AO188" i="14"/>
  <c r="AP188" i="14"/>
  <c r="AQ188" i="14"/>
  <c r="AR188" i="14"/>
  <c r="AS188" i="14"/>
  <c r="AT188" i="14"/>
  <c r="AU188" i="14"/>
  <c r="AV188" i="14"/>
  <c r="AW188" i="14"/>
  <c r="AX188" i="14"/>
  <c r="AY188" i="14"/>
  <c r="AZ188" i="14"/>
  <c r="BA188" i="14"/>
  <c r="BB188" i="14"/>
  <c r="BC188" i="14"/>
  <c r="BD188" i="14"/>
  <c r="BE188" i="14"/>
  <c r="AH189" i="14"/>
  <c r="AI189" i="14"/>
  <c r="AJ189" i="14"/>
  <c r="AK189" i="14"/>
  <c r="AL189" i="14"/>
  <c r="AM189" i="14"/>
  <c r="AN189" i="14"/>
  <c r="AO189" i="14"/>
  <c r="AP189" i="14"/>
  <c r="AQ189" i="14"/>
  <c r="AR189" i="14"/>
  <c r="AS189" i="14"/>
  <c r="AT189" i="14"/>
  <c r="AU189" i="14"/>
  <c r="AV189" i="14"/>
  <c r="AW189" i="14"/>
  <c r="AX189" i="14"/>
  <c r="AY189" i="14"/>
  <c r="AZ189" i="14"/>
  <c r="BA189" i="14"/>
  <c r="BB189" i="14"/>
  <c r="BC189" i="14"/>
  <c r="BD189" i="14"/>
  <c r="BE189" i="14"/>
  <c r="AH192" i="14"/>
  <c r="AI192" i="14"/>
  <c r="AJ192" i="14"/>
  <c r="AK192" i="14"/>
  <c r="AL192" i="14"/>
  <c r="AM192" i="14"/>
  <c r="AN192" i="14"/>
  <c r="AO192" i="14"/>
  <c r="AP192" i="14"/>
  <c r="AQ192" i="14"/>
  <c r="AR192" i="14"/>
  <c r="AS192" i="14"/>
  <c r="AT192" i="14"/>
  <c r="AU192" i="14"/>
  <c r="AV192" i="14"/>
  <c r="AW192" i="14"/>
  <c r="AX192" i="14"/>
  <c r="AY192" i="14"/>
  <c r="AZ192" i="14"/>
  <c r="BA192" i="14"/>
  <c r="BB192" i="14"/>
  <c r="BC192" i="14"/>
  <c r="BD192" i="14"/>
  <c r="BE192" i="14"/>
  <c r="AH193" i="14"/>
  <c r="AI193" i="14"/>
  <c r="AJ193" i="14"/>
  <c r="AK193" i="14"/>
  <c r="AL193" i="14"/>
  <c r="AM193" i="14"/>
  <c r="AN193" i="14"/>
  <c r="AO193" i="14"/>
  <c r="AP193" i="14"/>
  <c r="AQ193" i="14"/>
  <c r="AR193" i="14"/>
  <c r="AS193" i="14"/>
  <c r="AT193" i="14"/>
  <c r="AU193" i="14"/>
  <c r="AV193" i="14"/>
  <c r="AW193" i="14"/>
  <c r="AX193" i="14"/>
  <c r="AY193" i="14"/>
  <c r="AZ193" i="14"/>
  <c r="BA193" i="14"/>
  <c r="BB193" i="14"/>
  <c r="BC193" i="14"/>
  <c r="BD193" i="14"/>
  <c r="BE193" i="14"/>
  <c r="AH194" i="14"/>
  <c r="AI194" i="14"/>
  <c r="AJ194" i="14"/>
  <c r="AK194" i="14"/>
  <c r="AL194" i="14"/>
  <c r="AM194" i="14"/>
  <c r="AN194" i="14"/>
  <c r="AO194" i="14"/>
  <c r="AP194" i="14"/>
  <c r="AQ194" i="14"/>
  <c r="AR194" i="14"/>
  <c r="AS194" i="14"/>
  <c r="AT194" i="14"/>
  <c r="AU194" i="14"/>
  <c r="AV194" i="14"/>
  <c r="AW194" i="14"/>
  <c r="AX194" i="14"/>
  <c r="AY194" i="14"/>
  <c r="AZ194" i="14"/>
  <c r="BA194" i="14"/>
  <c r="BB194" i="14"/>
  <c r="BC194" i="14"/>
  <c r="BD194" i="14"/>
  <c r="BE194" i="14"/>
  <c r="AH195" i="14"/>
  <c r="AI195" i="14"/>
  <c r="AJ195" i="14"/>
  <c r="AK195" i="14"/>
  <c r="AL195" i="14"/>
  <c r="AM195" i="14"/>
  <c r="AN195" i="14"/>
  <c r="AO195" i="14"/>
  <c r="AP195" i="14"/>
  <c r="AQ195" i="14"/>
  <c r="AR195" i="14"/>
  <c r="AS195" i="14"/>
  <c r="AT195" i="14"/>
  <c r="AU195" i="14"/>
  <c r="AV195" i="14"/>
  <c r="AW195" i="14"/>
  <c r="AX195" i="14"/>
  <c r="AY195" i="14"/>
  <c r="AZ195" i="14"/>
  <c r="BA195" i="14"/>
  <c r="BB195" i="14"/>
  <c r="BC195" i="14"/>
  <c r="BD195" i="14"/>
  <c r="BE195" i="14"/>
  <c r="AH196" i="14"/>
  <c r="AI196" i="14"/>
  <c r="AJ196" i="14"/>
  <c r="AK196" i="14"/>
  <c r="AL196" i="14"/>
  <c r="AM196" i="14"/>
  <c r="AN196" i="14"/>
  <c r="AO196" i="14"/>
  <c r="AP196" i="14"/>
  <c r="AQ196" i="14"/>
  <c r="AR196" i="14"/>
  <c r="AS196" i="14"/>
  <c r="AT196" i="14"/>
  <c r="AU196" i="14"/>
  <c r="AV196" i="14"/>
  <c r="AW196" i="14"/>
  <c r="AX196" i="14"/>
  <c r="AY196" i="14"/>
  <c r="AZ196" i="14"/>
  <c r="BA196" i="14"/>
  <c r="BB196" i="14"/>
  <c r="BC196" i="14"/>
  <c r="BD196" i="14"/>
  <c r="BE196" i="14"/>
  <c r="D197" i="14"/>
  <c r="B46" i="15" s="1"/>
  <c r="E197" i="14"/>
  <c r="C46" i="15" s="1"/>
  <c r="F197" i="14"/>
  <c r="D46" i="15" s="1"/>
  <c r="G197" i="14"/>
  <c r="E46" i="15" s="1"/>
  <c r="H197" i="14"/>
  <c r="F46" i="15" s="1"/>
  <c r="I197" i="14"/>
  <c r="G46" i="15" s="1"/>
  <c r="J197" i="14"/>
  <c r="H46" i="15" s="1"/>
  <c r="L197" i="14"/>
  <c r="J46" i="15" s="1"/>
  <c r="N197" i="14"/>
  <c r="L46" i="15" s="1"/>
  <c r="Q197" i="14"/>
  <c r="O46" i="15" s="1"/>
  <c r="R197" i="14"/>
  <c r="P46" i="15" s="1"/>
  <c r="S197" i="14"/>
  <c r="Q46" i="15" s="1"/>
  <c r="U197" i="14"/>
  <c r="S46" i="15" s="1"/>
  <c r="V197" i="14"/>
  <c r="T46" i="15" s="1"/>
  <c r="X197" i="14"/>
  <c r="V46" i="15" s="1"/>
  <c r="Z197" i="14"/>
  <c r="X46" i="15" s="1"/>
  <c r="F53" i="13"/>
  <c r="E61" i="13" s="1"/>
  <c r="G61" i="13" s="1"/>
  <c r="L53" i="13"/>
  <c r="G22" i="15" s="1"/>
  <c r="N53" i="13"/>
  <c r="I22" i="15" s="1"/>
  <c r="O53" i="13"/>
  <c r="J22" i="15" s="1"/>
  <c r="P53" i="13"/>
  <c r="K22" i="15" s="1"/>
  <c r="AG79" i="13"/>
  <c r="AD80" i="13"/>
  <c r="AE80" i="13"/>
  <c r="AH80" i="13"/>
  <c r="AI80" i="13"/>
  <c r="AJ80" i="13"/>
  <c r="AK80" i="13"/>
  <c r="AL80" i="13"/>
  <c r="AM80" i="13"/>
  <c r="AN80" i="13"/>
  <c r="AO80" i="13"/>
  <c r="AP80" i="13"/>
  <c r="AQ80" i="13"/>
  <c r="AR80" i="13"/>
  <c r="AS80" i="13"/>
  <c r="AT80" i="13"/>
  <c r="AU80" i="13"/>
  <c r="AV80" i="13"/>
  <c r="AW80" i="13"/>
  <c r="AX80" i="13"/>
  <c r="AY80" i="13"/>
  <c r="AZ80" i="13"/>
  <c r="BA80" i="13"/>
  <c r="BB80" i="13"/>
  <c r="BC80" i="13"/>
  <c r="BD80" i="13"/>
  <c r="AH81" i="13"/>
  <c r="AI81" i="13"/>
  <c r="AJ81" i="13"/>
  <c r="AK81" i="13"/>
  <c r="AL81" i="13"/>
  <c r="AM81" i="13"/>
  <c r="AN81" i="13"/>
  <c r="AO81" i="13"/>
  <c r="AP81" i="13"/>
  <c r="AQ81" i="13"/>
  <c r="AR81" i="13"/>
  <c r="AS81" i="13"/>
  <c r="AT81" i="13"/>
  <c r="AU81" i="13"/>
  <c r="AV81" i="13"/>
  <c r="AW81" i="13"/>
  <c r="AX81" i="13"/>
  <c r="AY81" i="13"/>
  <c r="AZ81" i="13"/>
  <c r="BA81" i="13"/>
  <c r="BB81" i="13"/>
  <c r="BC81" i="13"/>
  <c r="BD81" i="13"/>
  <c r="AH166" i="13"/>
  <c r="AI166" i="13"/>
  <c r="AJ166" i="13"/>
  <c r="AK166" i="13"/>
  <c r="AL166" i="13"/>
  <c r="AM166" i="13"/>
  <c r="AN166" i="13"/>
  <c r="AO166" i="13"/>
  <c r="AP166" i="13"/>
  <c r="AQ166" i="13"/>
  <c r="AR166" i="13"/>
  <c r="AS166" i="13"/>
  <c r="AT166" i="13"/>
  <c r="AU166" i="13"/>
  <c r="AV166" i="13"/>
  <c r="AW166" i="13"/>
  <c r="AX166" i="13"/>
  <c r="AY166" i="13"/>
  <c r="AZ166" i="13"/>
  <c r="BA166" i="13"/>
  <c r="BB166" i="13"/>
  <c r="BC166" i="13"/>
  <c r="BD166" i="13"/>
  <c r="BE166" i="13"/>
  <c r="AH167" i="13"/>
  <c r="AI167" i="13"/>
  <c r="AJ167" i="13"/>
  <c r="AK167" i="13"/>
  <c r="AL167" i="13"/>
  <c r="AM167" i="13"/>
  <c r="AN167" i="13"/>
  <c r="AO167" i="13"/>
  <c r="AP167" i="13"/>
  <c r="AQ167" i="13"/>
  <c r="AR167" i="13"/>
  <c r="AS167" i="13"/>
  <c r="AT167" i="13"/>
  <c r="AU167" i="13"/>
  <c r="AV167" i="13"/>
  <c r="AW167" i="13"/>
  <c r="AX167" i="13"/>
  <c r="AY167" i="13"/>
  <c r="AZ167" i="13"/>
  <c r="BA167" i="13"/>
  <c r="BB167" i="13"/>
  <c r="BC167" i="13"/>
  <c r="BD167" i="13"/>
  <c r="BE167" i="13"/>
  <c r="AH168" i="13"/>
  <c r="AI168" i="13"/>
  <c r="AJ168" i="13"/>
  <c r="AK168" i="13"/>
  <c r="AL168" i="13"/>
  <c r="AM168" i="13"/>
  <c r="AN168" i="13"/>
  <c r="AO168" i="13"/>
  <c r="AP168" i="13"/>
  <c r="AQ168" i="13"/>
  <c r="AR168" i="13"/>
  <c r="AS168" i="13"/>
  <c r="AT168" i="13"/>
  <c r="AU168" i="13"/>
  <c r="AV168" i="13"/>
  <c r="AW168" i="13"/>
  <c r="AX168" i="13"/>
  <c r="AY168" i="13"/>
  <c r="AZ168" i="13"/>
  <c r="BA168" i="13"/>
  <c r="BB168" i="13"/>
  <c r="BC168" i="13"/>
  <c r="BD168" i="13"/>
  <c r="BE168" i="13"/>
  <c r="AH169" i="13"/>
  <c r="AI169" i="13"/>
  <c r="AJ169" i="13"/>
  <c r="AK169" i="13"/>
  <c r="AL169" i="13"/>
  <c r="AM169" i="13"/>
  <c r="AN169" i="13"/>
  <c r="AO169" i="13"/>
  <c r="AP169" i="13"/>
  <c r="AQ169" i="13"/>
  <c r="AR169" i="13"/>
  <c r="AS169" i="13"/>
  <c r="AT169" i="13"/>
  <c r="AU169" i="13"/>
  <c r="AV169" i="13"/>
  <c r="AW169" i="13"/>
  <c r="AX169" i="13"/>
  <c r="AY169" i="13"/>
  <c r="AZ169" i="13"/>
  <c r="BA169" i="13"/>
  <c r="BB169" i="13"/>
  <c r="BC169" i="13"/>
  <c r="BD169" i="13"/>
  <c r="BE169" i="13"/>
  <c r="AH170" i="13"/>
  <c r="AI170" i="13"/>
  <c r="AJ170" i="13"/>
  <c r="AK170" i="13"/>
  <c r="AL170" i="13"/>
  <c r="AM170" i="13"/>
  <c r="AN170" i="13"/>
  <c r="AO170" i="13"/>
  <c r="AP170" i="13"/>
  <c r="AQ170" i="13"/>
  <c r="AR170" i="13"/>
  <c r="AS170" i="13"/>
  <c r="AT170" i="13"/>
  <c r="AU170" i="13"/>
  <c r="AV170" i="13"/>
  <c r="AW170" i="13"/>
  <c r="AX170" i="13"/>
  <c r="AY170" i="13"/>
  <c r="AZ170" i="13"/>
  <c r="BA170" i="13"/>
  <c r="BB170" i="13"/>
  <c r="BC170" i="13"/>
  <c r="BD170" i="13"/>
  <c r="BE170" i="13"/>
  <c r="AH171" i="13"/>
  <c r="AI171" i="13"/>
  <c r="AJ171" i="13"/>
  <c r="AK171" i="13"/>
  <c r="AL171" i="13"/>
  <c r="AM171" i="13"/>
  <c r="AN171" i="13"/>
  <c r="AO171" i="13"/>
  <c r="AP171" i="13"/>
  <c r="AQ171" i="13"/>
  <c r="AR171" i="13"/>
  <c r="AS171" i="13"/>
  <c r="AT171" i="13"/>
  <c r="AU171" i="13"/>
  <c r="AV171" i="13"/>
  <c r="AW171" i="13"/>
  <c r="AX171" i="13"/>
  <c r="AY171" i="13"/>
  <c r="AZ171" i="13"/>
  <c r="BA171" i="13"/>
  <c r="BB171" i="13"/>
  <c r="BC171" i="13"/>
  <c r="BD171" i="13"/>
  <c r="BE171" i="13"/>
  <c r="AH172" i="13"/>
  <c r="AI172" i="13"/>
  <c r="AJ172" i="13"/>
  <c r="AK172" i="13"/>
  <c r="AL172" i="13"/>
  <c r="AM172" i="13"/>
  <c r="AN172" i="13"/>
  <c r="AO172" i="13"/>
  <c r="AP172" i="13"/>
  <c r="AQ172" i="13"/>
  <c r="AR172" i="13"/>
  <c r="AS172" i="13"/>
  <c r="AT172" i="13"/>
  <c r="AU172" i="13"/>
  <c r="AV172" i="13"/>
  <c r="AW172" i="13"/>
  <c r="AX172" i="13"/>
  <c r="AY172" i="13"/>
  <c r="AZ172" i="13"/>
  <c r="BA172" i="13"/>
  <c r="BB172" i="13"/>
  <c r="BC172" i="13"/>
  <c r="BD172" i="13"/>
  <c r="BE172" i="13"/>
  <c r="AH173" i="13"/>
  <c r="AI173" i="13"/>
  <c r="AJ173" i="13"/>
  <c r="AK173" i="13"/>
  <c r="AL173" i="13"/>
  <c r="AM173" i="13"/>
  <c r="AN173" i="13"/>
  <c r="AO173" i="13"/>
  <c r="AP173" i="13"/>
  <c r="AQ173" i="13"/>
  <c r="AR173" i="13"/>
  <c r="AS173" i="13"/>
  <c r="AT173" i="13"/>
  <c r="AU173" i="13"/>
  <c r="AV173" i="13"/>
  <c r="AW173" i="13"/>
  <c r="AX173" i="13"/>
  <c r="AY173" i="13"/>
  <c r="AZ173" i="13"/>
  <c r="BA173" i="13"/>
  <c r="BB173" i="13"/>
  <c r="BC173" i="13"/>
  <c r="BD173" i="13"/>
  <c r="BE173" i="13"/>
  <c r="AH174" i="13"/>
  <c r="AI174" i="13"/>
  <c r="AJ174" i="13"/>
  <c r="AK174" i="13"/>
  <c r="AL174" i="13"/>
  <c r="AM174" i="13"/>
  <c r="AN174" i="13"/>
  <c r="AO174" i="13"/>
  <c r="AP174" i="13"/>
  <c r="AQ174" i="13"/>
  <c r="AR174" i="13"/>
  <c r="AS174" i="13"/>
  <c r="AT174" i="13"/>
  <c r="AU174" i="13"/>
  <c r="AV174" i="13"/>
  <c r="AW174" i="13"/>
  <c r="AX174" i="13"/>
  <c r="AY174" i="13"/>
  <c r="AZ174" i="13"/>
  <c r="BA174" i="13"/>
  <c r="BB174" i="13"/>
  <c r="BC174" i="13"/>
  <c r="BD174" i="13"/>
  <c r="BE174" i="13"/>
  <c r="AH190" i="13"/>
  <c r="AI190" i="13"/>
  <c r="AJ190" i="13"/>
  <c r="AK190" i="13"/>
  <c r="AL190" i="13"/>
  <c r="AM190" i="13"/>
  <c r="AN190" i="13"/>
  <c r="AO190" i="13"/>
  <c r="AP190" i="13"/>
  <c r="AQ190" i="13"/>
  <c r="AR190" i="13"/>
  <c r="AS190" i="13"/>
  <c r="AT190" i="13"/>
  <c r="AU190" i="13"/>
  <c r="AV190" i="13"/>
  <c r="AW190" i="13"/>
  <c r="AX190" i="13"/>
  <c r="AY190" i="13"/>
  <c r="AZ190" i="13"/>
  <c r="BA190" i="13"/>
  <c r="BB190" i="13"/>
  <c r="BC190" i="13"/>
  <c r="BD190" i="13"/>
  <c r="BE190" i="13"/>
  <c r="AH191" i="13"/>
  <c r="AI191" i="13"/>
  <c r="AJ191" i="13"/>
  <c r="AK191" i="13"/>
  <c r="AL191" i="13"/>
  <c r="AM191" i="13"/>
  <c r="AN191" i="13"/>
  <c r="AO191" i="13"/>
  <c r="AP191" i="13"/>
  <c r="AQ191" i="13"/>
  <c r="AR191" i="13"/>
  <c r="AS191" i="13"/>
  <c r="AT191" i="13"/>
  <c r="AU191" i="13"/>
  <c r="AV191" i="13"/>
  <c r="AW191" i="13"/>
  <c r="AX191" i="13"/>
  <c r="AY191" i="13"/>
  <c r="AZ191" i="13"/>
  <c r="BA191" i="13"/>
  <c r="BB191" i="13"/>
  <c r="BC191" i="13"/>
  <c r="BD191" i="13"/>
  <c r="BE191" i="13"/>
  <c r="AH192" i="13"/>
  <c r="AI192" i="13"/>
  <c r="AJ192" i="13"/>
  <c r="AK192" i="13"/>
  <c r="AL192" i="13"/>
  <c r="AM192" i="13"/>
  <c r="AN192" i="13"/>
  <c r="AO192" i="13"/>
  <c r="AP192" i="13"/>
  <c r="AQ192" i="13"/>
  <c r="AR192" i="13"/>
  <c r="AS192" i="13"/>
  <c r="AT192" i="13"/>
  <c r="AU192" i="13"/>
  <c r="AV192" i="13"/>
  <c r="AW192" i="13"/>
  <c r="AX192" i="13"/>
  <c r="AY192" i="13"/>
  <c r="AZ192" i="13"/>
  <c r="BA192" i="13"/>
  <c r="BB192" i="13"/>
  <c r="BC192" i="13"/>
  <c r="BD192" i="13"/>
  <c r="BE192" i="13"/>
  <c r="AH193" i="13"/>
  <c r="AI193" i="13"/>
  <c r="AJ193" i="13"/>
  <c r="AK193" i="13"/>
  <c r="AL193" i="13"/>
  <c r="AM193" i="13"/>
  <c r="AN193" i="13"/>
  <c r="AO193" i="13"/>
  <c r="AP193" i="13"/>
  <c r="AQ193" i="13"/>
  <c r="AR193" i="13"/>
  <c r="AS193" i="13"/>
  <c r="AT193" i="13"/>
  <c r="AU193" i="13"/>
  <c r="AV193" i="13"/>
  <c r="AW193" i="13"/>
  <c r="AX193" i="13"/>
  <c r="AY193" i="13"/>
  <c r="AZ193" i="13"/>
  <c r="BA193" i="13"/>
  <c r="BB193" i="13"/>
  <c r="BC193" i="13"/>
  <c r="BD193" i="13"/>
  <c r="BE193" i="13"/>
  <c r="AH194" i="13"/>
  <c r="AI194" i="13"/>
  <c r="AJ194" i="13"/>
  <c r="AK194" i="13"/>
  <c r="AL194" i="13"/>
  <c r="AM194" i="13"/>
  <c r="AN194" i="13"/>
  <c r="AO194" i="13"/>
  <c r="AP194" i="13"/>
  <c r="AQ194" i="13"/>
  <c r="AR194" i="13"/>
  <c r="AS194" i="13"/>
  <c r="AT194" i="13"/>
  <c r="AU194" i="13"/>
  <c r="AV194" i="13"/>
  <c r="AW194" i="13"/>
  <c r="AX194" i="13"/>
  <c r="AY194" i="13"/>
  <c r="AZ194" i="13"/>
  <c r="BA194" i="13"/>
  <c r="BB194" i="13"/>
  <c r="BC194" i="13"/>
  <c r="BD194" i="13"/>
  <c r="BE194" i="13"/>
  <c r="AH195" i="13"/>
  <c r="AI195" i="13"/>
  <c r="AJ195" i="13"/>
  <c r="AK195" i="13"/>
  <c r="AL195" i="13"/>
  <c r="AM195" i="13"/>
  <c r="AN195" i="13"/>
  <c r="AO195" i="13"/>
  <c r="AP195" i="13"/>
  <c r="AQ195" i="13"/>
  <c r="AR195" i="13"/>
  <c r="AS195" i="13"/>
  <c r="AT195" i="13"/>
  <c r="AU195" i="13"/>
  <c r="AV195" i="13"/>
  <c r="AW195" i="13"/>
  <c r="AX195" i="13"/>
  <c r="AY195" i="13"/>
  <c r="AZ195" i="13"/>
  <c r="BA195" i="13"/>
  <c r="BB195" i="13"/>
  <c r="BC195" i="13"/>
  <c r="BD195" i="13"/>
  <c r="BE195" i="13"/>
  <c r="AH196" i="13"/>
  <c r="AI196" i="13"/>
  <c r="AJ196" i="13"/>
  <c r="AK196" i="13"/>
  <c r="AL196" i="13"/>
  <c r="AM196" i="13"/>
  <c r="AN196" i="13"/>
  <c r="AO196" i="13"/>
  <c r="AP196" i="13"/>
  <c r="AQ196" i="13"/>
  <c r="AR196" i="13"/>
  <c r="AS196" i="13"/>
  <c r="AT196" i="13"/>
  <c r="AU196" i="13"/>
  <c r="AV196" i="13"/>
  <c r="AW196" i="13"/>
  <c r="AX196" i="13"/>
  <c r="AY196" i="13"/>
  <c r="AZ196" i="13"/>
  <c r="BA196" i="13"/>
  <c r="BB196" i="13"/>
  <c r="BC196" i="13"/>
  <c r="BD196" i="13"/>
  <c r="BE196" i="13"/>
  <c r="D197" i="13"/>
  <c r="B45" i="15" s="1"/>
  <c r="U197" i="13"/>
  <c r="S45" i="15" s="1"/>
  <c r="E197" i="13"/>
  <c r="G197" i="13"/>
  <c r="E45" i="15" s="1"/>
  <c r="S197" i="13"/>
  <c r="Q45" i="15" s="1"/>
  <c r="F197" i="13"/>
  <c r="D45" i="15" s="1"/>
  <c r="H197" i="13"/>
  <c r="F45" i="15" s="1"/>
  <c r="I197" i="13"/>
  <c r="G45" i="15" s="1"/>
  <c r="J197" i="13"/>
  <c r="H45" i="15" s="1"/>
  <c r="L197" i="13"/>
  <c r="J45" i="15" s="1"/>
  <c r="N197" i="13"/>
  <c r="L45" i="15" s="1"/>
  <c r="Q197" i="13"/>
  <c r="O45" i="15" s="1"/>
  <c r="R197" i="13"/>
  <c r="P45" i="15" s="1"/>
  <c r="V197" i="13"/>
  <c r="T45" i="15" s="1"/>
  <c r="X197" i="13"/>
  <c r="V45" i="15" s="1"/>
  <c r="Z197" i="13"/>
  <c r="X45" i="15" s="1"/>
  <c r="AH199" i="13"/>
  <c r="AI199" i="13"/>
  <c r="AJ199" i="13"/>
  <c r="AK199" i="13"/>
  <c r="AL199" i="13"/>
  <c r="AM199" i="13"/>
  <c r="AN199" i="13"/>
  <c r="AO199" i="13"/>
  <c r="AP199" i="13"/>
  <c r="AQ199" i="13"/>
  <c r="AR199" i="13"/>
  <c r="AS199" i="13"/>
  <c r="AT199" i="13"/>
  <c r="AU199" i="13"/>
  <c r="AV199" i="13"/>
  <c r="AW199" i="13"/>
  <c r="AX199" i="13"/>
  <c r="AY199" i="13"/>
  <c r="AZ199" i="13"/>
  <c r="BA199" i="13"/>
  <c r="BB199" i="13"/>
  <c r="BC199" i="13"/>
  <c r="BD199" i="13"/>
  <c r="AH200" i="13"/>
  <c r="AI200" i="13"/>
  <c r="AJ200" i="13"/>
  <c r="AK200" i="13"/>
  <c r="AL200" i="13"/>
  <c r="AM200" i="13"/>
  <c r="AN200" i="13"/>
  <c r="AO200" i="13"/>
  <c r="AP200" i="13"/>
  <c r="AQ200" i="13"/>
  <c r="AR200" i="13"/>
  <c r="AS200" i="13"/>
  <c r="AT200" i="13"/>
  <c r="AU200" i="13"/>
  <c r="AV200" i="13"/>
  <c r="AW200" i="13"/>
  <c r="AX200" i="13"/>
  <c r="AY200" i="13"/>
  <c r="AZ200" i="13"/>
  <c r="BA200" i="13"/>
  <c r="BB200" i="13"/>
  <c r="BC200" i="13"/>
  <c r="BD200" i="13"/>
  <c r="AH201" i="13"/>
  <c r="AI201" i="13"/>
  <c r="AJ201" i="13"/>
  <c r="AK201" i="13"/>
  <c r="AL201" i="13"/>
  <c r="AM201" i="13"/>
  <c r="AN201" i="13"/>
  <c r="AO201" i="13"/>
  <c r="AP201" i="13"/>
  <c r="AQ201" i="13"/>
  <c r="AR201" i="13"/>
  <c r="AS201" i="13"/>
  <c r="AT201" i="13"/>
  <c r="AU201" i="13"/>
  <c r="AV201" i="13"/>
  <c r="AW201" i="13"/>
  <c r="AX201" i="13"/>
  <c r="AY201" i="13"/>
  <c r="AZ201" i="13"/>
  <c r="BA201" i="13"/>
  <c r="BB201" i="13"/>
  <c r="BC201" i="13"/>
  <c r="BD201" i="13"/>
  <c r="F53" i="12"/>
  <c r="E61" i="12" s="1"/>
  <c r="G61" i="12" s="1"/>
  <c r="L53" i="12"/>
  <c r="G21" i="15" s="1"/>
  <c r="N53" i="12"/>
  <c r="I21" i="15" s="1"/>
  <c r="O53" i="12"/>
  <c r="J21" i="15" s="1"/>
  <c r="P53" i="12"/>
  <c r="K21" i="15" s="1"/>
  <c r="AG79" i="12"/>
  <c r="AD80" i="12"/>
  <c r="AE80" i="12"/>
  <c r="AH80" i="12"/>
  <c r="AI80" i="12"/>
  <c r="AJ80" i="12"/>
  <c r="AK80" i="12"/>
  <c r="AL80" i="12"/>
  <c r="AM80" i="12"/>
  <c r="AN80" i="12"/>
  <c r="AO80" i="12"/>
  <c r="AP80" i="12"/>
  <c r="AQ80" i="12"/>
  <c r="AR80" i="12"/>
  <c r="AS80" i="12"/>
  <c r="AT80" i="12"/>
  <c r="AU80" i="12"/>
  <c r="AV80" i="12"/>
  <c r="AW80" i="12"/>
  <c r="AX80" i="12"/>
  <c r="AY80" i="12"/>
  <c r="AZ80" i="12"/>
  <c r="BA80" i="12"/>
  <c r="BB80" i="12"/>
  <c r="BC80" i="12"/>
  <c r="BD80" i="12"/>
  <c r="AH159" i="12"/>
  <c r="AI159" i="12"/>
  <c r="AJ159" i="12"/>
  <c r="AK159" i="12"/>
  <c r="AL159" i="12"/>
  <c r="AM159" i="12"/>
  <c r="AN159" i="12"/>
  <c r="AO159" i="12"/>
  <c r="AP159" i="12"/>
  <c r="AQ159" i="12"/>
  <c r="AR159" i="12"/>
  <c r="AS159" i="12"/>
  <c r="AT159" i="12"/>
  <c r="AU159" i="12"/>
  <c r="AV159" i="12"/>
  <c r="AW159" i="12"/>
  <c r="AX159" i="12"/>
  <c r="AY159" i="12"/>
  <c r="AZ159" i="12"/>
  <c r="BA159" i="12"/>
  <c r="BB159" i="12"/>
  <c r="BC159" i="12"/>
  <c r="BD159" i="12"/>
  <c r="AH160" i="12"/>
  <c r="AI160" i="12"/>
  <c r="AJ160" i="12"/>
  <c r="AK160" i="12"/>
  <c r="AL160" i="12"/>
  <c r="AM160" i="12"/>
  <c r="AN160" i="12"/>
  <c r="AO160" i="12"/>
  <c r="AP160" i="12"/>
  <c r="AQ160" i="12"/>
  <c r="AR160" i="12"/>
  <c r="AS160" i="12"/>
  <c r="AT160" i="12"/>
  <c r="AU160" i="12"/>
  <c r="AV160" i="12"/>
  <c r="AW160" i="12"/>
  <c r="AX160" i="12"/>
  <c r="AY160" i="12"/>
  <c r="AZ160" i="12"/>
  <c r="BA160" i="12"/>
  <c r="BB160" i="12"/>
  <c r="BC160" i="12"/>
  <c r="BD160" i="12"/>
  <c r="BE160" i="12"/>
  <c r="AH174" i="12"/>
  <c r="AI174" i="12"/>
  <c r="AJ174" i="12"/>
  <c r="AK174" i="12"/>
  <c r="AL174" i="12"/>
  <c r="AM174" i="12"/>
  <c r="AN174" i="12"/>
  <c r="AO174" i="12"/>
  <c r="AP174" i="12"/>
  <c r="AQ174" i="12"/>
  <c r="AR174" i="12"/>
  <c r="AS174" i="12"/>
  <c r="AT174" i="12"/>
  <c r="AU174" i="12"/>
  <c r="AV174" i="12"/>
  <c r="AW174" i="12"/>
  <c r="AX174" i="12"/>
  <c r="AY174" i="12"/>
  <c r="AZ174" i="12"/>
  <c r="BA174" i="12"/>
  <c r="BB174" i="12"/>
  <c r="BC174" i="12"/>
  <c r="BD174" i="12"/>
  <c r="BE174" i="12"/>
  <c r="AH175" i="12"/>
  <c r="AI175" i="12"/>
  <c r="AJ175" i="12"/>
  <c r="AK175" i="12"/>
  <c r="AL175" i="12"/>
  <c r="AM175" i="12"/>
  <c r="AN175" i="12"/>
  <c r="AO175" i="12"/>
  <c r="AP175" i="12"/>
  <c r="AQ175" i="12"/>
  <c r="AR175" i="12"/>
  <c r="AS175" i="12"/>
  <c r="AT175" i="12"/>
  <c r="AU175" i="12"/>
  <c r="AV175" i="12"/>
  <c r="AW175" i="12"/>
  <c r="AX175" i="12"/>
  <c r="AY175" i="12"/>
  <c r="AZ175" i="12"/>
  <c r="BA175" i="12"/>
  <c r="BB175" i="12"/>
  <c r="BC175" i="12"/>
  <c r="BD175" i="12"/>
  <c r="BE175" i="12"/>
  <c r="AH177" i="12"/>
  <c r="AI177" i="12"/>
  <c r="AJ177" i="12"/>
  <c r="AK177" i="12"/>
  <c r="AL177" i="12"/>
  <c r="AM177" i="12"/>
  <c r="AN177" i="12"/>
  <c r="AO177" i="12"/>
  <c r="AP177" i="12"/>
  <c r="AQ177" i="12"/>
  <c r="AR177" i="12"/>
  <c r="AS177" i="12"/>
  <c r="AT177" i="12"/>
  <c r="AU177" i="12"/>
  <c r="AV177" i="12"/>
  <c r="AW177" i="12"/>
  <c r="AX177" i="12"/>
  <c r="AY177" i="12"/>
  <c r="AZ177" i="12"/>
  <c r="BA177" i="12"/>
  <c r="BB177" i="12"/>
  <c r="BC177" i="12"/>
  <c r="BD177" i="12"/>
  <c r="BE177" i="12"/>
  <c r="AH178" i="12"/>
  <c r="AI178" i="12"/>
  <c r="AJ178" i="12"/>
  <c r="AK178" i="12"/>
  <c r="AL178" i="12"/>
  <c r="AM178" i="12"/>
  <c r="AN178" i="12"/>
  <c r="AO178" i="12"/>
  <c r="AP178" i="12"/>
  <c r="AQ178" i="12"/>
  <c r="AR178" i="12"/>
  <c r="AS178" i="12"/>
  <c r="AT178" i="12"/>
  <c r="AU178" i="12"/>
  <c r="AV178" i="12"/>
  <c r="AW178" i="12"/>
  <c r="AX178" i="12"/>
  <c r="AY178" i="12"/>
  <c r="AZ178" i="12"/>
  <c r="BA178" i="12"/>
  <c r="BB178" i="12"/>
  <c r="BC178" i="12"/>
  <c r="BD178" i="12"/>
  <c r="BE178" i="12"/>
  <c r="AH179" i="12"/>
  <c r="AI179" i="12"/>
  <c r="AJ179" i="12"/>
  <c r="AK179" i="12"/>
  <c r="AL179" i="12"/>
  <c r="AM179" i="12"/>
  <c r="AN179" i="12"/>
  <c r="AO179" i="12"/>
  <c r="AP179" i="12"/>
  <c r="AQ179" i="12"/>
  <c r="AR179" i="12"/>
  <c r="AS179" i="12"/>
  <c r="AT179" i="12"/>
  <c r="AU179" i="12"/>
  <c r="AV179" i="12"/>
  <c r="AW179" i="12"/>
  <c r="AX179" i="12"/>
  <c r="AY179" i="12"/>
  <c r="AZ179" i="12"/>
  <c r="BA179" i="12"/>
  <c r="BB179" i="12"/>
  <c r="BC179" i="12"/>
  <c r="BD179" i="12"/>
  <c r="BE179" i="12"/>
  <c r="AH180" i="12"/>
  <c r="AI180" i="12"/>
  <c r="AJ180" i="12"/>
  <c r="AK180" i="12"/>
  <c r="AL180" i="12"/>
  <c r="AM180" i="12"/>
  <c r="AN180" i="12"/>
  <c r="AO180" i="12"/>
  <c r="AP180" i="12"/>
  <c r="AQ180" i="12"/>
  <c r="AR180" i="12"/>
  <c r="AS180" i="12"/>
  <c r="AT180" i="12"/>
  <c r="AU180" i="12"/>
  <c r="AV180" i="12"/>
  <c r="AW180" i="12"/>
  <c r="AX180" i="12"/>
  <c r="AY180" i="12"/>
  <c r="AZ180" i="12"/>
  <c r="BA180" i="12"/>
  <c r="BB180" i="12"/>
  <c r="BC180" i="12"/>
  <c r="BD180" i="12"/>
  <c r="BE180" i="12"/>
  <c r="AH181" i="12"/>
  <c r="AI181" i="12"/>
  <c r="AJ181" i="12"/>
  <c r="AK181" i="12"/>
  <c r="AL181" i="12"/>
  <c r="AM181" i="12"/>
  <c r="AN181" i="12"/>
  <c r="AO181" i="12"/>
  <c r="AP181" i="12"/>
  <c r="AQ181" i="12"/>
  <c r="AR181" i="12"/>
  <c r="AS181" i="12"/>
  <c r="AT181" i="12"/>
  <c r="AU181" i="12"/>
  <c r="AV181" i="12"/>
  <c r="AW181" i="12"/>
  <c r="AX181" i="12"/>
  <c r="AY181" i="12"/>
  <c r="AZ181" i="12"/>
  <c r="BA181" i="12"/>
  <c r="BB181" i="12"/>
  <c r="BC181" i="12"/>
  <c r="BD181" i="12"/>
  <c r="BE181" i="12"/>
  <c r="AH182" i="12"/>
  <c r="AI182" i="12"/>
  <c r="AJ182" i="12"/>
  <c r="AK182" i="12"/>
  <c r="AL182" i="12"/>
  <c r="AM182" i="12"/>
  <c r="AN182" i="12"/>
  <c r="AO182" i="12"/>
  <c r="AP182" i="12"/>
  <c r="AQ182" i="12"/>
  <c r="AR182" i="12"/>
  <c r="AS182" i="12"/>
  <c r="AT182" i="12"/>
  <c r="AU182" i="12"/>
  <c r="AV182" i="12"/>
  <c r="AW182" i="12"/>
  <c r="AX182" i="12"/>
  <c r="AY182" i="12"/>
  <c r="AZ182" i="12"/>
  <c r="BA182" i="12"/>
  <c r="BB182" i="12"/>
  <c r="BC182" i="12"/>
  <c r="BD182" i="12"/>
  <c r="BE182" i="12"/>
  <c r="AH183" i="12"/>
  <c r="AI183" i="12"/>
  <c r="AJ183" i="12"/>
  <c r="AK183" i="12"/>
  <c r="AL183" i="12"/>
  <c r="AM183" i="12"/>
  <c r="AN183" i="12"/>
  <c r="AO183" i="12"/>
  <c r="AP183" i="12"/>
  <c r="AQ183" i="12"/>
  <c r="AR183" i="12"/>
  <c r="AS183" i="12"/>
  <c r="AT183" i="12"/>
  <c r="AU183" i="12"/>
  <c r="AV183" i="12"/>
  <c r="AW183" i="12"/>
  <c r="AX183" i="12"/>
  <c r="AY183" i="12"/>
  <c r="AZ183" i="12"/>
  <c r="BA183" i="12"/>
  <c r="BB183" i="12"/>
  <c r="BC183" i="12"/>
  <c r="BD183" i="12"/>
  <c r="BE183" i="12"/>
  <c r="AH184" i="12"/>
  <c r="AI184" i="12"/>
  <c r="AJ184" i="12"/>
  <c r="AK184" i="12"/>
  <c r="AL184" i="12"/>
  <c r="AM184" i="12"/>
  <c r="AN184" i="12"/>
  <c r="AO184" i="12"/>
  <c r="AP184" i="12"/>
  <c r="AQ184" i="12"/>
  <c r="AR184" i="12"/>
  <c r="AS184" i="12"/>
  <c r="AT184" i="12"/>
  <c r="AU184" i="12"/>
  <c r="AV184" i="12"/>
  <c r="AW184" i="12"/>
  <c r="AX184" i="12"/>
  <c r="AY184" i="12"/>
  <c r="AZ184" i="12"/>
  <c r="BA184" i="12"/>
  <c r="BB184" i="12"/>
  <c r="BC184" i="12"/>
  <c r="BD184" i="12"/>
  <c r="BE184" i="12"/>
  <c r="AH185" i="12"/>
  <c r="AI185" i="12"/>
  <c r="AJ185" i="12"/>
  <c r="AK185" i="12"/>
  <c r="AL185" i="12"/>
  <c r="AM185" i="12"/>
  <c r="AN185" i="12"/>
  <c r="AO185" i="12"/>
  <c r="AP185" i="12"/>
  <c r="AQ185" i="12"/>
  <c r="AR185" i="12"/>
  <c r="AS185" i="12"/>
  <c r="AT185" i="12"/>
  <c r="AU185" i="12"/>
  <c r="AV185" i="12"/>
  <c r="AW185" i="12"/>
  <c r="AX185" i="12"/>
  <c r="AY185" i="12"/>
  <c r="AZ185" i="12"/>
  <c r="BA185" i="12"/>
  <c r="BB185" i="12"/>
  <c r="BC185" i="12"/>
  <c r="BD185" i="12"/>
  <c r="BE185" i="12"/>
  <c r="AH186" i="12"/>
  <c r="AI186" i="12"/>
  <c r="AJ186" i="12"/>
  <c r="AK186" i="12"/>
  <c r="AL186" i="12"/>
  <c r="AM186" i="12"/>
  <c r="AN186" i="12"/>
  <c r="AO186" i="12"/>
  <c r="AP186" i="12"/>
  <c r="AQ186" i="12"/>
  <c r="AR186" i="12"/>
  <c r="AS186" i="12"/>
  <c r="AT186" i="12"/>
  <c r="AU186" i="12"/>
  <c r="AV186" i="12"/>
  <c r="AW186" i="12"/>
  <c r="AX186" i="12"/>
  <c r="AY186" i="12"/>
  <c r="AZ186" i="12"/>
  <c r="BA186" i="12"/>
  <c r="BB186" i="12"/>
  <c r="BC186" i="12"/>
  <c r="BD186" i="12"/>
  <c r="BE186" i="12"/>
  <c r="AH187" i="12"/>
  <c r="AI187" i="12"/>
  <c r="AJ187" i="12"/>
  <c r="AK187" i="12"/>
  <c r="AL187" i="12"/>
  <c r="AM187" i="12"/>
  <c r="AN187" i="12"/>
  <c r="AO187" i="12"/>
  <c r="AP187" i="12"/>
  <c r="AQ187" i="12"/>
  <c r="AR187" i="12"/>
  <c r="AS187" i="12"/>
  <c r="AT187" i="12"/>
  <c r="AU187" i="12"/>
  <c r="AV187" i="12"/>
  <c r="AW187" i="12"/>
  <c r="AX187" i="12"/>
  <c r="AY187" i="12"/>
  <c r="AZ187" i="12"/>
  <c r="BA187" i="12"/>
  <c r="BB187" i="12"/>
  <c r="BC187" i="12"/>
  <c r="BD187" i="12"/>
  <c r="BE187" i="12"/>
  <c r="AH188" i="12"/>
  <c r="AI188" i="12"/>
  <c r="AJ188" i="12"/>
  <c r="AK188" i="12"/>
  <c r="AL188" i="12"/>
  <c r="AM188" i="12"/>
  <c r="AN188" i="12"/>
  <c r="AO188" i="12"/>
  <c r="AP188" i="12"/>
  <c r="AQ188" i="12"/>
  <c r="AR188" i="12"/>
  <c r="AS188" i="12"/>
  <c r="AT188" i="12"/>
  <c r="AU188" i="12"/>
  <c r="AV188" i="12"/>
  <c r="AW188" i="12"/>
  <c r="AX188" i="12"/>
  <c r="AY188" i="12"/>
  <c r="AZ188" i="12"/>
  <c r="BA188" i="12"/>
  <c r="BB188" i="12"/>
  <c r="BC188" i="12"/>
  <c r="BD188" i="12"/>
  <c r="BE188" i="12"/>
  <c r="AH189" i="12"/>
  <c r="AI189" i="12"/>
  <c r="AJ189" i="12"/>
  <c r="AK189" i="12"/>
  <c r="AL189" i="12"/>
  <c r="AM189" i="12"/>
  <c r="AN189" i="12"/>
  <c r="AO189" i="12"/>
  <c r="AP189" i="12"/>
  <c r="AQ189" i="12"/>
  <c r="AR189" i="12"/>
  <c r="AS189" i="12"/>
  <c r="AT189" i="12"/>
  <c r="AU189" i="12"/>
  <c r="AV189" i="12"/>
  <c r="AW189" i="12"/>
  <c r="AX189" i="12"/>
  <c r="AY189" i="12"/>
  <c r="AZ189" i="12"/>
  <c r="BA189" i="12"/>
  <c r="BB189" i="12"/>
  <c r="BC189" i="12"/>
  <c r="BD189" i="12"/>
  <c r="BE189" i="12"/>
  <c r="AH190" i="12"/>
  <c r="AI190" i="12"/>
  <c r="AJ190" i="12"/>
  <c r="AK190" i="12"/>
  <c r="AL190" i="12"/>
  <c r="AM190" i="12"/>
  <c r="AN190" i="12"/>
  <c r="AO190" i="12"/>
  <c r="AP190" i="12"/>
  <c r="AQ190" i="12"/>
  <c r="AR190" i="12"/>
  <c r="AS190" i="12"/>
  <c r="AT190" i="12"/>
  <c r="AU190" i="12"/>
  <c r="AV190" i="12"/>
  <c r="AW190" i="12"/>
  <c r="AX190" i="12"/>
  <c r="AY190" i="12"/>
  <c r="AZ190" i="12"/>
  <c r="BA190" i="12"/>
  <c r="BB190" i="12"/>
  <c r="BC190" i="12"/>
  <c r="BD190" i="12"/>
  <c r="BE190" i="12"/>
  <c r="AH191" i="12"/>
  <c r="AI191" i="12"/>
  <c r="AJ191" i="12"/>
  <c r="AK191" i="12"/>
  <c r="AL191" i="12"/>
  <c r="AM191" i="12"/>
  <c r="AN191" i="12"/>
  <c r="AO191" i="12"/>
  <c r="AP191" i="12"/>
  <c r="AQ191" i="12"/>
  <c r="AR191" i="12"/>
  <c r="AS191" i="12"/>
  <c r="AT191" i="12"/>
  <c r="AU191" i="12"/>
  <c r="AV191" i="12"/>
  <c r="AW191" i="12"/>
  <c r="AX191" i="12"/>
  <c r="AY191" i="12"/>
  <c r="AZ191" i="12"/>
  <c r="BA191" i="12"/>
  <c r="BB191" i="12"/>
  <c r="BC191" i="12"/>
  <c r="BD191" i="12"/>
  <c r="BE191" i="12"/>
  <c r="AH192" i="12"/>
  <c r="AI192" i="12"/>
  <c r="AJ192" i="12"/>
  <c r="AK192" i="12"/>
  <c r="AL192" i="12"/>
  <c r="AM192" i="12"/>
  <c r="AN192" i="12"/>
  <c r="AO192" i="12"/>
  <c r="AP192" i="12"/>
  <c r="AQ192" i="12"/>
  <c r="AR192" i="12"/>
  <c r="AS192" i="12"/>
  <c r="AT192" i="12"/>
  <c r="AU192" i="12"/>
  <c r="AV192" i="12"/>
  <c r="AW192" i="12"/>
  <c r="AX192" i="12"/>
  <c r="AY192" i="12"/>
  <c r="AZ192" i="12"/>
  <c r="BA192" i="12"/>
  <c r="BB192" i="12"/>
  <c r="BC192" i="12"/>
  <c r="BD192" i="12"/>
  <c r="BE192" i="12"/>
  <c r="AH193" i="12"/>
  <c r="AI193" i="12"/>
  <c r="AJ193" i="12"/>
  <c r="AK193" i="12"/>
  <c r="AL193" i="12"/>
  <c r="AM193" i="12"/>
  <c r="AN193" i="12"/>
  <c r="AO193" i="12"/>
  <c r="AP193" i="12"/>
  <c r="AQ193" i="12"/>
  <c r="AR193" i="12"/>
  <c r="AS193" i="12"/>
  <c r="AT193" i="12"/>
  <c r="AU193" i="12"/>
  <c r="AV193" i="12"/>
  <c r="AW193" i="12"/>
  <c r="AX193" i="12"/>
  <c r="AY193" i="12"/>
  <c r="AZ193" i="12"/>
  <c r="BA193" i="12"/>
  <c r="BB193" i="12"/>
  <c r="BC193" i="12"/>
  <c r="BD193" i="12"/>
  <c r="BE193" i="12"/>
  <c r="AH194" i="12"/>
  <c r="AI194" i="12"/>
  <c r="AJ194" i="12"/>
  <c r="AK194" i="12"/>
  <c r="AL194" i="12"/>
  <c r="AM194" i="12"/>
  <c r="AN194" i="12"/>
  <c r="AO194" i="12"/>
  <c r="AP194" i="12"/>
  <c r="AQ194" i="12"/>
  <c r="AR194" i="12"/>
  <c r="AS194" i="12"/>
  <c r="AT194" i="12"/>
  <c r="AU194" i="12"/>
  <c r="AV194" i="12"/>
  <c r="AW194" i="12"/>
  <c r="AX194" i="12"/>
  <c r="AY194" i="12"/>
  <c r="AZ194" i="12"/>
  <c r="BA194" i="12"/>
  <c r="BB194" i="12"/>
  <c r="BC194" i="12"/>
  <c r="BD194" i="12"/>
  <c r="BE194" i="12"/>
  <c r="AH195" i="12"/>
  <c r="AI195" i="12"/>
  <c r="AJ195" i="12"/>
  <c r="AK195" i="12"/>
  <c r="AL195" i="12"/>
  <c r="AM195" i="12"/>
  <c r="AN195" i="12"/>
  <c r="AO195" i="12"/>
  <c r="AP195" i="12"/>
  <c r="AQ195" i="12"/>
  <c r="AR195" i="12"/>
  <c r="AS195" i="12"/>
  <c r="AT195" i="12"/>
  <c r="AU195" i="12"/>
  <c r="AV195" i="12"/>
  <c r="AW195" i="12"/>
  <c r="AX195" i="12"/>
  <c r="AY195" i="12"/>
  <c r="AZ195" i="12"/>
  <c r="BA195" i="12"/>
  <c r="BB195" i="12"/>
  <c r="BC195" i="12"/>
  <c r="BD195" i="12"/>
  <c r="BE195" i="12"/>
  <c r="AH196" i="12"/>
  <c r="AI196" i="12"/>
  <c r="AJ196" i="12"/>
  <c r="AK196" i="12"/>
  <c r="AL196" i="12"/>
  <c r="AM196" i="12"/>
  <c r="AN196" i="12"/>
  <c r="AO196" i="12"/>
  <c r="AP196" i="12"/>
  <c r="AQ196" i="12"/>
  <c r="AR196" i="12"/>
  <c r="AS196" i="12"/>
  <c r="AT196" i="12"/>
  <c r="AU196" i="12"/>
  <c r="AV196" i="12"/>
  <c r="AW196" i="12"/>
  <c r="AX196" i="12"/>
  <c r="AY196" i="12"/>
  <c r="AZ196" i="12"/>
  <c r="BA196" i="12"/>
  <c r="BB196" i="12"/>
  <c r="BC196" i="12"/>
  <c r="BD196" i="12"/>
  <c r="BE196" i="12"/>
  <c r="D197" i="12"/>
  <c r="B44" i="15" s="1"/>
  <c r="E197" i="12"/>
  <c r="F197" i="12"/>
  <c r="D44" i="15" s="1"/>
  <c r="G197" i="12"/>
  <c r="E44" i="15" s="1"/>
  <c r="H197" i="12"/>
  <c r="F44" i="15" s="1"/>
  <c r="I197" i="12"/>
  <c r="J197" i="12"/>
  <c r="H44" i="15" s="1"/>
  <c r="L197" i="12"/>
  <c r="J44" i="15" s="1"/>
  <c r="N197" i="12"/>
  <c r="L44" i="15" s="1"/>
  <c r="Q197" i="12"/>
  <c r="O44" i="15" s="1"/>
  <c r="R197" i="12"/>
  <c r="P44" i="15" s="1"/>
  <c r="S197" i="12"/>
  <c r="Q44" i="15" s="1"/>
  <c r="U197" i="12"/>
  <c r="S44" i="15" s="1"/>
  <c r="V197" i="12"/>
  <c r="T44" i="15" s="1"/>
  <c r="X197" i="12"/>
  <c r="Z197" i="12"/>
  <c r="AH199" i="12"/>
  <c r="AI199" i="12"/>
  <c r="AJ199" i="12"/>
  <c r="AK199" i="12"/>
  <c r="AL199" i="12"/>
  <c r="AM199" i="12"/>
  <c r="AN199" i="12"/>
  <c r="AO199" i="12"/>
  <c r="AP199" i="12"/>
  <c r="AQ199" i="12"/>
  <c r="AR199" i="12"/>
  <c r="AS199" i="12"/>
  <c r="AT199" i="12"/>
  <c r="AU199" i="12"/>
  <c r="AV199" i="12"/>
  <c r="AW199" i="12"/>
  <c r="AX199" i="12"/>
  <c r="AY199" i="12"/>
  <c r="AZ199" i="12"/>
  <c r="BA199" i="12"/>
  <c r="BB199" i="12"/>
  <c r="BC199" i="12"/>
  <c r="BD199" i="12"/>
  <c r="AH200" i="12"/>
  <c r="AI200" i="12"/>
  <c r="AJ200" i="12"/>
  <c r="AK200" i="12"/>
  <c r="AL200" i="12"/>
  <c r="AM200" i="12"/>
  <c r="AN200" i="12"/>
  <c r="AO200" i="12"/>
  <c r="AP200" i="12"/>
  <c r="AQ200" i="12"/>
  <c r="AR200" i="12"/>
  <c r="AS200" i="12"/>
  <c r="AT200" i="12"/>
  <c r="AU200" i="12"/>
  <c r="AV200" i="12"/>
  <c r="AW200" i="12"/>
  <c r="AX200" i="12"/>
  <c r="AY200" i="12"/>
  <c r="AZ200" i="12"/>
  <c r="BA200" i="12"/>
  <c r="BB200" i="12"/>
  <c r="BC200" i="12"/>
  <c r="BD200" i="12"/>
  <c r="AH201" i="12"/>
  <c r="AI201" i="12"/>
  <c r="AJ201" i="12"/>
  <c r="AK201" i="12"/>
  <c r="AL201" i="12"/>
  <c r="AM201" i="12"/>
  <c r="AN201" i="12"/>
  <c r="AO201" i="12"/>
  <c r="AP201" i="12"/>
  <c r="AQ201" i="12"/>
  <c r="AR201" i="12"/>
  <c r="AS201" i="12"/>
  <c r="AT201" i="12"/>
  <c r="AU201" i="12"/>
  <c r="AV201" i="12"/>
  <c r="AW201" i="12"/>
  <c r="AX201" i="12"/>
  <c r="AY201" i="12"/>
  <c r="AZ201" i="12"/>
  <c r="BA201" i="12"/>
  <c r="BB201" i="12"/>
  <c r="BC201" i="12"/>
  <c r="BD201" i="12"/>
  <c r="F53" i="11"/>
  <c r="D20" i="15" s="1"/>
  <c r="L53" i="11"/>
  <c r="G20" i="15" s="1"/>
  <c r="N53" i="11"/>
  <c r="I20" i="15" s="1"/>
  <c r="O53" i="11"/>
  <c r="J20" i="15" s="1"/>
  <c r="P53" i="11"/>
  <c r="K20" i="15" s="1"/>
  <c r="AG79" i="11"/>
  <c r="AD80" i="11"/>
  <c r="AE80" i="11"/>
  <c r="AH80" i="11"/>
  <c r="AI80" i="11"/>
  <c r="AJ80" i="11"/>
  <c r="AK80" i="11"/>
  <c r="AL80" i="11"/>
  <c r="AM80" i="11"/>
  <c r="AN80" i="11"/>
  <c r="AO80" i="11"/>
  <c r="AP80" i="11"/>
  <c r="AQ80" i="11"/>
  <c r="AR80" i="11"/>
  <c r="AS80" i="11"/>
  <c r="AT80" i="11"/>
  <c r="AU80" i="11"/>
  <c r="AV80" i="11"/>
  <c r="AW80" i="11"/>
  <c r="AX80" i="11"/>
  <c r="AY80" i="11"/>
  <c r="AZ80" i="11"/>
  <c r="BA80" i="11"/>
  <c r="BB80" i="11"/>
  <c r="BC80" i="11"/>
  <c r="BD80" i="11"/>
  <c r="AH82" i="11"/>
  <c r="AI82" i="11"/>
  <c r="AJ82" i="11"/>
  <c r="AK82" i="11"/>
  <c r="AL82" i="11"/>
  <c r="AM82" i="11"/>
  <c r="AN82" i="11"/>
  <c r="AO82" i="11"/>
  <c r="AP82" i="11"/>
  <c r="AQ82" i="11"/>
  <c r="AR82" i="11"/>
  <c r="AS82" i="11"/>
  <c r="AT82" i="11"/>
  <c r="AU82" i="11"/>
  <c r="AV82" i="11"/>
  <c r="AW82" i="11"/>
  <c r="AX82" i="11"/>
  <c r="AY82" i="11"/>
  <c r="AZ82" i="11"/>
  <c r="BA82" i="11"/>
  <c r="BB82" i="11"/>
  <c r="BC82" i="11"/>
  <c r="BD82" i="11"/>
  <c r="AH83" i="11"/>
  <c r="AI83" i="11"/>
  <c r="AJ83" i="11"/>
  <c r="AK83" i="11"/>
  <c r="AL83" i="11"/>
  <c r="AM83" i="11"/>
  <c r="AN83" i="11"/>
  <c r="AO83" i="11"/>
  <c r="AP83" i="11"/>
  <c r="AQ83" i="11"/>
  <c r="AR83" i="11"/>
  <c r="AS83" i="11"/>
  <c r="AT83" i="11"/>
  <c r="AU83" i="11"/>
  <c r="AV83" i="11"/>
  <c r="AW83" i="11"/>
  <c r="AX83" i="11"/>
  <c r="AY83" i="11"/>
  <c r="AZ83" i="11"/>
  <c r="BA83" i="11"/>
  <c r="BB83" i="11"/>
  <c r="BC83" i="11"/>
  <c r="BD83" i="11"/>
  <c r="BE83" i="11"/>
  <c r="AH84" i="11"/>
  <c r="AI84" i="11"/>
  <c r="AJ84" i="11"/>
  <c r="AK84" i="11"/>
  <c r="AL84" i="11"/>
  <c r="AM84" i="11"/>
  <c r="AN84" i="11"/>
  <c r="AO84" i="11"/>
  <c r="AP84" i="11"/>
  <c r="AQ84" i="11"/>
  <c r="AR84" i="11"/>
  <c r="AS84" i="11"/>
  <c r="AT84" i="11"/>
  <c r="AU84" i="11"/>
  <c r="AV84" i="11"/>
  <c r="AW84" i="11"/>
  <c r="AX84" i="11"/>
  <c r="AY84" i="11"/>
  <c r="AZ84" i="11"/>
  <c r="BA84" i="11"/>
  <c r="BB84" i="11"/>
  <c r="BC84" i="11"/>
  <c r="BD84" i="11"/>
  <c r="BE84" i="11"/>
  <c r="AH163" i="11"/>
  <c r="AI163" i="11"/>
  <c r="AJ163" i="11"/>
  <c r="AK163" i="11"/>
  <c r="AL163" i="11"/>
  <c r="AM163" i="11"/>
  <c r="AN163" i="11"/>
  <c r="AO163" i="11"/>
  <c r="AP163" i="11"/>
  <c r="AQ163" i="11"/>
  <c r="AR163" i="11"/>
  <c r="AS163" i="11"/>
  <c r="AT163" i="11"/>
  <c r="AU163" i="11"/>
  <c r="AV163" i="11"/>
  <c r="AW163" i="11"/>
  <c r="AX163" i="11"/>
  <c r="AY163" i="11"/>
  <c r="AZ163" i="11"/>
  <c r="BA163" i="11"/>
  <c r="BB163" i="11"/>
  <c r="BC163" i="11"/>
  <c r="BD163" i="11"/>
  <c r="BE163" i="11"/>
  <c r="AH164" i="11"/>
  <c r="AI164" i="11"/>
  <c r="AJ164" i="11"/>
  <c r="AK164" i="11"/>
  <c r="AL164" i="11"/>
  <c r="AM164" i="11"/>
  <c r="AN164" i="11"/>
  <c r="AO164" i="11"/>
  <c r="AP164" i="11"/>
  <c r="AQ164" i="11"/>
  <c r="AR164" i="11"/>
  <c r="AS164" i="11"/>
  <c r="AT164" i="11"/>
  <c r="AU164" i="11"/>
  <c r="AV164" i="11"/>
  <c r="AW164" i="11"/>
  <c r="AX164" i="11"/>
  <c r="AY164" i="11"/>
  <c r="AZ164" i="11"/>
  <c r="BA164" i="11"/>
  <c r="BB164" i="11"/>
  <c r="BC164" i="11"/>
  <c r="BD164" i="11"/>
  <c r="BE164" i="11"/>
  <c r="AH165" i="11"/>
  <c r="AI165" i="11"/>
  <c r="AJ165" i="11"/>
  <c r="AK165" i="11"/>
  <c r="AL165" i="11"/>
  <c r="AM165" i="11"/>
  <c r="AN165" i="11"/>
  <c r="AO165" i="11"/>
  <c r="AP165" i="11"/>
  <c r="AQ165" i="11"/>
  <c r="AR165" i="11"/>
  <c r="AS165" i="11"/>
  <c r="AT165" i="11"/>
  <c r="AU165" i="11"/>
  <c r="AV165" i="11"/>
  <c r="AW165" i="11"/>
  <c r="AX165" i="11"/>
  <c r="AY165" i="11"/>
  <c r="AZ165" i="11"/>
  <c r="BA165" i="11"/>
  <c r="BB165" i="11"/>
  <c r="BC165" i="11"/>
  <c r="BD165" i="11"/>
  <c r="BE165" i="11"/>
  <c r="AH166" i="11"/>
  <c r="AI166" i="11"/>
  <c r="AJ166" i="11"/>
  <c r="AK166" i="11"/>
  <c r="AL166" i="11"/>
  <c r="AM166" i="11"/>
  <c r="AN166" i="11"/>
  <c r="AO166" i="11"/>
  <c r="AP166" i="11"/>
  <c r="AQ166" i="11"/>
  <c r="AR166" i="11"/>
  <c r="AS166" i="11"/>
  <c r="AT166" i="11"/>
  <c r="AU166" i="11"/>
  <c r="AV166" i="11"/>
  <c r="AW166" i="11"/>
  <c r="AX166" i="11"/>
  <c r="AY166" i="11"/>
  <c r="AZ166" i="11"/>
  <c r="BA166" i="11"/>
  <c r="BB166" i="11"/>
  <c r="BC166" i="11"/>
  <c r="BD166" i="11"/>
  <c r="BE166" i="11"/>
  <c r="AH167" i="11"/>
  <c r="AI167" i="11"/>
  <c r="AJ167" i="11"/>
  <c r="AK167" i="11"/>
  <c r="AL167" i="11"/>
  <c r="AM167" i="11"/>
  <c r="AN167" i="11"/>
  <c r="AO167" i="11"/>
  <c r="AP167" i="11"/>
  <c r="AQ167" i="11"/>
  <c r="AR167" i="11"/>
  <c r="AS167" i="11"/>
  <c r="AT167" i="11"/>
  <c r="AU167" i="11"/>
  <c r="AV167" i="11"/>
  <c r="AW167" i="11"/>
  <c r="AX167" i="11"/>
  <c r="AY167" i="11"/>
  <c r="AZ167" i="11"/>
  <c r="BA167" i="11"/>
  <c r="BB167" i="11"/>
  <c r="BC167" i="11"/>
  <c r="BD167" i="11"/>
  <c r="BE167" i="11"/>
  <c r="AH168" i="11"/>
  <c r="AI168" i="11"/>
  <c r="AJ168" i="11"/>
  <c r="AK168" i="11"/>
  <c r="AL168" i="11"/>
  <c r="AM168" i="11"/>
  <c r="AN168" i="11"/>
  <c r="AO168" i="11"/>
  <c r="AP168" i="11"/>
  <c r="AQ168" i="11"/>
  <c r="AR168" i="11"/>
  <c r="AS168" i="11"/>
  <c r="AT168" i="11"/>
  <c r="AU168" i="11"/>
  <c r="AV168" i="11"/>
  <c r="AW168" i="11"/>
  <c r="AX168" i="11"/>
  <c r="AY168" i="11"/>
  <c r="AZ168" i="11"/>
  <c r="BA168" i="11"/>
  <c r="BB168" i="11"/>
  <c r="BC168" i="11"/>
  <c r="BD168" i="11"/>
  <c r="BE168" i="11"/>
  <c r="AH188" i="11"/>
  <c r="AI188" i="11"/>
  <c r="AJ188" i="11"/>
  <c r="AK188" i="11"/>
  <c r="AL188" i="11"/>
  <c r="AM188" i="11"/>
  <c r="AN188" i="11"/>
  <c r="AO188" i="11"/>
  <c r="AP188" i="11"/>
  <c r="AQ188" i="11"/>
  <c r="AR188" i="11"/>
  <c r="AS188" i="11"/>
  <c r="AT188" i="11"/>
  <c r="AU188" i="11"/>
  <c r="AV188" i="11"/>
  <c r="AW188" i="11"/>
  <c r="AX188" i="11"/>
  <c r="AY188" i="11"/>
  <c r="AZ188" i="11"/>
  <c r="BA188" i="11"/>
  <c r="BB188" i="11"/>
  <c r="BC188" i="11"/>
  <c r="BD188" i="11"/>
  <c r="BE188" i="11"/>
  <c r="AH189" i="11"/>
  <c r="AI189" i="11"/>
  <c r="AJ189" i="11"/>
  <c r="AK189" i="11"/>
  <c r="AL189" i="11"/>
  <c r="AM189" i="11"/>
  <c r="AN189" i="11"/>
  <c r="AO189" i="11"/>
  <c r="AP189" i="11"/>
  <c r="AQ189" i="11"/>
  <c r="AR189" i="11"/>
  <c r="AS189" i="11"/>
  <c r="AT189" i="11"/>
  <c r="AU189" i="11"/>
  <c r="AV189" i="11"/>
  <c r="AW189" i="11"/>
  <c r="AX189" i="11"/>
  <c r="AY189" i="11"/>
  <c r="AZ189" i="11"/>
  <c r="BA189" i="11"/>
  <c r="BB189" i="11"/>
  <c r="BC189" i="11"/>
  <c r="BD189" i="11"/>
  <c r="BE189" i="11"/>
  <c r="AH190" i="11"/>
  <c r="AI190" i="11"/>
  <c r="AJ190" i="11"/>
  <c r="AK190" i="11"/>
  <c r="AL190" i="11"/>
  <c r="AM190" i="11"/>
  <c r="AN190" i="11"/>
  <c r="AO190" i="11"/>
  <c r="AP190" i="11"/>
  <c r="AQ190" i="11"/>
  <c r="AR190" i="11"/>
  <c r="AS190" i="11"/>
  <c r="AT190" i="11"/>
  <c r="AU190" i="11"/>
  <c r="AV190" i="11"/>
  <c r="AW190" i="11"/>
  <c r="AX190" i="11"/>
  <c r="AY190" i="11"/>
  <c r="AZ190" i="11"/>
  <c r="BA190" i="11"/>
  <c r="BB190" i="11"/>
  <c r="BC190" i="11"/>
  <c r="BD190" i="11"/>
  <c r="BE190" i="11"/>
  <c r="AH191" i="11"/>
  <c r="AI191" i="11"/>
  <c r="AJ191" i="11"/>
  <c r="AK191" i="11"/>
  <c r="AL191" i="11"/>
  <c r="AM191" i="11"/>
  <c r="AN191" i="11"/>
  <c r="AO191" i="11"/>
  <c r="AP191" i="11"/>
  <c r="AQ191" i="11"/>
  <c r="AR191" i="11"/>
  <c r="AS191" i="11"/>
  <c r="AT191" i="11"/>
  <c r="AU191" i="11"/>
  <c r="AV191" i="11"/>
  <c r="AW191" i="11"/>
  <c r="AX191" i="11"/>
  <c r="AY191" i="11"/>
  <c r="AZ191" i="11"/>
  <c r="BA191" i="11"/>
  <c r="BB191" i="11"/>
  <c r="BC191" i="11"/>
  <c r="BD191" i="11"/>
  <c r="BE191" i="11"/>
  <c r="AH192" i="11"/>
  <c r="AI192" i="11"/>
  <c r="AJ192" i="11"/>
  <c r="AK192" i="11"/>
  <c r="AL192" i="11"/>
  <c r="AM192" i="11"/>
  <c r="AN192" i="11"/>
  <c r="AO192" i="11"/>
  <c r="AP192" i="11"/>
  <c r="AQ192" i="11"/>
  <c r="AR192" i="11"/>
  <c r="AS192" i="11"/>
  <c r="AT192" i="11"/>
  <c r="AU192" i="11"/>
  <c r="AV192" i="11"/>
  <c r="AW192" i="11"/>
  <c r="AX192" i="11"/>
  <c r="AY192" i="11"/>
  <c r="AZ192" i="11"/>
  <c r="BA192" i="11"/>
  <c r="BB192" i="11"/>
  <c r="BC192" i="11"/>
  <c r="BD192" i="11"/>
  <c r="BE192" i="11"/>
  <c r="AH193" i="11"/>
  <c r="AI193" i="11"/>
  <c r="AJ193" i="11"/>
  <c r="AK193" i="11"/>
  <c r="AL193" i="11"/>
  <c r="AM193" i="11"/>
  <c r="AN193" i="11"/>
  <c r="AO193" i="11"/>
  <c r="AP193" i="11"/>
  <c r="AQ193" i="11"/>
  <c r="AR193" i="11"/>
  <c r="AS193" i="11"/>
  <c r="AT193" i="11"/>
  <c r="AU193" i="11"/>
  <c r="AV193" i="11"/>
  <c r="AW193" i="11"/>
  <c r="AX193" i="11"/>
  <c r="AY193" i="11"/>
  <c r="AZ193" i="11"/>
  <c r="BA193" i="11"/>
  <c r="BB193" i="11"/>
  <c r="BC193" i="11"/>
  <c r="BD193" i="11"/>
  <c r="BE193" i="11"/>
  <c r="AH194" i="11"/>
  <c r="AI194" i="11"/>
  <c r="AJ194" i="11"/>
  <c r="AK194" i="11"/>
  <c r="AL194" i="11"/>
  <c r="AM194" i="11"/>
  <c r="AN194" i="11"/>
  <c r="AO194" i="11"/>
  <c r="AP194" i="11"/>
  <c r="AQ194" i="11"/>
  <c r="AR194" i="11"/>
  <c r="AS194" i="11"/>
  <c r="AT194" i="11"/>
  <c r="AU194" i="11"/>
  <c r="AV194" i="11"/>
  <c r="AW194" i="11"/>
  <c r="AX194" i="11"/>
  <c r="AY194" i="11"/>
  <c r="AZ194" i="11"/>
  <c r="BA194" i="11"/>
  <c r="BB194" i="11"/>
  <c r="BC194" i="11"/>
  <c r="BD194" i="11"/>
  <c r="BE194" i="11"/>
  <c r="AH195" i="11"/>
  <c r="AI195" i="11"/>
  <c r="AJ195" i="11"/>
  <c r="AK195" i="11"/>
  <c r="AL195" i="11"/>
  <c r="AM195" i="11"/>
  <c r="AN195" i="11"/>
  <c r="AO195" i="11"/>
  <c r="AP195" i="11"/>
  <c r="AQ195" i="11"/>
  <c r="AR195" i="11"/>
  <c r="AS195" i="11"/>
  <c r="AT195" i="11"/>
  <c r="AU195" i="11"/>
  <c r="AV195" i="11"/>
  <c r="AW195" i="11"/>
  <c r="AX195" i="11"/>
  <c r="AY195" i="11"/>
  <c r="AZ195" i="11"/>
  <c r="BA195" i="11"/>
  <c r="BB195" i="11"/>
  <c r="BC195" i="11"/>
  <c r="BD195" i="11"/>
  <c r="BE195" i="11"/>
  <c r="AH196" i="11"/>
  <c r="AI196" i="11"/>
  <c r="AJ196" i="11"/>
  <c r="AK196" i="11"/>
  <c r="AL196" i="11"/>
  <c r="AM196" i="11"/>
  <c r="AN196" i="11"/>
  <c r="AO196" i="11"/>
  <c r="AP196" i="11"/>
  <c r="AQ196" i="11"/>
  <c r="AR196" i="11"/>
  <c r="AS196" i="11"/>
  <c r="AT196" i="11"/>
  <c r="AU196" i="11"/>
  <c r="AV196" i="11"/>
  <c r="AW196" i="11"/>
  <c r="AX196" i="11"/>
  <c r="AY196" i="11"/>
  <c r="AZ196" i="11"/>
  <c r="BA196" i="11"/>
  <c r="BB196" i="11"/>
  <c r="BC196" i="11"/>
  <c r="BD196" i="11"/>
  <c r="BE196" i="11"/>
  <c r="D197" i="11"/>
  <c r="B43" i="15" s="1"/>
  <c r="E197" i="11"/>
  <c r="G197" i="11"/>
  <c r="E43" i="15" s="1"/>
  <c r="F197" i="11"/>
  <c r="H197" i="11"/>
  <c r="F43" i="15" s="1"/>
  <c r="I197" i="11"/>
  <c r="J197" i="11"/>
  <c r="L197" i="11"/>
  <c r="J43" i="15" s="1"/>
  <c r="N197" i="11"/>
  <c r="L43" i="15" s="1"/>
  <c r="Q197" i="11"/>
  <c r="O43" i="15" s="1"/>
  <c r="Q197" i="4"/>
  <c r="O36" i="15" s="1"/>
  <c r="Q197" i="5"/>
  <c r="O37" i="15" s="1"/>
  <c r="Q197" i="6"/>
  <c r="Q197" i="7"/>
  <c r="O39" i="15" s="1"/>
  <c r="Q197" i="8"/>
  <c r="O40" i="15" s="1"/>
  <c r="Q197" i="9"/>
  <c r="O41" i="15" s="1"/>
  <c r="Q197" i="10"/>
  <c r="O42" i="15" s="1"/>
  <c r="R197" i="11"/>
  <c r="S197" i="11"/>
  <c r="Q43" i="15" s="1"/>
  <c r="U197" i="11"/>
  <c r="V197" i="11"/>
  <c r="T43" i="15" s="1"/>
  <c r="V197" i="4"/>
  <c r="T36" i="15" s="1"/>
  <c r="V197" i="5"/>
  <c r="T37" i="15" s="1"/>
  <c r="V197" i="6"/>
  <c r="T38" i="15" s="1"/>
  <c r="V197" i="7"/>
  <c r="T39" i="15" s="1"/>
  <c r="V197" i="8"/>
  <c r="T40" i="15" s="1"/>
  <c r="V197" i="9"/>
  <c r="T41" i="15" s="1"/>
  <c r="V197" i="10"/>
  <c r="T42" i="15" s="1"/>
  <c r="X197" i="11"/>
  <c r="Z197" i="11"/>
  <c r="X43" i="15" s="1"/>
  <c r="AH199" i="11"/>
  <c r="AI199" i="11"/>
  <c r="AJ199" i="11"/>
  <c r="AK199" i="11"/>
  <c r="AL199" i="11"/>
  <c r="AM199" i="11"/>
  <c r="AN199" i="11"/>
  <c r="AO199" i="11"/>
  <c r="AP199" i="11"/>
  <c r="AQ199" i="11"/>
  <c r="AR199" i="11"/>
  <c r="AS199" i="11"/>
  <c r="AT199" i="11"/>
  <c r="AU199" i="11"/>
  <c r="AV199" i="11"/>
  <c r="AW199" i="11"/>
  <c r="AX199" i="11"/>
  <c r="AY199" i="11"/>
  <c r="AZ199" i="11"/>
  <c r="BA199" i="11"/>
  <c r="BB199" i="11"/>
  <c r="BC199" i="11"/>
  <c r="BD199" i="11"/>
  <c r="AH200" i="11"/>
  <c r="AI200" i="11"/>
  <c r="AJ200" i="11"/>
  <c r="AK200" i="11"/>
  <c r="AL200" i="11"/>
  <c r="AM200" i="11"/>
  <c r="AN200" i="11"/>
  <c r="AO200" i="11"/>
  <c r="AP200" i="11"/>
  <c r="AQ200" i="11"/>
  <c r="AR200" i="11"/>
  <c r="AS200" i="11"/>
  <c r="AT200" i="11"/>
  <c r="AU200" i="11"/>
  <c r="AV200" i="11"/>
  <c r="AW200" i="11"/>
  <c r="AX200" i="11"/>
  <c r="AY200" i="11"/>
  <c r="AZ200" i="11"/>
  <c r="BA200" i="11"/>
  <c r="BB200" i="11"/>
  <c r="BC200" i="11"/>
  <c r="BD200" i="11"/>
  <c r="AH201" i="11"/>
  <c r="AI201" i="11"/>
  <c r="AJ201" i="11"/>
  <c r="AK201" i="11"/>
  <c r="AL201" i="11"/>
  <c r="AM201" i="11"/>
  <c r="AN201" i="11"/>
  <c r="AO201" i="11"/>
  <c r="AP201" i="11"/>
  <c r="AQ201" i="11"/>
  <c r="AR201" i="11"/>
  <c r="AS201" i="11"/>
  <c r="AT201" i="11"/>
  <c r="AU201" i="11"/>
  <c r="AV201" i="11"/>
  <c r="AW201" i="11"/>
  <c r="AX201" i="11"/>
  <c r="AY201" i="11"/>
  <c r="AZ201" i="11"/>
  <c r="BA201" i="11"/>
  <c r="BB201" i="11"/>
  <c r="BC201" i="11"/>
  <c r="BD201" i="11"/>
  <c r="F53" i="10"/>
  <c r="L53" i="10"/>
  <c r="G19" i="15" s="1"/>
  <c r="N53" i="10"/>
  <c r="I19" i="15" s="1"/>
  <c r="O53" i="10"/>
  <c r="J19" i="15" s="1"/>
  <c r="P53" i="10"/>
  <c r="K19" i="15" s="1"/>
  <c r="AG79" i="10"/>
  <c r="AD80" i="10"/>
  <c r="AE80" i="10"/>
  <c r="AH80" i="10"/>
  <c r="AI80" i="10"/>
  <c r="AJ80" i="10"/>
  <c r="AK80" i="10"/>
  <c r="AL80" i="10"/>
  <c r="AM80" i="10"/>
  <c r="AN80" i="10"/>
  <c r="AO80" i="10"/>
  <c r="AP80" i="10"/>
  <c r="AQ80" i="10"/>
  <c r="AR80" i="10"/>
  <c r="AS80" i="10"/>
  <c r="AT80" i="10"/>
  <c r="AU80" i="10"/>
  <c r="AV80" i="10"/>
  <c r="AW80" i="10"/>
  <c r="AX80" i="10"/>
  <c r="AY80" i="10"/>
  <c r="AZ80" i="10"/>
  <c r="BA80" i="10"/>
  <c r="BB80" i="10"/>
  <c r="BC80" i="10"/>
  <c r="BD80" i="10"/>
  <c r="AH81" i="10"/>
  <c r="AI81" i="10"/>
  <c r="AJ81" i="10"/>
  <c r="AK81" i="10"/>
  <c r="AL81" i="10"/>
  <c r="AM81" i="10"/>
  <c r="AN81" i="10"/>
  <c r="AO81" i="10"/>
  <c r="AP81" i="10"/>
  <c r="AQ81" i="10"/>
  <c r="AR81" i="10"/>
  <c r="AS81" i="10"/>
  <c r="AT81" i="10"/>
  <c r="AU81" i="10"/>
  <c r="AV81" i="10"/>
  <c r="AW81" i="10"/>
  <c r="AX81" i="10"/>
  <c r="AY81" i="10"/>
  <c r="AZ81" i="10"/>
  <c r="BA81" i="10"/>
  <c r="BB81" i="10"/>
  <c r="BC81" i="10"/>
  <c r="BD81" i="10"/>
  <c r="AH82" i="10"/>
  <c r="AI82" i="10"/>
  <c r="AJ82" i="10"/>
  <c r="AK82" i="10"/>
  <c r="AL82" i="10"/>
  <c r="AM82" i="10"/>
  <c r="AN82" i="10"/>
  <c r="AO82" i="10"/>
  <c r="AP82" i="10"/>
  <c r="AQ82" i="10"/>
  <c r="AR82" i="10"/>
  <c r="AS82" i="10"/>
  <c r="AT82" i="10"/>
  <c r="AU82" i="10"/>
  <c r="AV82" i="10"/>
  <c r="AW82" i="10"/>
  <c r="AX82" i="10"/>
  <c r="AY82" i="10"/>
  <c r="AZ82" i="10"/>
  <c r="BA82" i="10"/>
  <c r="BB82" i="10"/>
  <c r="BC82" i="10"/>
  <c r="BD82" i="10"/>
  <c r="BE82" i="10"/>
  <c r="AH83" i="10"/>
  <c r="AI83" i="10"/>
  <c r="AJ83" i="10"/>
  <c r="AK83" i="10"/>
  <c r="AL83" i="10"/>
  <c r="AM83" i="10"/>
  <c r="AN83" i="10"/>
  <c r="AO83" i="10"/>
  <c r="AP83" i="10"/>
  <c r="AQ83" i="10"/>
  <c r="AR83" i="10"/>
  <c r="AS83" i="10"/>
  <c r="AT83" i="10"/>
  <c r="AU83" i="10"/>
  <c r="AV83" i="10"/>
  <c r="AW83" i="10"/>
  <c r="AX83" i="10"/>
  <c r="AY83" i="10"/>
  <c r="AZ83" i="10"/>
  <c r="BA83" i="10"/>
  <c r="BB83" i="10"/>
  <c r="BC83" i="10"/>
  <c r="BD83" i="10"/>
  <c r="BE83" i="10"/>
  <c r="AH84" i="10"/>
  <c r="AI84" i="10"/>
  <c r="AJ84" i="10"/>
  <c r="AK84" i="10"/>
  <c r="AL84" i="10"/>
  <c r="AM84" i="10"/>
  <c r="AN84" i="10"/>
  <c r="AO84" i="10"/>
  <c r="AP84" i="10"/>
  <c r="AQ84" i="10"/>
  <c r="AR84" i="10"/>
  <c r="AS84" i="10"/>
  <c r="AT84" i="10"/>
  <c r="AU84" i="10"/>
  <c r="AV84" i="10"/>
  <c r="AW84" i="10"/>
  <c r="AX84" i="10"/>
  <c r="AY84" i="10"/>
  <c r="AZ84" i="10"/>
  <c r="BA84" i="10"/>
  <c r="BB84" i="10"/>
  <c r="BC84" i="10"/>
  <c r="BD84" i="10"/>
  <c r="BE84" i="10"/>
  <c r="AH85" i="10"/>
  <c r="AI85" i="10"/>
  <c r="AJ85" i="10"/>
  <c r="AK85" i="10"/>
  <c r="AL85" i="10"/>
  <c r="AM85" i="10"/>
  <c r="AN85" i="10"/>
  <c r="AO85" i="10"/>
  <c r="AP85" i="10"/>
  <c r="AQ85" i="10"/>
  <c r="AR85" i="10"/>
  <c r="AS85" i="10"/>
  <c r="AT85" i="10"/>
  <c r="AU85" i="10"/>
  <c r="AV85" i="10"/>
  <c r="AW85" i="10"/>
  <c r="AX85" i="10"/>
  <c r="AY85" i="10"/>
  <c r="AZ85" i="10"/>
  <c r="BA85" i="10"/>
  <c r="BB85" i="10"/>
  <c r="BC85" i="10"/>
  <c r="BD85" i="10"/>
  <c r="BE85" i="10"/>
  <c r="AH158" i="10"/>
  <c r="AI158" i="10"/>
  <c r="AJ158" i="10"/>
  <c r="AK158" i="10"/>
  <c r="AL158" i="10"/>
  <c r="AM158" i="10"/>
  <c r="AN158" i="10"/>
  <c r="AO158" i="10"/>
  <c r="AP158" i="10"/>
  <c r="AQ158" i="10"/>
  <c r="AR158" i="10"/>
  <c r="AS158" i="10"/>
  <c r="AT158" i="10"/>
  <c r="AU158" i="10"/>
  <c r="AV158" i="10"/>
  <c r="AW158" i="10"/>
  <c r="AX158" i="10"/>
  <c r="AY158" i="10"/>
  <c r="AZ158" i="10"/>
  <c r="BA158" i="10"/>
  <c r="BB158" i="10"/>
  <c r="BC158" i="10"/>
  <c r="BD158" i="10"/>
  <c r="BE158" i="10"/>
  <c r="AH159" i="10"/>
  <c r="AI159" i="10"/>
  <c r="AJ159" i="10"/>
  <c r="AK159" i="10"/>
  <c r="AL159" i="10"/>
  <c r="AM159" i="10"/>
  <c r="AN159" i="10"/>
  <c r="AO159" i="10"/>
  <c r="AP159" i="10"/>
  <c r="AQ159" i="10"/>
  <c r="AR159" i="10"/>
  <c r="AS159" i="10"/>
  <c r="AT159" i="10"/>
  <c r="AU159" i="10"/>
  <c r="AV159" i="10"/>
  <c r="AW159" i="10"/>
  <c r="AX159" i="10"/>
  <c r="AY159" i="10"/>
  <c r="AZ159" i="10"/>
  <c r="BA159" i="10"/>
  <c r="BB159" i="10"/>
  <c r="BC159" i="10"/>
  <c r="BD159" i="10"/>
  <c r="BE159" i="10"/>
  <c r="AH160" i="10"/>
  <c r="AI160" i="10"/>
  <c r="AJ160" i="10"/>
  <c r="AK160" i="10"/>
  <c r="AL160" i="10"/>
  <c r="AM160" i="10"/>
  <c r="AN160" i="10"/>
  <c r="AO160" i="10"/>
  <c r="AP160" i="10"/>
  <c r="AQ160" i="10"/>
  <c r="AR160" i="10"/>
  <c r="AS160" i="10"/>
  <c r="AT160" i="10"/>
  <c r="AU160" i="10"/>
  <c r="AV160" i="10"/>
  <c r="AW160" i="10"/>
  <c r="AX160" i="10"/>
  <c r="AY160" i="10"/>
  <c r="AZ160" i="10"/>
  <c r="BA160" i="10"/>
  <c r="BB160" i="10"/>
  <c r="BC160" i="10"/>
  <c r="BD160" i="10"/>
  <c r="BE160" i="10"/>
  <c r="AH161" i="10"/>
  <c r="AI161" i="10"/>
  <c r="AJ161" i="10"/>
  <c r="AK161" i="10"/>
  <c r="AL161" i="10"/>
  <c r="AM161" i="10"/>
  <c r="AN161" i="10"/>
  <c r="AO161" i="10"/>
  <c r="AP161" i="10"/>
  <c r="AQ161" i="10"/>
  <c r="AR161" i="10"/>
  <c r="AS161" i="10"/>
  <c r="AT161" i="10"/>
  <c r="AU161" i="10"/>
  <c r="AV161" i="10"/>
  <c r="AW161" i="10"/>
  <c r="AX161" i="10"/>
  <c r="AY161" i="10"/>
  <c r="AZ161" i="10"/>
  <c r="BA161" i="10"/>
  <c r="BB161" i="10"/>
  <c r="BC161" i="10"/>
  <c r="BD161" i="10"/>
  <c r="BE161" i="10"/>
  <c r="AH162" i="10"/>
  <c r="AI162" i="10"/>
  <c r="AJ162" i="10"/>
  <c r="AK162" i="10"/>
  <c r="AL162" i="10"/>
  <c r="AM162" i="10"/>
  <c r="AN162" i="10"/>
  <c r="AO162" i="10"/>
  <c r="AP162" i="10"/>
  <c r="AQ162" i="10"/>
  <c r="AR162" i="10"/>
  <c r="AS162" i="10"/>
  <c r="AT162" i="10"/>
  <c r="AU162" i="10"/>
  <c r="AV162" i="10"/>
  <c r="AW162" i="10"/>
  <c r="AX162" i="10"/>
  <c r="AY162" i="10"/>
  <c r="AZ162" i="10"/>
  <c r="BA162" i="10"/>
  <c r="BB162" i="10"/>
  <c r="BC162" i="10"/>
  <c r="BD162" i="10"/>
  <c r="BE162" i="10"/>
  <c r="AH163" i="10"/>
  <c r="AI163" i="10"/>
  <c r="AJ163" i="10"/>
  <c r="AK163" i="10"/>
  <c r="AL163" i="10"/>
  <c r="AM163" i="10"/>
  <c r="AN163" i="10"/>
  <c r="AO163" i="10"/>
  <c r="AP163" i="10"/>
  <c r="AQ163" i="10"/>
  <c r="AR163" i="10"/>
  <c r="AS163" i="10"/>
  <c r="AT163" i="10"/>
  <c r="AU163" i="10"/>
  <c r="AV163" i="10"/>
  <c r="AW163" i="10"/>
  <c r="AX163" i="10"/>
  <c r="AY163" i="10"/>
  <c r="AZ163" i="10"/>
  <c r="BA163" i="10"/>
  <c r="BB163" i="10"/>
  <c r="BC163" i="10"/>
  <c r="BD163" i="10"/>
  <c r="BE163" i="10"/>
  <c r="AH164" i="10"/>
  <c r="AI164" i="10"/>
  <c r="AJ164" i="10"/>
  <c r="AK164" i="10"/>
  <c r="AL164" i="10"/>
  <c r="AM164" i="10"/>
  <c r="AN164" i="10"/>
  <c r="AO164" i="10"/>
  <c r="AP164" i="10"/>
  <c r="AQ164" i="10"/>
  <c r="AR164" i="10"/>
  <c r="AS164" i="10"/>
  <c r="AT164" i="10"/>
  <c r="AU164" i="10"/>
  <c r="AV164" i="10"/>
  <c r="AW164" i="10"/>
  <c r="AX164" i="10"/>
  <c r="AY164" i="10"/>
  <c r="AZ164" i="10"/>
  <c r="BA164" i="10"/>
  <c r="BB164" i="10"/>
  <c r="BC164" i="10"/>
  <c r="BD164" i="10"/>
  <c r="BE164" i="10"/>
  <c r="AH165" i="10"/>
  <c r="AI165" i="10"/>
  <c r="AJ165" i="10"/>
  <c r="AK165" i="10"/>
  <c r="AL165" i="10"/>
  <c r="AM165" i="10"/>
  <c r="AN165" i="10"/>
  <c r="AO165" i="10"/>
  <c r="AP165" i="10"/>
  <c r="AQ165" i="10"/>
  <c r="AR165" i="10"/>
  <c r="AS165" i="10"/>
  <c r="AT165" i="10"/>
  <c r="AU165" i="10"/>
  <c r="AV165" i="10"/>
  <c r="AW165" i="10"/>
  <c r="AX165" i="10"/>
  <c r="AY165" i="10"/>
  <c r="AZ165" i="10"/>
  <c r="BA165" i="10"/>
  <c r="BB165" i="10"/>
  <c r="BC165" i="10"/>
  <c r="BD165" i="10"/>
  <c r="BE165" i="10"/>
  <c r="AH166" i="10"/>
  <c r="AI166" i="10"/>
  <c r="AJ166" i="10"/>
  <c r="AK166" i="10"/>
  <c r="AL166" i="10"/>
  <c r="AM166" i="10"/>
  <c r="AN166" i="10"/>
  <c r="AO166" i="10"/>
  <c r="AP166" i="10"/>
  <c r="AQ166" i="10"/>
  <c r="AR166" i="10"/>
  <c r="AS166" i="10"/>
  <c r="AT166" i="10"/>
  <c r="AU166" i="10"/>
  <c r="AV166" i="10"/>
  <c r="AW166" i="10"/>
  <c r="AX166" i="10"/>
  <c r="AY166" i="10"/>
  <c r="AZ166" i="10"/>
  <c r="BA166" i="10"/>
  <c r="BB166" i="10"/>
  <c r="BC166" i="10"/>
  <c r="BD166" i="10"/>
  <c r="BE166" i="10"/>
  <c r="AH167" i="10"/>
  <c r="AI167" i="10"/>
  <c r="AJ167" i="10"/>
  <c r="AK167" i="10"/>
  <c r="AL167" i="10"/>
  <c r="AM167" i="10"/>
  <c r="AN167" i="10"/>
  <c r="AO167" i="10"/>
  <c r="AP167" i="10"/>
  <c r="AQ167" i="10"/>
  <c r="AR167" i="10"/>
  <c r="AS167" i="10"/>
  <c r="AT167" i="10"/>
  <c r="AU167" i="10"/>
  <c r="AV167" i="10"/>
  <c r="AW167" i="10"/>
  <c r="AX167" i="10"/>
  <c r="AY167" i="10"/>
  <c r="AZ167" i="10"/>
  <c r="BA167" i="10"/>
  <c r="BB167" i="10"/>
  <c r="BC167" i="10"/>
  <c r="BD167" i="10"/>
  <c r="BE167" i="10"/>
  <c r="AH168" i="10"/>
  <c r="AI168" i="10"/>
  <c r="AJ168" i="10"/>
  <c r="AK168" i="10"/>
  <c r="AL168" i="10"/>
  <c r="AM168" i="10"/>
  <c r="AN168" i="10"/>
  <c r="AO168" i="10"/>
  <c r="AP168" i="10"/>
  <c r="AQ168" i="10"/>
  <c r="AR168" i="10"/>
  <c r="AS168" i="10"/>
  <c r="AT168" i="10"/>
  <c r="AU168" i="10"/>
  <c r="AV168" i="10"/>
  <c r="AW168" i="10"/>
  <c r="AX168" i="10"/>
  <c r="AY168" i="10"/>
  <c r="AZ168" i="10"/>
  <c r="BA168" i="10"/>
  <c r="BB168" i="10"/>
  <c r="BC168" i="10"/>
  <c r="BD168" i="10"/>
  <c r="BE168" i="10"/>
  <c r="AH169" i="10"/>
  <c r="AI169" i="10"/>
  <c r="AJ169" i="10"/>
  <c r="AK169" i="10"/>
  <c r="AL169" i="10"/>
  <c r="AM169" i="10"/>
  <c r="AN169" i="10"/>
  <c r="AO169" i="10"/>
  <c r="AP169" i="10"/>
  <c r="AQ169" i="10"/>
  <c r="AR169" i="10"/>
  <c r="AS169" i="10"/>
  <c r="AT169" i="10"/>
  <c r="AU169" i="10"/>
  <c r="AV169" i="10"/>
  <c r="AW169" i="10"/>
  <c r="AX169" i="10"/>
  <c r="AY169" i="10"/>
  <c r="AZ169" i="10"/>
  <c r="BA169" i="10"/>
  <c r="BB169" i="10"/>
  <c r="BC169" i="10"/>
  <c r="BD169" i="10"/>
  <c r="BE169" i="10"/>
  <c r="AH170" i="10"/>
  <c r="AI170" i="10"/>
  <c r="AJ170" i="10"/>
  <c r="AK170" i="10"/>
  <c r="AL170" i="10"/>
  <c r="AM170" i="10"/>
  <c r="AN170" i="10"/>
  <c r="AO170" i="10"/>
  <c r="AP170" i="10"/>
  <c r="AQ170" i="10"/>
  <c r="AR170" i="10"/>
  <c r="AS170" i="10"/>
  <c r="AT170" i="10"/>
  <c r="AU170" i="10"/>
  <c r="AV170" i="10"/>
  <c r="AW170" i="10"/>
  <c r="AX170" i="10"/>
  <c r="AY170" i="10"/>
  <c r="AZ170" i="10"/>
  <c r="BA170" i="10"/>
  <c r="BB170" i="10"/>
  <c r="BC170" i="10"/>
  <c r="BD170" i="10"/>
  <c r="BE170" i="10"/>
  <c r="AH181" i="10"/>
  <c r="AI181" i="10"/>
  <c r="AJ181" i="10"/>
  <c r="AK181" i="10"/>
  <c r="AL181" i="10"/>
  <c r="AM181" i="10"/>
  <c r="AN181" i="10"/>
  <c r="AO181" i="10"/>
  <c r="AP181" i="10"/>
  <c r="AQ181" i="10"/>
  <c r="AR181" i="10"/>
  <c r="AS181" i="10"/>
  <c r="AT181" i="10"/>
  <c r="AU181" i="10"/>
  <c r="AV181" i="10"/>
  <c r="AW181" i="10"/>
  <c r="AX181" i="10"/>
  <c r="AY181" i="10"/>
  <c r="AZ181" i="10"/>
  <c r="BA181" i="10"/>
  <c r="BB181" i="10"/>
  <c r="BC181" i="10"/>
  <c r="BD181" i="10"/>
  <c r="BE181" i="10"/>
  <c r="AH182" i="10"/>
  <c r="AI182" i="10"/>
  <c r="AJ182" i="10"/>
  <c r="AK182" i="10"/>
  <c r="AL182" i="10"/>
  <c r="AM182" i="10"/>
  <c r="AN182" i="10"/>
  <c r="AO182" i="10"/>
  <c r="AP182" i="10"/>
  <c r="AQ182" i="10"/>
  <c r="AR182" i="10"/>
  <c r="AS182" i="10"/>
  <c r="AT182" i="10"/>
  <c r="AU182" i="10"/>
  <c r="AV182" i="10"/>
  <c r="AW182" i="10"/>
  <c r="AX182" i="10"/>
  <c r="AY182" i="10"/>
  <c r="AZ182" i="10"/>
  <c r="BA182" i="10"/>
  <c r="BB182" i="10"/>
  <c r="BC182" i="10"/>
  <c r="BD182" i="10"/>
  <c r="BE182" i="10"/>
  <c r="AH183" i="10"/>
  <c r="AI183" i="10"/>
  <c r="AJ183" i="10"/>
  <c r="AK183" i="10"/>
  <c r="AL183" i="10"/>
  <c r="AM183" i="10"/>
  <c r="AN183" i="10"/>
  <c r="AO183" i="10"/>
  <c r="AP183" i="10"/>
  <c r="AQ183" i="10"/>
  <c r="AR183" i="10"/>
  <c r="AS183" i="10"/>
  <c r="AT183" i="10"/>
  <c r="AU183" i="10"/>
  <c r="AV183" i="10"/>
  <c r="AW183" i="10"/>
  <c r="AX183" i="10"/>
  <c r="AY183" i="10"/>
  <c r="AZ183" i="10"/>
  <c r="BA183" i="10"/>
  <c r="BB183" i="10"/>
  <c r="BC183" i="10"/>
  <c r="BD183" i="10"/>
  <c r="BE183" i="10"/>
  <c r="AH184" i="10"/>
  <c r="AI184" i="10"/>
  <c r="AJ184" i="10"/>
  <c r="AK184" i="10"/>
  <c r="AL184" i="10"/>
  <c r="AM184" i="10"/>
  <c r="AN184" i="10"/>
  <c r="AO184" i="10"/>
  <c r="AP184" i="10"/>
  <c r="AQ184" i="10"/>
  <c r="AR184" i="10"/>
  <c r="AS184" i="10"/>
  <c r="AT184" i="10"/>
  <c r="AU184" i="10"/>
  <c r="AV184" i="10"/>
  <c r="AW184" i="10"/>
  <c r="AX184" i="10"/>
  <c r="AY184" i="10"/>
  <c r="AZ184" i="10"/>
  <c r="BA184" i="10"/>
  <c r="BB184" i="10"/>
  <c r="BC184" i="10"/>
  <c r="BD184" i="10"/>
  <c r="BE184" i="10"/>
  <c r="AH189" i="10"/>
  <c r="AI189" i="10"/>
  <c r="AJ189" i="10"/>
  <c r="AK189" i="10"/>
  <c r="AL189" i="10"/>
  <c r="AM189" i="10"/>
  <c r="AN189" i="10"/>
  <c r="AO189" i="10"/>
  <c r="AP189" i="10"/>
  <c r="AQ189" i="10"/>
  <c r="AR189" i="10"/>
  <c r="AS189" i="10"/>
  <c r="AT189" i="10"/>
  <c r="AU189" i="10"/>
  <c r="AV189" i="10"/>
  <c r="AW189" i="10"/>
  <c r="AX189" i="10"/>
  <c r="AY189" i="10"/>
  <c r="AZ189" i="10"/>
  <c r="BA189" i="10"/>
  <c r="BB189" i="10"/>
  <c r="BC189" i="10"/>
  <c r="BD189" i="10"/>
  <c r="BE189" i="10"/>
  <c r="AH190" i="10"/>
  <c r="AI190" i="10"/>
  <c r="AJ190" i="10"/>
  <c r="AK190" i="10"/>
  <c r="AL190" i="10"/>
  <c r="AM190" i="10"/>
  <c r="AN190" i="10"/>
  <c r="AO190" i="10"/>
  <c r="AP190" i="10"/>
  <c r="AQ190" i="10"/>
  <c r="AR190" i="10"/>
  <c r="AS190" i="10"/>
  <c r="AT190" i="10"/>
  <c r="AU190" i="10"/>
  <c r="AV190" i="10"/>
  <c r="AW190" i="10"/>
  <c r="AX190" i="10"/>
  <c r="AY190" i="10"/>
  <c r="AZ190" i="10"/>
  <c r="BA190" i="10"/>
  <c r="BB190" i="10"/>
  <c r="BC190" i="10"/>
  <c r="BD190" i="10"/>
  <c r="BE190" i="10"/>
  <c r="AH191" i="10"/>
  <c r="AI191" i="10"/>
  <c r="AJ191" i="10"/>
  <c r="AK191" i="10"/>
  <c r="AL191" i="10"/>
  <c r="AM191" i="10"/>
  <c r="AN191" i="10"/>
  <c r="AO191" i="10"/>
  <c r="AP191" i="10"/>
  <c r="AQ191" i="10"/>
  <c r="AR191" i="10"/>
  <c r="AS191" i="10"/>
  <c r="AT191" i="10"/>
  <c r="AU191" i="10"/>
  <c r="AV191" i="10"/>
  <c r="AW191" i="10"/>
  <c r="AX191" i="10"/>
  <c r="AY191" i="10"/>
  <c r="AZ191" i="10"/>
  <c r="BA191" i="10"/>
  <c r="BB191" i="10"/>
  <c r="BC191" i="10"/>
  <c r="BD191" i="10"/>
  <c r="BE191" i="10"/>
  <c r="AH192" i="10"/>
  <c r="AI192" i="10"/>
  <c r="AJ192" i="10"/>
  <c r="AK192" i="10"/>
  <c r="AL192" i="10"/>
  <c r="AM192" i="10"/>
  <c r="AN192" i="10"/>
  <c r="AO192" i="10"/>
  <c r="AP192" i="10"/>
  <c r="AQ192" i="10"/>
  <c r="AR192" i="10"/>
  <c r="AS192" i="10"/>
  <c r="AT192" i="10"/>
  <c r="AU192" i="10"/>
  <c r="AV192" i="10"/>
  <c r="AW192" i="10"/>
  <c r="AX192" i="10"/>
  <c r="AY192" i="10"/>
  <c r="AZ192" i="10"/>
  <c r="BA192" i="10"/>
  <c r="BB192" i="10"/>
  <c r="BC192" i="10"/>
  <c r="BD192" i="10"/>
  <c r="BE192" i="10"/>
  <c r="AH193" i="10"/>
  <c r="AI193" i="10"/>
  <c r="AJ193" i="10"/>
  <c r="AK193" i="10"/>
  <c r="AL193" i="10"/>
  <c r="AM193" i="10"/>
  <c r="AN193" i="10"/>
  <c r="AO193" i="10"/>
  <c r="AP193" i="10"/>
  <c r="AQ193" i="10"/>
  <c r="AR193" i="10"/>
  <c r="AS193" i="10"/>
  <c r="AT193" i="10"/>
  <c r="AU193" i="10"/>
  <c r="AV193" i="10"/>
  <c r="AW193" i="10"/>
  <c r="AX193" i="10"/>
  <c r="AY193" i="10"/>
  <c r="AZ193" i="10"/>
  <c r="BA193" i="10"/>
  <c r="BB193" i="10"/>
  <c r="BC193" i="10"/>
  <c r="BD193" i="10"/>
  <c r="BE193" i="10"/>
  <c r="AH194" i="10"/>
  <c r="AI194" i="10"/>
  <c r="AJ194" i="10"/>
  <c r="AK194" i="10"/>
  <c r="AL194" i="10"/>
  <c r="AM194" i="10"/>
  <c r="AN194" i="10"/>
  <c r="AO194" i="10"/>
  <c r="AP194" i="10"/>
  <c r="AQ194" i="10"/>
  <c r="AR194" i="10"/>
  <c r="AS194" i="10"/>
  <c r="AT194" i="10"/>
  <c r="AU194" i="10"/>
  <c r="AV194" i="10"/>
  <c r="AW194" i="10"/>
  <c r="AX194" i="10"/>
  <c r="AY194" i="10"/>
  <c r="AZ194" i="10"/>
  <c r="BA194" i="10"/>
  <c r="BB194" i="10"/>
  <c r="BC194" i="10"/>
  <c r="BD194" i="10"/>
  <c r="BE194" i="10"/>
  <c r="AH195" i="10"/>
  <c r="AI195" i="10"/>
  <c r="AJ195" i="10"/>
  <c r="AK195" i="10"/>
  <c r="AL195" i="10"/>
  <c r="AM195" i="10"/>
  <c r="AN195" i="10"/>
  <c r="AO195" i="10"/>
  <c r="AP195" i="10"/>
  <c r="AQ195" i="10"/>
  <c r="AR195" i="10"/>
  <c r="AS195" i="10"/>
  <c r="AT195" i="10"/>
  <c r="AU195" i="10"/>
  <c r="AV195" i="10"/>
  <c r="AW195" i="10"/>
  <c r="AX195" i="10"/>
  <c r="AY195" i="10"/>
  <c r="AZ195" i="10"/>
  <c r="BA195" i="10"/>
  <c r="BB195" i="10"/>
  <c r="BC195" i="10"/>
  <c r="BD195" i="10"/>
  <c r="BE195" i="10"/>
  <c r="AH196" i="10"/>
  <c r="AI196" i="10"/>
  <c r="AJ196" i="10"/>
  <c r="AK196" i="10"/>
  <c r="AL196" i="10"/>
  <c r="AM196" i="10"/>
  <c r="AN196" i="10"/>
  <c r="AO196" i="10"/>
  <c r="AP196" i="10"/>
  <c r="AQ196" i="10"/>
  <c r="AR196" i="10"/>
  <c r="AS196" i="10"/>
  <c r="AT196" i="10"/>
  <c r="AU196" i="10"/>
  <c r="AV196" i="10"/>
  <c r="AW196" i="10"/>
  <c r="AX196" i="10"/>
  <c r="AY196" i="10"/>
  <c r="AZ196" i="10"/>
  <c r="BA196" i="10"/>
  <c r="BB196" i="10"/>
  <c r="BC196" i="10"/>
  <c r="BD196" i="10"/>
  <c r="BE196" i="10"/>
  <c r="D197" i="10"/>
  <c r="B42" i="15" s="1"/>
  <c r="E197" i="10"/>
  <c r="G197" i="10"/>
  <c r="E42" i="15" s="1"/>
  <c r="F197" i="10"/>
  <c r="D42" i="15" s="1"/>
  <c r="H197" i="10"/>
  <c r="F42" i="15" s="1"/>
  <c r="I197" i="10"/>
  <c r="G42" i="15" s="1"/>
  <c r="J197" i="10"/>
  <c r="H42" i="15" s="1"/>
  <c r="L197" i="10"/>
  <c r="J42" i="15" s="1"/>
  <c r="N197" i="10"/>
  <c r="L42" i="15" s="1"/>
  <c r="R197" i="10"/>
  <c r="S197" i="10"/>
  <c r="Q42" i="15" s="1"/>
  <c r="U197" i="10"/>
  <c r="S42" i="15" s="1"/>
  <c r="X197" i="10"/>
  <c r="V42" i="15" s="1"/>
  <c r="Z197" i="10"/>
  <c r="X42" i="15" s="1"/>
  <c r="AH199" i="10"/>
  <c r="AI199" i="10"/>
  <c r="AJ199" i="10"/>
  <c r="AK199" i="10"/>
  <c r="AL199" i="10"/>
  <c r="AM199" i="10"/>
  <c r="AN199" i="10"/>
  <c r="AO199" i="10"/>
  <c r="AP199" i="10"/>
  <c r="AQ199" i="10"/>
  <c r="AR199" i="10"/>
  <c r="AS199" i="10"/>
  <c r="AT199" i="10"/>
  <c r="AU199" i="10"/>
  <c r="AV199" i="10"/>
  <c r="AW199" i="10"/>
  <c r="AX199" i="10"/>
  <c r="AY199" i="10"/>
  <c r="AZ199" i="10"/>
  <c r="BA199" i="10"/>
  <c r="BB199" i="10"/>
  <c r="BC199" i="10"/>
  <c r="BD199" i="10"/>
  <c r="AH200" i="10"/>
  <c r="AI200" i="10"/>
  <c r="AJ200" i="10"/>
  <c r="AK200" i="10"/>
  <c r="AL200" i="10"/>
  <c r="AM200" i="10"/>
  <c r="AN200" i="10"/>
  <c r="AO200" i="10"/>
  <c r="AP200" i="10"/>
  <c r="AQ200" i="10"/>
  <c r="AR200" i="10"/>
  <c r="AS200" i="10"/>
  <c r="AT200" i="10"/>
  <c r="AU200" i="10"/>
  <c r="AV200" i="10"/>
  <c r="AW200" i="10"/>
  <c r="AX200" i="10"/>
  <c r="AY200" i="10"/>
  <c r="AZ200" i="10"/>
  <c r="BA200" i="10"/>
  <c r="BB200" i="10"/>
  <c r="BC200" i="10"/>
  <c r="BD200" i="10"/>
  <c r="AH201" i="10"/>
  <c r="AI201" i="10"/>
  <c r="AJ201" i="10"/>
  <c r="AK201" i="10"/>
  <c r="AL201" i="10"/>
  <c r="AM201" i="10"/>
  <c r="AN201" i="10"/>
  <c r="AO201" i="10"/>
  <c r="AP201" i="10"/>
  <c r="AQ201" i="10"/>
  <c r="AR201" i="10"/>
  <c r="AS201" i="10"/>
  <c r="AT201" i="10"/>
  <c r="AU201" i="10"/>
  <c r="AV201" i="10"/>
  <c r="AW201" i="10"/>
  <c r="AX201" i="10"/>
  <c r="AY201" i="10"/>
  <c r="AZ201" i="10"/>
  <c r="BA201" i="10"/>
  <c r="BB201" i="10"/>
  <c r="BC201" i="10"/>
  <c r="BD201" i="10"/>
  <c r="F53" i="9"/>
  <c r="D18" i="15" s="1"/>
  <c r="L53" i="9"/>
  <c r="G18" i="15" s="1"/>
  <c r="N53" i="9"/>
  <c r="I18" i="15" s="1"/>
  <c r="O53" i="9"/>
  <c r="J18" i="15" s="1"/>
  <c r="P53" i="9"/>
  <c r="K18" i="15" s="1"/>
  <c r="AG79" i="9"/>
  <c r="AD80" i="9"/>
  <c r="AE80" i="9"/>
  <c r="AH80" i="9"/>
  <c r="AI80" i="9"/>
  <c r="AJ80" i="9"/>
  <c r="AK80" i="9"/>
  <c r="AL80" i="9"/>
  <c r="AM80" i="9"/>
  <c r="AN80" i="9"/>
  <c r="AO80" i="9"/>
  <c r="AP80" i="9"/>
  <c r="AQ80" i="9"/>
  <c r="AR80" i="9"/>
  <c r="AS80" i="9"/>
  <c r="AT80" i="9"/>
  <c r="AU80" i="9"/>
  <c r="AV80" i="9"/>
  <c r="AW80" i="9"/>
  <c r="AX80" i="9"/>
  <c r="AY80" i="9"/>
  <c r="AZ80" i="9"/>
  <c r="BA80" i="9"/>
  <c r="BB80" i="9"/>
  <c r="BC80" i="9"/>
  <c r="BD80" i="9"/>
  <c r="AH81" i="9"/>
  <c r="AI81" i="9"/>
  <c r="AJ81" i="9"/>
  <c r="AK81" i="9"/>
  <c r="AL81" i="9"/>
  <c r="AM81" i="9"/>
  <c r="AN81" i="9"/>
  <c r="AO81" i="9"/>
  <c r="AP81" i="9"/>
  <c r="AQ81" i="9"/>
  <c r="AR81" i="9"/>
  <c r="AS81" i="9"/>
  <c r="AT81" i="9"/>
  <c r="AU81" i="9"/>
  <c r="AV81" i="9"/>
  <c r="AW81" i="9"/>
  <c r="AX81" i="9"/>
  <c r="AY81" i="9"/>
  <c r="AZ81" i="9"/>
  <c r="BA81" i="9"/>
  <c r="BB81" i="9"/>
  <c r="BC81" i="9"/>
  <c r="BD81" i="9"/>
  <c r="AH82" i="9"/>
  <c r="AI82" i="9"/>
  <c r="AJ82" i="9"/>
  <c r="AK82" i="9"/>
  <c r="AL82" i="9"/>
  <c r="AM82" i="9"/>
  <c r="AN82" i="9"/>
  <c r="AO82" i="9"/>
  <c r="AP82" i="9"/>
  <c r="AQ82" i="9"/>
  <c r="AR82" i="9"/>
  <c r="AS82" i="9"/>
  <c r="AT82" i="9"/>
  <c r="AU82" i="9"/>
  <c r="AV82" i="9"/>
  <c r="AW82" i="9"/>
  <c r="AX82" i="9"/>
  <c r="AY82" i="9"/>
  <c r="AZ82" i="9"/>
  <c r="BA82" i="9"/>
  <c r="BB82" i="9"/>
  <c r="BC82" i="9"/>
  <c r="BD82" i="9"/>
  <c r="BE82" i="9"/>
  <c r="AH83" i="9"/>
  <c r="AI83" i="9"/>
  <c r="AJ83" i="9"/>
  <c r="AK83" i="9"/>
  <c r="AL83" i="9"/>
  <c r="AM83" i="9"/>
  <c r="AN83" i="9"/>
  <c r="AO83" i="9"/>
  <c r="AP83" i="9"/>
  <c r="AQ83" i="9"/>
  <c r="AR83" i="9"/>
  <c r="AS83" i="9"/>
  <c r="AT83" i="9"/>
  <c r="AU83" i="9"/>
  <c r="AV83" i="9"/>
  <c r="AW83" i="9"/>
  <c r="AX83" i="9"/>
  <c r="AY83" i="9"/>
  <c r="AZ83" i="9"/>
  <c r="BA83" i="9"/>
  <c r="BB83" i="9"/>
  <c r="BC83" i="9"/>
  <c r="BD83" i="9"/>
  <c r="BE83" i="9"/>
  <c r="AH84" i="9"/>
  <c r="AI84" i="9"/>
  <c r="AJ84" i="9"/>
  <c r="AK84" i="9"/>
  <c r="AL84" i="9"/>
  <c r="AM84" i="9"/>
  <c r="AN84" i="9"/>
  <c r="AO84" i="9"/>
  <c r="AP84" i="9"/>
  <c r="AQ84" i="9"/>
  <c r="AR84" i="9"/>
  <c r="AS84" i="9"/>
  <c r="AT84" i="9"/>
  <c r="AU84" i="9"/>
  <c r="AV84" i="9"/>
  <c r="AW84" i="9"/>
  <c r="AX84" i="9"/>
  <c r="AY84" i="9"/>
  <c r="AZ84" i="9"/>
  <c r="BA84" i="9"/>
  <c r="BB84" i="9"/>
  <c r="BC84" i="9"/>
  <c r="BD84" i="9"/>
  <c r="BE84" i="9"/>
  <c r="AH85" i="9"/>
  <c r="AI85" i="9"/>
  <c r="AJ85" i="9"/>
  <c r="AK85" i="9"/>
  <c r="AL85" i="9"/>
  <c r="AM85" i="9"/>
  <c r="AN85" i="9"/>
  <c r="AO85" i="9"/>
  <c r="AP85" i="9"/>
  <c r="AQ85" i="9"/>
  <c r="AR85" i="9"/>
  <c r="AS85" i="9"/>
  <c r="AT85" i="9"/>
  <c r="AU85" i="9"/>
  <c r="AV85" i="9"/>
  <c r="AW85" i="9"/>
  <c r="AX85" i="9"/>
  <c r="AY85" i="9"/>
  <c r="AZ85" i="9"/>
  <c r="BA85" i="9"/>
  <c r="BB85" i="9"/>
  <c r="BC85" i="9"/>
  <c r="BD85" i="9"/>
  <c r="BE85" i="9"/>
  <c r="AH158" i="9"/>
  <c r="AI158" i="9"/>
  <c r="AJ158" i="9"/>
  <c r="AK158" i="9"/>
  <c r="AL158" i="9"/>
  <c r="AM158" i="9"/>
  <c r="AN158" i="9"/>
  <c r="AO158" i="9"/>
  <c r="AP158" i="9"/>
  <c r="AQ158" i="9"/>
  <c r="AR158" i="9"/>
  <c r="AS158" i="9"/>
  <c r="AT158" i="9"/>
  <c r="AU158" i="9"/>
  <c r="AV158" i="9"/>
  <c r="AW158" i="9"/>
  <c r="AX158" i="9"/>
  <c r="AY158" i="9"/>
  <c r="AZ158" i="9"/>
  <c r="BA158" i="9"/>
  <c r="BB158" i="9"/>
  <c r="BC158" i="9"/>
  <c r="BD158" i="9"/>
  <c r="BE158" i="9"/>
  <c r="AH159" i="9"/>
  <c r="AI159" i="9"/>
  <c r="AJ159" i="9"/>
  <c r="AK159" i="9"/>
  <c r="AL159" i="9"/>
  <c r="AM159" i="9"/>
  <c r="AN159" i="9"/>
  <c r="AO159" i="9"/>
  <c r="AP159" i="9"/>
  <c r="AQ159" i="9"/>
  <c r="AR159" i="9"/>
  <c r="AS159" i="9"/>
  <c r="AT159" i="9"/>
  <c r="AU159" i="9"/>
  <c r="AV159" i="9"/>
  <c r="AW159" i="9"/>
  <c r="AX159" i="9"/>
  <c r="AY159" i="9"/>
  <c r="AZ159" i="9"/>
  <c r="BA159" i="9"/>
  <c r="BB159" i="9"/>
  <c r="BC159" i="9"/>
  <c r="BD159" i="9"/>
  <c r="BE159" i="9"/>
  <c r="AH160" i="9"/>
  <c r="AI160" i="9"/>
  <c r="AJ160" i="9"/>
  <c r="AK160" i="9"/>
  <c r="AL160" i="9"/>
  <c r="AM160" i="9"/>
  <c r="AN160" i="9"/>
  <c r="AO160" i="9"/>
  <c r="AP160" i="9"/>
  <c r="AQ160" i="9"/>
  <c r="AR160" i="9"/>
  <c r="AS160" i="9"/>
  <c r="AT160" i="9"/>
  <c r="AU160" i="9"/>
  <c r="AV160" i="9"/>
  <c r="AW160" i="9"/>
  <c r="AX160" i="9"/>
  <c r="AY160" i="9"/>
  <c r="AZ160" i="9"/>
  <c r="BA160" i="9"/>
  <c r="BB160" i="9"/>
  <c r="BC160" i="9"/>
  <c r="BD160" i="9"/>
  <c r="BE160" i="9"/>
  <c r="AH161" i="9"/>
  <c r="AI161" i="9"/>
  <c r="AJ161" i="9"/>
  <c r="AK161" i="9"/>
  <c r="AL161" i="9"/>
  <c r="AM161" i="9"/>
  <c r="AN161" i="9"/>
  <c r="AO161" i="9"/>
  <c r="AP161" i="9"/>
  <c r="AQ161" i="9"/>
  <c r="AR161" i="9"/>
  <c r="AS161" i="9"/>
  <c r="AT161" i="9"/>
  <c r="AU161" i="9"/>
  <c r="AV161" i="9"/>
  <c r="AW161" i="9"/>
  <c r="AX161" i="9"/>
  <c r="AY161" i="9"/>
  <c r="AZ161" i="9"/>
  <c r="BA161" i="9"/>
  <c r="BB161" i="9"/>
  <c r="BC161" i="9"/>
  <c r="BD161" i="9"/>
  <c r="BE161" i="9"/>
  <c r="AH162" i="9"/>
  <c r="AI162" i="9"/>
  <c r="AJ162" i="9"/>
  <c r="AK162" i="9"/>
  <c r="AL162" i="9"/>
  <c r="AM162" i="9"/>
  <c r="AN162" i="9"/>
  <c r="AO162" i="9"/>
  <c r="AP162" i="9"/>
  <c r="AQ162" i="9"/>
  <c r="AR162" i="9"/>
  <c r="AS162" i="9"/>
  <c r="AT162" i="9"/>
  <c r="AU162" i="9"/>
  <c r="AV162" i="9"/>
  <c r="AW162" i="9"/>
  <c r="AX162" i="9"/>
  <c r="AY162" i="9"/>
  <c r="AZ162" i="9"/>
  <c r="BA162" i="9"/>
  <c r="BB162" i="9"/>
  <c r="BC162" i="9"/>
  <c r="BD162" i="9"/>
  <c r="BE162" i="9"/>
  <c r="AH163" i="9"/>
  <c r="AI163" i="9"/>
  <c r="AJ163" i="9"/>
  <c r="AK163" i="9"/>
  <c r="AL163" i="9"/>
  <c r="AM163" i="9"/>
  <c r="AN163" i="9"/>
  <c r="AO163" i="9"/>
  <c r="AP163" i="9"/>
  <c r="AQ163" i="9"/>
  <c r="AR163" i="9"/>
  <c r="AS163" i="9"/>
  <c r="AT163" i="9"/>
  <c r="AU163" i="9"/>
  <c r="AV163" i="9"/>
  <c r="AW163" i="9"/>
  <c r="AX163" i="9"/>
  <c r="AY163" i="9"/>
  <c r="AZ163" i="9"/>
  <c r="BA163" i="9"/>
  <c r="BB163" i="9"/>
  <c r="BC163" i="9"/>
  <c r="BD163" i="9"/>
  <c r="BE163" i="9"/>
  <c r="AH164" i="9"/>
  <c r="AI164" i="9"/>
  <c r="AJ164" i="9"/>
  <c r="AK164" i="9"/>
  <c r="AL164" i="9"/>
  <c r="AM164" i="9"/>
  <c r="AN164" i="9"/>
  <c r="AO164" i="9"/>
  <c r="AP164" i="9"/>
  <c r="AQ164" i="9"/>
  <c r="AR164" i="9"/>
  <c r="AS164" i="9"/>
  <c r="AT164" i="9"/>
  <c r="AU164" i="9"/>
  <c r="AV164" i="9"/>
  <c r="AW164" i="9"/>
  <c r="AX164" i="9"/>
  <c r="AY164" i="9"/>
  <c r="AZ164" i="9"/>
  <c r="BA164" i="9"/>
  <c r="BB164" i="9"/>
  <c r="BC164" i="9"/>
  <c r="BD164" i="9"/>
  <c r="BE164" i="9"/>
  <c r="AH165" i="9"/>
  <c r="AI165" i="9"/>
  <c r="AJ165" i="9"/>
  <c r="AK165" i="9"/>
  <c r="AL165" i="9"/>
  <c r="AM165" i="9"/>
  <c r="AN165" i="9"/>
  <c r="AO165" i="9"/>
  <c r="AP165" i="9"/>
  <c r="AQ165" i="9"/>
  <c r="AR165" i="9"/>
  <c r="AS165" i="9"/>
  <c r="AT165" i="9"/>
  <c r="AU165" i="9"/>
  <c r="AV165" i="9"/>
  <c r="AW165" i="9"/>
  <c r="AX165" i="9"/>
  <c r="AY165" i="9"/>
  <c r="AZ165" i="9"/>
  <c r="BA165" i="9"/>
  <c r="BB165" i="9"/>
  <c r="BC165" i="9"/>
  <c r="BD165" i="9"/>
  <c r="BE165" i="9"/>
  <c r="AH166" i="9"/>
  <c r="AI166" i="9"/>
  <c r="AJ166" i="9"/>
  <c r="AK166" i="9"/>
  <c r="AL166" i="9"/>
  <c r="AM166" i="9"/>
  <c r="AN166" i="9"/>
  <c r="AO166" i="9"/>
  <c r="AP166" i="9"/>
  <c r="AQ166" i="9"/>
  <c r="AR166" i="9"/>
  <c r="AS166" i="9"/>
  <c r="AT166" i="9"/>
  <c r="AU166" i="9"/>
  <c r="AV166" i="9"/>
  <c r="AW166" i="9"/>
  <c r="AX166" i="9"/>
  <c r="AY166" i="9"/>
  <c r="AZ166" i="9"/>
  <c r="BA166" i="9"/>
  <c r="BB166" i="9"/>
  <c r="BC166" i="9"/>
  <c r="BD166" i="9"/>
  <c r="BE166" i="9"/>
  <c r="AH167" i="9"/>
  <c r="AI167" i="9"/>
  <c r="AJ167" i="9"/>
  <c r="AK167" i="9"/>
  <c r="AL167" i="9"/>
  <c r="AM167" i="9"/>
  <c r="AN167" i="9"/>
  <c r="AO167" i="9"/>
  <c r="AP167" i="9"/>
  <c r="AQ167" i="9"/>
  <c r="AR167" i="9"/>
  <c r="AS167" i="9"/>
  <c r="AT167" i="9"/>
  <c r="AU167" i="9"/>
  <c r="AV167" i="9"/>
  <c r="AW167" i="9"/>
  <c r="AX167" i="9"/>
  <c r="AY167" i="9"/>
  <c r="AZ167" i="9"/>
  <c r="BA167" i="9"/>
  <c r="BB167" i="9"/>
  <c r="BC167" i="9"/>
  <c r="BD167" i="9"/>
  <c r="BE167" i="9"/>
  <c r="AH168" i="9"/>
  <c r="AI168" i="9"/>
  <c r="AJ168" i="9"/>
  <c r="AK168" i="9"/>
  <c r="AL168" i="9"/>
  <c r="AM168" i="9"/>
  <c r="AN168" i="9"/>
  <c r="AO168" i="9"/>
  <c r="AP168" i="9"/>
  <c r="AQ168" i="9"/>
  <c r="AR168" i="9"/>
  <c r="AS168" i="9"/>
  <c r="AT168" i="9"/>
  <c r="AU168" i="9"/>
  <c r="AV168" i="9"/>
  <c r="AW168" i="9"/>
  <c r="AX168" i="9"/>
  <c r="AY168" i="9"/>
  <c r="AZ168" i="9"/>
  <c r="BA168" i="9"/>
  <c r="BB168" i="9"/>
  <c r="BC168" i="9"/>
  <c r="BD168" i="9"/>
  <c r="BE168" i="9"/>
  <c r="AH169" i="9"/>
  <c r="AI169" i="9"/>
  <c r="AJ169" i="9"/>
  <c r="AK169" i="9"/>
  <c r="AL169" i="9"/>
  <c r="AM169" i="9"/>
  <c r="AN169" i="9"/>
  <c r="AO169" i="9"/>
  <c r="AP169" i="9"/>
  <c r="AQ169" i="9"/>
  <c r="AR169" i="9"/>
  <c r="AS169" i="9"/>
  <c r="AT169" i="9"/>
  <c r="AU169" i="9"/>
  <c r="AV169" i="9"/>
  <c r="AW169" i="9"/>
  <c r="AX169" i="9"/>
  <c r="AY169" i="9"/>
  <c r="AZ169" i="9"/>
  <c r="BA169" i="9"/>
  <c r="BB169" i="9"/>
  <c r="BC169" i="9"/>
  <c r="BD169" i="9"/>
  <c r="BE169" i="9"/>
  <c r="AH180" i="9"/>
  <c r="AI180" i="9"/>
  <c r="AJ180" i="9"/>
  <c r="AK180" i="9"/>
  <c r="AL180" i="9"/>
  <c r="AM180" i="9"/>
  <c r="AN180" i="9"/>
  <c r="AO180" i="9"/>
  <c r="AP180" i="9"/>
  <c r="AQ180" i="9"/>
  <c r="AR180" i="9"/>
  <c r="AS180" i="9"/>
  <c r="AT180" i="9"/>
  <c r="AU180" i="9"/>
  <c r="AV180" i="9"/>
  <c r="AW180" i="9"/>
  <c r="AX180" i="9"/>
  <c r="AY180" i="9"/>
  <c r="AZ180" i="9"/>
  <c r="BA180" i="9"/>
  <c r="BB180" i="9"/>
  <c r="BC180" i="9"/>
  <c r="BD180" i="9"/>
  <c r="BE180" i="9"/>
  <c r="AH181" i="9"/>
  <c r="AI181" i="9"/>
  <c r="AJ181" i="9"/>
  <c r="AK181" i="9"/>
  <c r="AL181" i="9"/>
  <c r="AM181" i="9"/>
  <c r="AN181" i="9"/>
  <c r="AO181" i="9"/>
  <c r="AP181" i="9"/>
  <c r="AQ181" i="9"/>
  <c r="AR181" i="9"/>
  <c r="AS181" i="9"/>
  <c r="AT181" i="9"/>
  <c r="AU181" i="9"/>
  <c r="AV181" i="9"/>
  <c r="AW181" i="9"/>
  <c r="AX181" i="9"/>
  <c r="AY181" i="9"/>
  <c r="AZ181" i="9"/>
  <c r="BA181" i="9"/>
  <c r="BB181" i="9"/>
  <c r="BC181" i="9"/>
  <c r="BD181" i="9"/>
  <c r="BE181" i="9"/>
  <c r="AH186" i="9"/>
  <c r="AI186" i="9"/>
  <c r="AJ186" i="9"/>
  <c r="AK186" i="9"/>
  <c r="AL186" i="9"/>
  <c r="AM186" i="9"/>
  <c r="AN186" i="9"/>
  <c r="AO186" i="9"/>
  <c r="AP186" i="9"/>
  <c r="AQ186" i="9"/>
  <c r="AR186" i="9"/>
  <c r="AS186" i="9"/>
  <c r="AT186" i="9"/>
  <c r="AU186" i="9"/>
  <c r="AV186" i="9"/>
  <c r="AW186" i="9"/>
  <c r="AX186" i="9"/>
  <c r="AY186" i="9"/>
  <c r="AZ186" i="9"/>
  <c r="BA186" i="9"/>
  <c r="BB186" i="9"/>
  <c r="BC186" i="9"/>
  <c r="BD186" i="9"/>
  <c r="BE186" i="9"/>
  <c r="AH187" i="9"/>
  <c r="AI187" i="9"/>
  <c r="AJ187" i="9"/>
  <c r="AK187" i="9"/>
  <c r="AL187" i="9"/>
  <c r="AM187" i="9"/>
  <c r="AN187" i="9"/>
  <c r="AO187" i="9"/>
  <c r="AP187" i="9"/>
  <c r="AQ187" i="9"/>
  <c r="AR187" i="9"/>
  <c r="AS187" i="9"/>
  <c r="AT187" i="9"/>
  <c r="AU187" i="9"/>
  <c r="AV187" i="9"/>
  <c r="AW187" i="9"/>
  <c r="AX187" i="9"/>
  <c r="AY187" i="9"/>
  <c r="AZ187" i="9"/>
  <c r="BA187" i="9"/>
  <c r="BB187" i="9"/>
  <c r="BC187" i="9"/>
  <c r="BD187" i="9"/>
  <c r="BE187" i="9"/>
  <c r="AH188" i="9"/>
  <c r="AI188" i="9"/>
  <c r="AJ188" i="9"/>
  <c r="AK188" i="9"/>
  <c r="AL188" i="9"/>
  <c r="AM188" i="9"/>
  <c r="AN188" i="9"/>
  <c r="AO188" i="9"/>
  <c r="AP188" i="9"/>
  <c r="AQ188" i="9"/>
  <c r="AR188" i="9"/>
  <c r="AS188" i="9"/>
  <c r="AT188" i="9"/>
  <c r="AU188" i="9"/>
  <c r="AV188" i="9"/>
  <c r="AW188" i="9"/>
  <c r="AX188" i="9"/>
  <c r="AY188" i="9"/>
  <c r="AZ188" i="9"/>
  <c r="BA188" i="9"/>
  <c r="BB188" i="9"/>
  <c r="BC188" i="9"/>
  <c r="BD188" i="9"/>
  <c r="BE188" i="9"/>
  <c r="AH189" i="9"/>
  <c r="AI189" i="9"/>
  <c r="AJ189" i="9"/>
  <c r="AK189" i="9"/>
  <c r="AL189" i="9"/>
  <c r="AM189" i="9"/>
  <c r="AN189" i="9"/>
  <c r="AO189" i="9"/>
  <c r="AP189" i="9"/>
  <c r="AQ189" i="9"/>
  <c r="AR189" i="9"/>
  <c r="AS189" i="9"/>
  <c r="AT189" i="9"/>
  <c r="AU189" i="9"/>
  <c r="AV189" i="9"/>
  <c r="AW189" i="9"/>
  <c r="AX189" i="9"/>
  <c r="AY189" i="9"/>
  <c r="AZ189" i="9"/>
  <c r="BA189" i="9"/>
  <c r="BB189" i="9"/>
  <c r="BC189" i="9"/>
  <c r="BD189" i="9"/>
  <c r="BE189" i="9"/>
  <c r="AH190" i="9"/>
  <c r="AI190" i="9"/>
  <c r="AJ190" i="9"/>
  <c r="AK190" i="9"/>
  <c r="AL190" i="9"/>
  <c r="AM190" i="9"/>
  <c r="AN190" i="9"/>
  <c r="AO190" i="9"/>
  <c r="AP190" i="9"/>
  <c r="AQ190" i="9"/>
  <c r="AR190" i="9"/>
  <c r="AS190" i="9"/>
  <c r="AT190" i="9"/>
  <c r="AU190" i="9"/>
  <c r="AV190" i="9"/>
  <c r="AW190" i="9"/>
  <c r="AX190" i="9"/>
  <c r="AY190" i="9"/>
  <c r="AZ190" i="9"/>
  <c r="BA190" i="9"/>
  <c r="BB190" i="9"/>
  <c r="BC190" i="9"/>
  <c r="BD190" i="9"/>
  <c r="BE190" i="9"/>
  <c r="AH191" i="9"/>
  <c r="AI191" i="9"/>
  <c r="AJ191" i="9"/>
  <c r="AK191" i="9"/>
  <c r="AL191" i="9"/>
  <c r="AM191" i="9"/>
  <c r="AN191" i="9"/>
  <c r="AO191" i="9"/>
  <c r="AP191" i="9"/>
  <c r="AQ191" i="9"/>
  <c r="AR191" i="9"/>
  <c r="AS191" i="9"/>
  <c r="AT191" i="9"/>
  <c r="AU191" i="9"/>
  <c r="AV191" i="9"/>
  <c r="AW191" i="9"/>
  <c r="AX191" i="9"/>
  <c r="AY191" i="9"/>
  <c r="AZ191" i="9"/>
  <c r="BA191" i="9"/>
  <c r="BB191" i="9"/>
  <c r="BC191" i="9"/>
  <c r="BD191" i="9"/>
  <c r="BE191" i="9"/>
  <c r="AH192" i="9"/>
  <c r="AI192" i="9"/>
  <c r="AJ192" i="9"/>
  <c r="AK192" i="9"/>
  <c r="AL192" i="9"/>
  <c r="AM192" i="9"/>
  <c r="AN192" i="9"/>
  <c r="AO192" i="9"/>
  <c r="AP192" i="9"/>
  <c r="AQ192" i="9"/>
  <c r="AR192" i="9"/>
  <c r="AS192" i="9"/>
  <c r="AT192" i="9"/>
  <c r="AU192" i="9"/>
  <c r="AV192" i="9"/>
  <c r="AW192" i="9"/>
  <c r="AX192" i="9"/>
  <c r="AY192" i="9"/>
  <c r="AZ192" i="9"/>
  <c r="BA192" i="9"/>
  <c r="BB192" i="9"/>
  <c r="BC192" i="9"/>
  <c r="BD192" i="9"/>
  <c r="BE192" i="9"/>
  <c r="AH193" i="9"/>
  <c r="AI193" i="9"/>
  <c r="AJ193" i="9"/>
  <c r="AK193" i="9"/>
  <c r="AL193" i="9"/>
  <c r="AM193" i="9"/>
  <c r="AN193" i="9"/>
  <c r="AO193" i="9"/>
  <c r="AP193" i="9"/>
  <c r="AQ193" i="9"/>
  <c r="AR193" i="9"/>
  <c r="AS193" i="9"/>
  <c r="AT193" i="9"/>
  <c r="AU193" i="9"/>
  <c r="AV193" i="9"/>
  <c r="AW193" i="9"/>
  <c r="AX193" i="9"/>
  <c r="AY193" i="9"/>
  <c r="AZ193" i="9"/>
  <c r="BA193" i="9"/>
  <c r="BB193" i="9"/>
  <c r="BC193" i="9"/>
  <c r="BD193" i="9"/>
  <c r="BE193" i="9"/>
  <c r="AH194" i="9"/>
  <c r="AI194" i="9"/>
  <c r="AJ194" i="9"/>
  <c r="AK194" i="9"/>
  <c r="AL194" i="9"/>
  <c r="AM194" i="9"/>
  <c r="AN194" i="9"/>
  <c r="AO194" i="9"/>
  <c r="AP194" i="9"/>
  <c r="AQ194" i="9"/>
  <c r="AR194" i="9"/>
  <c r="AS194" i="9"/>
  <c r="AT194" i="9"/>
  <c r="AU194" i="9"/>
  <c r="AV194" i="9"/>
  <c r="AW194" i="9"/>
  <c r="AX194" i="9"/>
  <c r="AY194" i="9"/>
  <c r="AZ194" i="9"/>
  <c r="BA194" i="9"/>
  <c r="BB194" i="9"/>
  <c r="BC194" i="9"/>
  <c r="BD194" i="9"/>
  <c r="BE194" i="9"/>
  <c r="AH195" i="9"/>
  <c r="AI195" i="9"/>
  <c r="AJ195" i="9"/>
  <c r="AK195" i="9"/>
  <c r="AL195" i="9"/>
  <c r="AM195" i="9"/>
  <c r="AN195" i="9"/>
  <c r="AO195" i="9"/>
  <c r="AP195" i="9"/>
  <c r="AQ195" i="9"/>
  <c r="AR195" i="9"/>
  <c r="AS195" i="9"/>
  <c r="AT195" i="9"/>
  <c r="AU195" i="9"/>
  <c r="AV195" i="9"/>
  <c r="AW195" i="9"/>
  <c r="AX195" i="9"/>
  <c r="AY195" i="9"/>
  <c r="AZ195" i="9"/>
  <c r="BA195" i="9"/>
  <c r="BB195" i="9"/>
  <c r="BC195" i="9"/>
  <c r="BD195" i="9"/>
  <c r="BE195" i="9"/>
  <c r="AH196" i="9"/>
  <c r="AI196" i="9"/>
  <c r="AJ196" i="9"/>
  <c r="AK196" i="9"/>
  <c r="AL196" i="9"/>
  <c r="AM196" i="9"/>
  <c r="AN196" i="9"/>
  <c r="AO196" i="9"/>
  <c r="AP196" i="9"/>
  <c r="AQ196" i="9"/>
  <c r="AR196" i="9"/>
  <c r="AS196" i="9"/>
  <c r="AT196" i="9"/>
  <c r="AU196" i="9"/>
  <c r="AV196" i="9"/>
  <c r="AW196" i="9"/>
  <c r="AX196" i="9"/>
  <c r="AY196" i="9"/>
  <c r="AZ196" i="9"/>
  <c r="BA196" i="9"/>
  <c r="BB196" i="9"/>
  <c r="BC196" i="9"/>
  <c r="BD196" i="9"/>
  <c r="BE196" i="9"/>
  <c r="D197" i="9"/>
  <c r="E197" i="9"/>
  <c r="C41" i="15" s="1"/>
  <c r="G197" i="9"/>
  <c r="F197" i="9"/>
  <c r="D41" i="15" s="1"/>
  <c r="H197" i="9"/>
  <c r="F41" i="15" s="1"/>
  <c r="I197" i="9"/>
  <c r="G41" i="15" s="1"/>
  <c r="J197" i="9"/>
  <c r="H41" i="15" s="1"/>
  <c r="L197" i="9"/>
  <c r="J41" i="15" s="1"/>
  <c r="N197" i="9"/>
  <c r="L41" i="15" s="1"/>
  <c r="R197" i="9"/>
  <c r="P41" i="15" s="1"/>
  <c r="S197" i="9"/>
  <c r="Q41" i="15" s="1"/>
  <c r="U197" i="9"/>
  <c r="S41" i="15" s="1"/>
  <c r="X197" i="9"/>
  <c r="V41" i="15" s="1"/>
  <c r="Z197" i="9"/>
  <c r="X41" i="15" s="1"/>
  <c r="AH199" i="9"/>
  <c r="AI199" i="9"/>
  <c r="AJ199" i="9"/>
  <c r="AK199" i="9"/>
  <c r="AL199" i="9"/>
  <c r="AM199" i="9"/>
  <c r="AN199" i="9"/>
  <c r="AO199" i="9"/>
  <c r="AP199" i="9"/>
  <c r="AQ199" i="9"/>
  <c r="AR199" i="9"/>
  <c r="AS199" i="9"/>
  <c r="AT199" i="9"/>
  <c r="AU199" i="9"/>
  <c r="AV199" i="9"/>
  <c r="AW199" i="9"/>
  <c r="AX199" i="9"/>
  <c r="AY199" i="9"/>
  <c r="AZ199" i="9"/>
  <c r="BA199" i="9"/>
  <c r="BB199" i="9"/>
  <c r="BC199" i="9"/>
  <c r="BD199" i="9"/>
  <c r="AH200" i="9"/>
  <c r="AI200" i="9"/>
  <c r="AJ200" i="9"/>
  <c r="AK200" i="9"/>
  <c r="AL200" i="9"/>
  <c r="AM200" i="9"/>
  <c r="AN200" i="9"/>
  <c r="AO200" i="9"/>
  <c r="AP200" i="9"/>
  <c r="AQ200" i="9"/>
  <c r="AR200" i="9"/>
  <c r="AS200" i="9"/>
  <c r="AT200" i="9"/>
  <c r="AU200" i="9"/>
  <c r="AV200" i="9"/>
  <c r="AW200" i="9"/>
  <c r="AX200" i="9"/>
  <c r="AY200" i="9"/>
  <c r="AZ200" i="9"/>
  <c r="BA200" i="9"/>
  <c r="BB200" i="9"/>
  <c r="BC200" i="9"/>
  <c r="BD200" i="9"/>
  <c r="AH201" i="9"/>
  <c r="AI201" i="9"/>
  <c r="AJ201" i="9"/>
  <c r="AK201" i="9"/>
  <c r="AL201" i="9"/>
  <c r="AM201" i="9"/>
  <c r="AN201" i="9"/>
  <c r="AO201" i="9"/>
  <c r="AP201" i="9"/>
  <c r="AQ201" i="9"/>
  <c r="AR201" i="9"/>
  <c r="AS201" i="9"/>
  <c r="AT201" i="9"/>
  <c r="AU201" i="9"/>
  <c r="AV201" i="9"/>
  <c r="AW201" i="9"/>
  <c r="AX201" i="9"/>
  <c r="AY201" i="9"/>
  <c r="AZ201" i="9"/>
  <c r="BA201" i="9"/>
  <c r="BB201" i="9"/>
  <c r="BC201" i="9"/>
  <c r="BD201" i="9"/>
  <c r="F53" i="8"/>
  <c r="D17" i="15" s="1"/>
  <c r="L53" i="8"/>
  <c r="G17" i="15" s="1"/>
  <c r="N53" i="8"/>
  <c r="I17" i="15" s="1"/>
  <c r="N53" i="5"/>
  <c r="I14" i="15" s="1"/>
  <c r="N53" i="6"/>
  <c r="I15" i="15" s="1"/>
  <c r="N53" i="7"/>
  <c r="I16" i="15" s="1"/>
  <c r="O53" i="8"/>
  <c r="J17" i="15" s="1"/>
  <c r="P53" i="8"/>
  <c r="K17" i="15" s="1"/>
  <c r="AG79" i="8"/>
  <c r="AD80" i="8"/>
  <c r="AE80" i="8"/>
  <c r="AH80" i="8"/>
  <c r="AI80" i="8"/>
  <c r="AJ80" i="8"/>
  <c r="AK80" i="8"/>
  <c r="AL80" i="8"/>
  <c r="AM80" i="8"/>
  <c r="AN80" i="8"/>
  <c r="AO80" i="8"/>
  <c r="AP80" i="8"/>
  <c r="AQ80" i="8"/>
  <c r="AR80" i="8"/>
  <c r="AS80" i="8"/>
  <c r="AT80" i="8"/>
  <c r="AU80" i="8"/>
  <c r="AV80" i="8"/>
  <c r="AW80" i="8"/>
  <c r="AX80" i="8"/>
  <c r="AY80" i="8"/>
  <c r="AZ80" i="8"/>
  <c r="BA80" i="8"/>
  <c r="BB80" i="8"/>
  <c r="BC80" i="8"/>
  <c r="BD80" i="8"/>
  <c r="AH139" i="8"/>
  <c r="AI139" i="8"/>
  <c r="AJ139" i="8"/>
  <c r="AK139" i="8"/>
  <c r="AL139" i="8"/>
  <c r="AM139" i="8"/>
  <c r="AN139" i="8"/>
  <c r="AO139" i="8"/>
  <c r="AP139" i="8"/>
  <c r="AQ139" i="8"/>
  <c r="AR139" i="8"/>
  <c r="AS139" i="8"/>
  <c r="AT139" i="8"/>
  <c r="AU139" i="8"/>
  <c r="AV139" i="8"/>
  <c r="AW139" i="8"/>
  <c r="AX139" i="8"/>
  <c r="AY139" i="8"/>
  <c r="AZ139" i="8"/>
  <c r="BA139" i="8"/>
  <c r="BB139" i="8"/>
  <c r="BC139" i="8"/>
  <c r="BD139" i="8"/>
  <c r="AH140" i="8"/>
  <c r="AI140" i="8"/>
  <c r="AJ140" i="8"/>
  <c r="AK140" i="8"/>
  <c r="AL140" i="8"/>
  <c r="AM140" i="8"/>
  <c r="AN140" i="8"/>
  <c r="AO140" i="8"/>
  <c r="AP140" i="8"/>
  <c r="AQ140" i="8"/>
  <c r="AR140" i="8"/>
  <c r="AS140" i="8"/>
  <c r="AT140" i="8"/>
  <c r="AU140" i="8"/>
  <c r="AV140" i="8"/>
  <c r="AW140" i="8"/>
  <c r="AX140" i="8"/>
  <c r="AY140" i="8"/>
  <c r="AZ140" i="8"/>
  <c r="BA140" i="8"/>
  <c r="BB140" i="8"/>
  <c r="BC140" i="8"/>
  <c r="BD140" i="8"/>
  <c r="BE140" i="8"/>
  <c r="AH141" i="8"/>
  <c r="AI141" i="8"/>
  <c r="AJ141" i="8"/>
  <c r="AK141" i="8"/>
  <c r="AL141" i="8"/>
  <c r="AM141" i="8"/>
  <c r="AN141" i="8"/>
  <c r="AO141" i="8"/>
  <c r="AP141" i="8"/>
  <c r="AQ141" i="8"/>
  <c r="AR141" i="8"/>
  <c r="AS141" i="8"/>
  <c r="AT141" i="8"/>
  <c r="AU141" i="8"/>
  <c r="AV141" i="8"/>
  <c r="AW141" i="8"/>
  <c r="AX141" i="8"/>
  <c r="AY141" i="8"/>
  <c r="AZ141" i="8"/>
  <c r="BA141" i="8"/>
  <c r="BB141" i="8"/>
  <c r="BC141" i="8"/>
  <c r="BD141" i="8"/>
  <c r="BE141" i="8"/>
  <c r="AH142" i="8"/>
  <c r="AI142" i="8"/>
  <c r="AJ142" i="8"/>
  <c r="AK142" i="8"/>
  <c r="AL142" i="8"/>
  <c r="AM142" i="8"/>
  <c r="AN142" i="8"/>
  <c r="AO142" i="8"/>
  <c r="AP142" i="8"/>
  <c r="AQ142" i="8"/>
  <c r="AR142" i="8"/>
  <c r="AS142" i="8"/>
  <c r="AT142" i="8"/>
  <c r="AU142" i="8"/>
  <c r="AV142" i="8"/>
  <c r="AW142" i="8"/>
  <c r="AX142" i="8"/>
  <c r="AY142" i="8"/>
  <c r="AZ142" i="8"/>
  <c r="BA142" i="8"/>
  <c r="BB142" i="8"/>
  <c r="BC142" i="8"/>
  <c r="BD142" i="8"/>
  <c r="BE142" i="8"/>
  <c r="AH143" i="8"/>
  <c r="AI143" i="8"/>
  <c r="AJ143" i="8"/>
  <c r="AK143" i="8"/>
  <c r="AL143" i="8"/>
  <c r="AM143" i="8"/>
  <c r="AN143" i="8"/>
  <c r="AO143" i="8"/>
  <c r="AP143" i="8"/>
  <c r="AQ143" i="8"/>
  <c r="AR143" i="8"/>
  <c r="AS143" i="8"/>
  <c r="AT143" i="8"/>
  <c r="AU143" i="8"/>
  <c r="AV143" i="8"/>
  <c r="AW143" i="8"/>
  <c r="AX143" i="8"/>
  <c r="AY143" i="8"/>
  <c r="AZ143" i="8"/>
  <c r="BA143" i="8"/>
  <c r="BB143" i="8"/>
  <c r="BC143" i="8"/>
  <c r="BD143" i="8"/>
  <c r="BE143" i="8"/>
  <c r="AH144" i="8"/>
  <c r="AI144" i="8"/>
  <c r="AJ144" i="8"/>
  <c r="AK144" i="8"/>
  <c r="AL144" i="8"/>
  <c r="AM144" i="8"/>
  <c r="AN144" i="8"/>
  <c r="AO144" i="8"/>
  <c r="AP144" i="8"/>
  <c r="AQ144" i="8"/>
  <c r="AR144" i="8"/>
  <c r="AS144" i="8"/>
  <c r="AT144" i="8"/>
  <c r="AU144" i="8"/>
  <c r="AV144" i="8"/>
  <c r="AW144" i="8"/>
  <c r="AX144" i="8"/>
  <c r="AY144" i="8"/>
  <c r="AZ144" i="8"/>
  <c r="BA144" i="8"/>
  <c r="BB144" i="8"/>
  <c r="BC144" i="8"/>
  <c r="BD144" i="8"/>
  <c r="BE144" i="8"/>
  <c r="AH145" i="8"/>
  <c r="AI145" i="8"/>
  <c r="AJ145" i="8"/>
  <c r="AK145" i="8"/>
  <c r="AL145" i="8"/>
  <c r="AM145" i="8"/>
  <c r="AN145" i="8"/>
  <c r="AO145" i="8"/>
  <c r="AP145" i="8"/>
  <c r="AQ145" i="8"/>
  <c r="AR145" i="8"/>
  <c r="AS145" i="8"/>
  <c r="AT145" i="8"/>
  <c r="AU145" i="8"/>
  <c r="AV145" i="8"/>
  <c r="AW145" i="8"/>
  <c r="AX145" i="8"/>
  <c r="AY145" i="8"/>
  <c r="AZ145" i="8"/>
  <c r="BA145" i="8"/>
  <c r="BB145" i="8"/>
  <c r="BC145" i="8"/>
  <c r="BD145" i="8"/>
  <c r="BE145" i="8"/>
  <c r="AH146" i="8"/>
  <c r="AI146" i="8"/>
  <c r="AJ146" i="8"/>
  <c r="AK146" i="8"/>
  <c r="AL146" i="8"/>
  <c r="AM146" i="8"/>
  <c r="AN146" i="8"/>
  <c r="AO146" i="8"/>
  <c r="AP146" i="8"/>
  <c r="AQ146" i="8"/>
  <c r="AR146" i="8"/>
  <c r="AS146" i="8"/>
  <c r="AT146" i="8"/>
  <c r="AU146" i="8"/>
  <c r="AV146" i="8"/>
  <c r="AW146" i="8"/>
  <c r="AX146" i="8"/>
  <c r="AY146" i="8"/>
  <c r="AZ146" i="8"/>
  <c r="BA146" i="8"/>
  <c r="BB146" i="8"/>
  <c r="BC146" i="8"/>
  <c r="BD146" i="8"/>
  <c r="BE146" i="8"/>
  <c r="AH186" i="8"/>
  <c r="AI186" i="8"/>
  <c r="AJ186" i="8"/>
  <c r="AK186" i="8"/>
  <c r="AL186" i="8"/>
  <c r="AM186" i="8"/>
  <c r="AN186" i="8"/>
  <c r="AO186" i="8"/>
  <c r="AP186" i="8"/>
  <c r="AQ186" i="8"/>
  <c r="AR186" i="8"/>
  <c r="AS186" i="8"/>
  <c r="AT186" i="8"/>
  <c r="AU186" i="8"/>
  <c r="AV186" i="8"/>
  <c r="AW186" i="8"/>
  <c r="AX186" i="8"/>
  <c r="AY186" i="8"/>
  <c r="AZ186" i="8"/>
  <c r="BA186" i="8"/>
  <c r="BB186" i="8"/>
  <c r="BC186" i="8"/>
  <c r="BD186" i="8"/>
  <c r="BE186" i="8"/>
  <c r="AH187" i="8"/>
  <c r="AI187" i="8"/>
  <c r="AJ187" i="8"/>
  <c r="AK187" i="8"/>
  <c r="AL187" i="8"/>
  <c r="AM187" i="8"/>
  <c r="AN187" i="8"/>
  <c r="AO187" i="8"/>
  <c r="AP187" i="8"/>
  <c r="AQ187" i="8"/>
  <c r="AR187" i="8"/>
  <c r="AS187" i="8"/>
  <c r="AT187" i="8"/>
  <c r="AU187" i="8"/>
  <c r="AV187" i="8"/>
  <c r="AW187" i="8"/>
  <c r="AX187" i="8"/>
  <c r="AY187" i="8"/>
  <c r="AZ187" i="8"/>
  <c r="BA187" i="8"/>
  <c r="BB187" i="8"/>
  <c r="BC187" i="8"/>
  <c r="BD187" i="8"/>
  <c r="BE187" i="8"/>
  <c r="AH188" i="8"/>
  <c r="AI188" i="8"/>
  <c r="AJ188" i="8"/>
  <c r="AK188" i="8"/>
  <c r="AL188" i="8"/>
  <c r="AM188" i="8"/>
  <c r="AN188" i="8"/>
  <c r="AO188" i="8"/>
  <c r="AP188" i="8"/>
  <c r="AQ188" i="8"/>
  <c r="AR188" i="8"/>
  <c r="AS188" i="8"/>
  <c r="AT188" i="8"/>
  <c r="AU188" i="8"/>
  <c r="AV188" i="8"/>
  <c r="AW188" i="8"/>
  <c r="AX188" i="8"/>
  <c r="AY188" i="8"/>
  <c r="AZ188" i="8"/>
  <c r="BA188" i="8"/>
  <c r="BB188" i="8"/>
  <c r="BC188" i="8"/>
  <c r="BD188" i="8"/>
  <c r="BE188" i="8"/>
  <c r="AH189" i="8"/>
  <c r="AI189" i="8"/>
  <c r="AJ189" i="8"/>
  <c r="AK189" i="8"/>
  <c r="AL189" i="8"/>
  <c r="AM189" i="8"/>
  <c r="AN189" i="8"/>
  <c r="AO189" i="8"/>
  <c r="AP189" i="8"/>
  <c r="AQ189" i="8"/>
  <c r="AR189" i="8"/>
  <c r="AS189" i="8"/>
  <c r="AT189" i="8"/>
  <c r="AU189" i="8"/>
  <c r="AV189" i="8"/>
  <c r="AW189" i="8"/>
  <c r="AX189" i="8"/>
  <c r="AY189" i="8"/>
  <c r="AZ189" i="8"/>
  <c r="BA189" i="8"/>
  <c r="BB189" i="8"/>
  <c r="BC189" i="8"/>
  <c r="BD189" i="8"/>
  <c r="BE189" i="8"/>
  <c r="AH190" i="8"/>
  <c r="AI190" i="8"/>
  <c r="AJ190" i="8"/>
  <c r="AK190" i="8"/>
  <c r="AL190" i="8"/>
  <c r="AM190" i="8"/>
  <c r="AN190" i="8"/>
  <c r="AO190" i="8"/>
  <c r="AP190" i="8"/>
  <c r="AQ190" i="8"/>
  <c r="AR190" i="8"/>
  <c r="AS190" i="8"/>
  <c r="AT190" i="8"/>
  <c r="AU190" i="8"/>
  <c r="AV190" i="8"/>
  <c r="AW190" i="8"/>
  <c r="AX190" i="8"/>
  <c r="AY190" i="8"/>
  <c r="AZ190" i="8"/>
  <c r="BA190" i="8"/>
  <c r="BB190" i="8"/>
  <c r="BC190" i="8"/>
  <c r="BD190" i="8"/>
  <c r="BE190" i="8"/>
  <c r="AH191" i="8"/>
  <c r="AI191" i="8"/>
  <c r="AJ191" i="8"/>
  <c r="AK191" i="8"/>
  <c r="AL191" i="8"/>
  <c r="AM191" i="8"/>
  <c r="AN191" i="8"/>
  <c r="AO191" i="8"/>
  <c r="AP191" i="8"/>
  <c r="AQ191" i="8"/>
  <c r="AR191" i="8"/>
  <c r="AS191" i="8"/>
  <c r="AT191" i="8"/>
  <c r="AU191" i="8"/>
  <c r="AV191" i="8"/>
  <c r="AW191" i="8"/>
  <c r="AX191" i="8"/>
  <c r="AY191" i="8"/>
  <c r="AZ191" i="8"/>
  <c r="BA191" i="8"/>
  <c r="BB191" i="8"/>
  <c r="BC191" i="8"/>
  <c r="BD191" i="8"/>
  <c r="BE191" i="8"/>
  <c r="AH192" i="8"/>
  <c r="AI192" i="8"/>
  <c r="AJ192" i="8"/>
  <c r="AK192" i="8"/>
  <c r="AL192" i="8"/>
  <c r="AM192" i="8"/>
  <c r="AN192" i="8"/>
  <c r="AO192" i="8"/>
  <c r="AP192" i="8"/>
  <c r="AQ192" i="8"/>
  <c r="AR192" i="8"/>
  <c r="AS192" i="8"/>
  <c r="AT192" i="8"/>
  <c r="AU192" i="8"/>
  <c r="AV192" i="8"/>
  <c r="AW192" i="8"/>
  <c r="AX192" i="8"/>
  <c r="AY192" i="8"/>
  <c r="AZ192" i="8"/>
  <c r="BA192" i="8"/>
  <c r="BB192" i="8"/>
  <c r="BC192" i="8"/>
  <c r="BD192" i="8"/>
  <c r="BE192" i="8"/>
  <c r="AH193" i="8"/>
  <c r="AI193" i="8"/>
  <c r="AJ193" i="8"/>
  <c r="AK193" i="8"/>
  <c r="AL193" i="8"/>
  <c r="AM193" i="8"/>
  <c r="AN193" i="8"/>
  <c r="AO193" i="8"/>
  <c r="AP193" i="8"/>
  <c r="AQ193" i="8"/>
  <c r="AR193" i="8"/>
  <c r="AS193" i="8"/>
  <c r="AT193" i="8"/>
  <c r="AU193" i="8"/>
  <c r="AV193" i="8"/>
  <c r="AW193" i="8"/>
  <c r="AX193" i="8"/>
  <c r="AY193" i="8"/>
  <c r="AZ193" i="8"/>
  <c r="BA193" i="8"/>
  <c r="BB193" i="8"/>
  <c r="BC193" i="8"/>
  <c r="BD193" i="8"/>
  <c r="BE193" i="8"/>
  <c r="AH194" i="8"/>
  <c r="AI194" i="8"/>
  <c r="AJ194" i="8"/>
  <c r="AK194" i="8"/>
  <c r="AL194" i="8"/>
  <c r="AM194" i="8"/>
  <c r="AN194" i="8"/>
  <c r="AO194" i="8"/>
  <c r="AP194" i="8"/>
  <c r="AQ194" i="8"/>
  <c r="AR194" i="8"/>
  <c r="AS194" i="8"/>
  <c r="AT194" i="8"/>
  <c r="AU194" i="8"/>
  <c r="AV194" i="8"/>
  <c r="AW194" i="8"/>
  <c r="AX194" i="8"/>
  <c r="AY194" i="8"/>
  <c r="AZ194" i="8"/>
  <c r="BA194" i="8"/>
  <c r="BB194" i="8"/>
  <c r="BC194" i="8"/>
  <c r="BD194" i="8"/>
  <c r="BE194" i="8"/>
  <c r="AH195" i="8"/>
  <c r="AI195" i="8"/>
  <c r="AJ195" i="8"/>
  <c r="AK195" i="8"/>
  <c r="AL195" i="8"/>
  <c r="AM195" i="8"/>
  <c r="AN195" i="8"/>
  <c r="AO195" i="8"/>
  <c r="AP195" i="8"/>
  <c r="AQ195" i="8"/>
  <c r="AR195" i="8"/>
  <c r="AS195" i="8"/>
  <c r="AT195" i="8"/>
  <c r="AU195" i="8"/>
  <c r="AV195" i="8"/>
  <c r="AW195" i="8"/>
  <c r="AX195" i="8"/>
  <c r="AY195" i="8"/>
  <c r="AZ195" i="8"/>
  <c r="BA195" i="8"/>
  <c r="BB195" i="8"/>
  <c r="BC195" i="8"/>
  <c r="BD195" i="8"/>
  <c r="BE195" i="8"/>
  <c r="AH196" i="8"/>
  <c r="AI196" i="8"/>
  <c r="AJ196" i="8"/>
  <c r="AK196" i="8"/>
  <c r="AL196" i="8"/>
  <c r="AM196" i="8"/>
  <c r="AN196" i="8"/>
  <c r="AO196" i="8"/>
  <c r="AP196" i="8"/>
  <c r="AQ196" i="8"/>
  <c r="AR196" i="8"/>
  <c r="AS196" i="8"/>
  <c r="AT196" i="8"/>
  <c r="AU196" i="8"/>
  <c r="AV196" i="8"/>
  <c r="AW196" i="8"/>
  <c r="AX196" i="8"/>
  <c r="AY196" i="8"/>
  <c r="AZ196" i="8"/>
  <c r="BA196" i="8"/>
  <c r="BB196" i="8"/>
  <c r="BC196" i="8"/>
  <c r="BD196" i="8"/>
  <c r="BE196" i="8"/>
  <c r="D197" i="8"/>
  <c r="E197" i="8"/>
  <c r="C40" i="15" s="1"/>
  <c r="G197" i="8"/>
  <c r="E40" i="15" s="1"/>
  <c r="F197" i="8"/>
  <c r="D40" i="15" s="1"/>
  <c r="H197" i="8"/>
  <c r="F40" i="15" s="1"/>
  <c r="I197" i="8"/>
  <c r="G40" i="15" s="1"/>
  <c r="J197" i="8"/>
  <c r="H40" i="15" s="1"/>
  <c r="L197" i="8"/>
  <c r="N197" i="8"/>
  <c r="L40" i="15" s="1"/>
  <c r="R197" i="8"/>
  <c r="P40" i="15" s="1"/>
  <c r="S197" i="8"/>
  <c r="Q40" i="15" s="1"/>
  <c r="U197" i="8"/>
  <c r="X197" i="8"/>
  <c r="V40" i="15" s="1"/>
  <c r="Z197" i="8"/>
  <c r="AH199" i="8"/>
  <c r="AI199" i="8"/>
  <c r="AJ199" i="8"/>
  <c r="AK199" i="8"/>
  <c r="AL199" i="8"/>
  <c r="AM199" i="8"/>
  <c r="AN199" i="8"/>
  <c r="AO199" i="8"/>
  <c r="AP199" i="8"/>
  <c r="AQ199" i="8"/>
  <c r="AR199" i="8"/>
  <c r="AS199" i="8"/>
  <c r="AT199" i="8"/>
  <c r="AU199" i="8"/>
  <c r="AV199" i="8"/>
  <c r="AW199" i="8"/>
  <c r="AX199" i="8"/>
  <c r="AY199" i="8"/>
  <c r="AZ199" i="8"/>
  <c r="BA199" i="8"/>
  <c r="BB199" i="8"/>
  <c r="BC199" i="8"/>
  <c r="BD199" i="8"/>
  <c r="AH200" i="8"/>
  <c r="AI200" i="8"/>
  <c r="AJ200" i="8"/>
  <c r="AK200" i="8"/>
  <c r="AL200" i="8"/>
  <c r="AM200" i="8"/>
  <c r="AN200" i="8"/>
  <c r="AO200" i="8"/>
  <c r="AP200" i="8"/>
  <c r="AQ200" i="8"/>
  <c r="AR200" i="8"/>
  <c r="AS200" i="8"/>
  <c r="AT200" i="8"/>
  <c r="AU200" i="8"/>
  <c r="AV200" i="8"/>
  <c r="AW200" i="8"/>
  <c r="AX200" i="8"/>
  <c r="AY200" i="8"/>
  <c r="AZ200" i="8"/>
  <c r="BA200" i="8"/>
  <c r="BB200" i="8"/>
  <c r="BC200" i="8"/>
  <c r="BD200" i="8"/>
  <c r="AH201" i="8"/>
  <c r="AI201" i="8"/>
  <c r="AJ201" i="8"/>
  <c r="AK201" i="8"/>
  <c r="AL201" i="8"/>
  <c r="AM201" i="8"/>
  <c r="AN201" i="8"/>
  <c r="AO201" i="8"/>
  <c r="AP201" i="8"/>
  <c r="AQ201" i="8"/>
  <c r="AR201" i="8"/>
  <c r="AS201" i="8"/>
  <c r="AT201" i="8"/>
  <c r="AU201" i="8"/>
  <c r="AV201" i="8"/>
  <c r="AW201" i="8"/>
  <c r="AX201" i="8"/>
  <c r="AY201" i="8"/>
  <c r="AZ201" i="8"/>
  <c r="BA201" i="8"/>
  <c r="BB201" i="8"/>
  <c r="BC201" i="8"/>
  <c r="BD201" i="8"/>
  <c r="F53" i="7"/>
  <c r="D16" i="15" s="1"/>
  <c r="L53" i="7"/>
  <c r="G16" i="15" s="1"/>
  <c r="O53" i="7"/>
  <c r="J16" i="15" s="1"/>
  <c r="P53" i="7"/>
  <c r="K16" i="15" s="1"/>
  <c r="AG79" i="7"/>
  <c r="AH80" i="7"/>
  <c r="AI80" i="7"/>
  <c r="AJ80" i="7"/>
  <c r="AK80" i="7"/>
  <c r="AL80" i="7"/>
  <c r="AM80" i="7"/>
  <c r="AN80" i="7"/>
  <c r="AO80" i="7"/>
  <c r="AP80" i="7"/>
  <c r="AQ80" i="7"/>
  <c r="AR80" i="7"/>
  <c r="AS80" i="7"/>
  <c r="AT80" i="7"/>
  <c r="AU80" i="7"/>
  <c r="AV80" i="7"/>
  <c r="AW80" i="7"/>
  <c r="AX80" i="7"/>
  <c r="AY80" i="7"/>
  <c r="AZ80" i="7"/>
  <c r="BA80" i="7"/>
  <c r="BB80" i="7"/>
  <c r="BC80" i="7"/>
  <c r="BD80" i="7"/>
  <c r="AH81" i="7"/>
  <c r="AI81" i="7"/>
  <c r="AJ81" i="7"/>
  <c r="AK81" i="7"/>
  <c r="AL81" i="7"/>
  <c r="AM81" i="7"/>
  <c r="AN81" i="7"/>
  <c r="AO81" i="7"/>
  <c r="AP81" i="7"/>
  <c r="AQ81" i="7"/>
  <c r="AR81" i="7"/>
  <c r="AS81" i="7"/>
  <c r="AT81" i="7"/>
  <c r="AU81" i="7"/>
  <c r="AV81" i="7"/>
  <c r="AW81" i="7"/>
  <c r="AX81" i="7"/>
  <c r="AY81" i="7"/>
  <c r="AZ81" i="7"/>
  <c r="BA81" i="7"/>
  <c r="BB81" i="7"/>
  <c r="BC81" i="7"/>
  <c r="BD81" i="7"/>
  <c r="AH82" i="7"/>
  <c r="AI82" i="7"/>
  <c r="AJ82" i="7"/>
  <c r="AK82" i="7"/>
  <c r="AL82" i="7"/>
  <c r="AM82" i="7"/>
  <c r="AN82" i="7"/>
  <c r="AO82" i="7"/>
  <c r="AP82" i="7"/>
  <c r="AQ82" i="7"/>
  <c r="AR82" i="7"/>
  <c r="AS82" i="7"/>
  <c r="AT82" i="7"/>
  <c r="AU82" i="7"/>
  <c r="AV82" i="7"/>
  <c r="AW82" i="7"/>
  <c r="AX82" i="7"/>
  <c r="AY82" i="7"/>
  <c r="AZ82" i="7"/>
  <c r="BA82" i="7"/>
  <c r="BB82" i="7"/>
  <c r="BC82" i="7"/>
  <c r="BD82" i="7"/>
  <c r="BE82" i="7"/>
  <c r="AH83" i="7"/>
  <c r="AI83" i="7"/>
  <c r="AJ83" i="7"/>
  <c r="AK83" i="7"/>
  <c r="AL83" i="7"/>
  <c r="AM83" i="7"/>
  <c r="AN83" i="7"/>
  <c r="AO83" i="7"/>
  <c r="AP83" i="7"/>
  <c r="AQ83" i="7"/>
  <c r="AR83" i="7"/>
  <c r="AS83" i="7"/>
  <c r="AT83" i="7"/>
  <c r="AU83" i="7"/>
  <c r="AV83" i="7"/>
  <c r="AW83" i="7"/>
  <c r="AX83" i="7"/>
  <c r="AY83" i="7"/>
  <c r="AZ83" i="7"/>
  <c r="BA83" i="7"/>
  <c r="BB83" i="7"/>
  <c r="BC83" i="7"/>
  <c r="BD83" i="7"/>
  <c r="BE83" i="7"/>
  <c r="AH84" i="7"/>
  <c r="AI84" i="7"/>
  <c r="AJ84" i="7"/>
  <c r="AK84" i="7"/>
  <c r="AL84" i="7"/>
  <c r="AM84" i="7"/>
  <c r="AN84" i="7"/>
  <c r="AO84" i="7"/>
  <c r="AP84" i="7"/>
  <c r="AQ84" i="7"/>
  <c r="AR84" i="7"/>
  <c r="AS84" i="7"/>
  <c r="AT84" i="7"/>
  <c r="AU84" i="7"/>
  <c r="AV84" i="7"/>
  <c r="AW84" i="7"/>
  <c r="AX84" i="7"/>
  <c r="AY84" i="7"/>
  <c r="AZ84" i="7"/>
  <c r="BA84" i="7"/>
  <c r="BB84" i="7"/>
  <c r="BC84" i="7"/>
  <c r="BD84" i="7"/>
  <c r="BE84" i="7"/>
  <c r="AH160" i="7"/>
  <c r="AI160" i="7"/>
  <c r="AJ160" i="7"/>
  <c r="AK160" i="7"/>
  <c r="AL160" i="7"/>
  <c r="AM160" i="7"/>
  <c r="AN160" i="7"/>
  <c r="AO160" i="7"/>
  <c r="AP160" i="7"/>
  <c r="AQ160" i="7"/>
  <c r="AR160" i="7"/>
  <c r="AS160" i="7"/>
  <c r="AT160" i="7"/>
  <c r="AU160" i="7"/>
  <c r="AV160" i="7"/>
  <c r="AW160" i="7"/>
  <c r="AX160" i="7"/>
  <c r="AY160" i="7"/>
  <c r="AZ160" i="7"/>
  <c r="BA160" i="7"/>
  <c r="BB160" i="7"/>
  <c r="BC160" i="7"/>
  <c r="BD160" i="7"/>
  <c r="BE160" i="7"/>
  <c r="AH161" i="7"/>
  <c r="AI161" i="7"/>
  <c r="AJ161" i="7"/>
  <c r="AK161" i="7"/>
  <c r="AL161" i="7"/>
  <c r="AM161" i="7"/>
  <c r="AN161" i="7"/>
  <c r="AO161" i="7"/>
  <c r="AP161" i="7"/>
  <c r="AQ161" i="7"/>
  <c r="AR161" i="7"/>
  <c r="AS161" i="7"/>
  <c r="AT161" i="7"/>
  <c r="AU161" i="7"/>
  <c r="AV161" i="7"/>
  <c r="AW161" i="7"/>
  <c r="AX161" i="7"/>
  <c r="AY161" i="7"/>
  <c r="AZ161" i="7"/>
  <c r="BA161" i="7"/>
  <c r="BB161" i="7"/>
  <c r="BC161" i="7"/>
  <c r="BD161" i="7"/>
  <c r="BE161" i="7"/>
  <c r="AH162" i="7"/>
  <c r="AI162" i="7"/>
  <c r="AJ162" i="7"/>
  <c r="AK162" i="7"/>
  <c r="AL162" i="7"/>
  <c r="AM162" i="7"/>
  <c r="AN162" i="7"/>
  <c r="AO162" i="7"/>
  <c r="AP162" i="7"/>
  <c r="AQ162" i="7"/>
  <c r="AR162" i="7"/>
  <c r="AS162" i="7"/>
  <c r="AT162" i="7"/>
  <c r="AU162" i="7"/>
  <c r="AV162" i="7"/>
  <c r="AW162" i="7"/>
  <c r="AX162" i="7"/>
  <c r="AY162" i="7"/>
  <c r="AZ162" i="7"/>
  <c r="BA162" i="7"/>
  <c r="BB162" i="7"/>
  <c r="BC162" i="7"/>
  <c r="BD162" i="7"/>
  <c r="BE162" i="7"/>
  <c r="AH163" i="7"/>
  <c r="AI163" i="7"/>
  <c r="AJ163" i="7"/>
  <c r="AK163" i="7"/>
  <c r="AL163" i="7"/>
  <c r="AM163" i="7"/>
  <c r="AN163" i="7"/>
  <c r="AO163" i="7"/>
  <c r="AP163" i="7"/>
  <c r="AQ163" i="7"/>
  <c r="AR163" i="7"/>
  <c r="AS163" i="7"/>
  <c r="AT163" i="7"/>
  <c r="AU163" i="7"/>
  <c r="AV163" i="7"/>
  <c r="AW163" i="7"/>
  <c r="AX163" i="7"/>
  <c r="AY163" i="7"/>
  <c r="AZ163" i="7"/>
  <c r="BA163" i="7"/>
  <c r="BB163" i="7"/>
  <c r="BC163" i="7"/>
  <c r="BD163" i="7"/>
  <c r="BE163" i="7"/>
  <c r="AH164" i="7"/>
  <c r="AI164" i="7"/>
  <c r="AJ164" i="7"/>
  <c r="AK164" i="7"/>
  <c r="AL164" i="7"/>
  <c r="AM164" i="7"/>
  <c r="AN164" i="7"/>
  <c r="AO164" i="7"/>
  <c r="AP164" i="7"/>
  <c r="AQ164" i="7"/>
  <c r="AR164" i="7"/>
  <c r="AS164" i="7"/>
  <c r="AT164" i="7"/>
  <c r="AU164" i="7"/>
  <c r="AV164" i="7"/>
  <c r="AW164" i="7"/>
  <c r="AX164" i="7"/>
  <c r="AY164" i="7"/>
  <c r="AZ164" i="7"/>
  <c r="BA164" i="7"/>
  <c r="BB164" i="7"/>
  <c r="BC164" i="7"/>
  <c r="BD164" i="7"/>
  <c r="BE164" i="7"/>
  <c r="AH165" i="7"/>
  <c r="AI165" i="7"/>
  <c r="AJ165" i="7"/>
  <c r="AK165" i="7"/>
  <c r="AL165" i="7"/>
  <c r="AM165" i="7"/>
  <c r="AN165" i="7"/>
  <c r="AO165" i="7"/>
  <c r="AP165" i="7"/>
  <c r="AQ165" i="7"/>
  <c r="AR165" i="7"/>
  <c r="AS165" i="7"/>
  <c r="AT165" i="7"/>
  <c r="AU165" i="7"/>
  <c r="AV165" i="7"/>
  <c r="AW165" i="7"/>
  <c r="AX165" i="7"/>
  <c r="AY165" i="7"/>
  <c r="AZ165" i="7"/>
  <c r="BA165" i="7"/>
  <c r="BB165" i="7"/>
  <c r="BC165" i="7"/>
  <c r="BD165" i="7"/>
  <c r="BE165" i="7"/>
  <c r="AH166" i="7"/>
  <c r="AI166" i="7"/>
  <c r="AJ166" i="7"/>
  <c r="AK166" i="7"/>
  <c r="AL166" i="7"/>
  <c r="AM166" i="7"/>
  <c r="AN166" i="7"/>
  <c r="AO166" i="7"/>
  <c r="AP166" i="7"/>
  <c r="AQ166" i="7"/>
  <c r="AR166" i="7"/>
  <c r="AS166" i="7"/>
  <c r="AT166" i="7"/>
  <c r="AU166" i="7"/>
  <c r="AV166" i="7"/>
  <c r="AW166" i="7"/>
  <c r="AX166" i="7"/>
  <c r="AY166" i="7"/>
  <c r="AZ166" i="7"/>
  <c r="BA166" i="7"/>
  <c r="BB166" i="7"/>
  <c r="BC166" i="7"/>
  <c r="BD166" i="7"/>
  <c r="BE166" i="7"/>
  <c r="AH180" i="7"/>
  <c r="AI180" i="7"/>
  <c r="AJ180" i="7"/>
  <c r="AK180" i="7"/>
  <c r="AL180" i="7"/>
  <c r="AM180" i="7"/>
  <c r="AN180" i="7"/>
  <c r="AO180" i="7"/>
  <c r="AP180" i="7"/>
  <c r="AQ180" i="7"/>
  <c r="AR180" i="7"/>
  <c r="AS180" i="7"/>
  <c r="AT180" i="7"/>
  <c r="AU180" i="7"/>
  <c r="AV180" i="7"/>
  <c r="AW180" i="7"/>
  <c r="AX180" i="7"/>
  <c r="AY180" i="7"/>
  <c r="AZ180" i="7"/>
  <c r="BA180" i="7"/>
  <c r="BB180" i="7"/>
  <c r="BC180" i="7"/>
  <c r="BD180" i="7"/>
  <c r="BE180" i="7"/>
  <c r="AH181" i="7"/>
  <c r="AI181" i="7"/>
  <c r="AJ181" i="7"/>
  <c r="AK181" i="7"/>
  <c r="AL181" i="7"/>
  <c r="AM181" i="7"/>
  <c r="AN181" i="7"/>
  <c r="AO181" i="7"/>
  <c r="AP181" i="7"/>
  <c r="AQ181" i="7"/>
  <c r="AR181" i="7"/>
  <c r="AS181" i="7"/>
  <c r="AT181" i="7"/>
  <c r="AU181" i="7"/>
  <c r="AV181" i="7"/>
  <c r="AW181" i="7"/>
  <c r="AX181" i="7"/>
  <c r="AY181" i="7"/>
  <c r="AZ181" i="7"/>
  <c r="BA181" i="7"/>
  <c r="BB181" i="7"/>
  <c r="BC181" i="7"/>
  <c r="BD181" i="7"/>
  <c r="BE181" i="7"/>
  <c r="AH182" i="7"/>
  <c r="AI182" i="7"/>
  <c r="AJ182" i="7"/>
  <c r="AK182" i="7"/>
  <c r="AL182" i="7"/>
  <c r="AM182" i="7"/>
  <c r="AN182" i="7"/>
  <c r="AO182" i="7"/>
  <c r="AP182" i="7"/>
  <c r="AQ182" i="7"/>
  <c r="AR182" i="7"/>
  <c r="AS182" i="7"/>
  <c r="AT182" i="7"/>
  <c r="AU182" i="7"/>
  <c r="AV182" i="7"/>
  <c r="AW182" i="7"/>
  <c r="AX182" i="7"/>
  <c r="AY182" i="7"/>
  <c r="AZ182" i="7"/>
  <c r="BA182" i="7"/>
  <c r="BB182" i="7"/>
  <c r="BC182" i="7"/>
  <c r="BD182" i="7"/>
  <c r="BE182" i="7"/>
  <c r="AH183" i="7"/>
  <c r="AI183" i="7"/>
  <c r="AJ183" i="7"/>
  <c r="AK183" i="7"/>
  <c r="AL183" i="7"/>
  <c r="AM183" i="7"/>
  <c r="AN183" i="7"/>
  <c r="AO183" i="7"/>
  <c r="AP183" i="7"/>
  <c r="AQ183" i="7"/>
  <c r="AR183" i="7"/>
  <c r="AS183" i="7"/>
  <c r="AT183" i="7"/>
  <c r="AU183" i="7"/>
  <c r="AV183" i="7"/>
  <c r="AW183" i="7"/>
  <c r="AX183" i="7"/>
  <c r="AY183" i="7"/>
  <c r="AZ183" i="7"/>
  <c r="BA183" i="7"/>
  <c r="BB183" i="7"/>
  <c r="BC183" i="7"/>
  <c r="BD183" i="7"/>
  <c r="BE183" i="7"/>
  <c r="AH184" i="7"/>
  <c r="AI184" i="7"/>
  <c r="AJ184" i="7"/>
  <c r="AK184" i="7"/>
  <c r="AL184" i="7"/>
  <c r="AM184" i="7"/>
  <c r="AN184" i="7"/>
  <c r="AO184" i="7"/>
  <c r="AP184" i="7"/>
  <c r="AQ184" i="7"/>
  <c r="AR184" i="7"/>
  <c r="AS184" i="7"/>
  <c r="AT184" i="7"/>
  <c r="AU184" i="7"/>
  <c r="AV184" i="7"/>
  <c r="AW184" i="7"/>
  <c r="AX184" i="7"/>
  <c r="AY184" i="7"/>
  <c r="AZ184" i="7"/>
  <c r="BA184" i="7"/>
  <c r="BB184" i="7"/>
  <c r="BC184" i="7"/>
  <c r="BD184" i="7"/>
  <c r="BE184" i="7"/>
  <c r="AH185" i="7"/>
  <c r="AI185" i="7"/>
  <c r="AJ185" i="7"/>
  <c r="AK185" i="7"/>
  <c r="AL185" i="7"/>
  <c r="AM185" i="7"/>
  <c r="AN185" i="7"/>
  <c r="AO185" i="7"/>
  <c r="AP185" i="7"/>
  <c r="AQ185" i="7"/>
  <c r="AR185" i="7"/>
  <c r="AS185" i="7"/>
  <c r="AT185" i="7"/>
  <c r="AU185" i="7"/>
  <c r="AV185" i="7"/>
  <c r="AW185" i="7"/>
  <c r="AX185" i="7"/>
  <c r="AY185" i="7"/>
  <c r="AZ185" i="7"/>
  <c r="BA185" i="7"/>
  <c r="BB185" i="7"/>
  <c r="BC185" i="7"/>
  <c r="BD185" i="7"/>
  <c r="BE185" i="7"/>
  <c r="AH186" i="7"/>
  <c r="AI186" i="7"/>
  <c r="AJ186" i="7"/>
  <c r="AK186" i="7"/>
  <c r="AL186" i="7"/>
  <c r="AM186" i="7"/>
  <c r="AN186" i="7"/>
  <c r="AO186" i="7"/>
  <c r="AP186" i="7"/>
  <c r="AQ186" i="7"/>
  <c r="AR186" i="7"/>
  <c r="AS186" i="7"/>
  <c r="AT186" i="7"/>
  <c r="AU186" i="7"/>
  <c r="AV186" i="7"/>
  <c r="AW186" i="7"/>
  <c r="AX186" i="7"/>
  <c r="AY186" i="7"/>
  <c r="AZ186" i="7"/>
  <c r="BA186" i="7"/>
  <c r="BB186" i="7"/>
  <c r="BC186" i="7"/>
  <c r="BD186" i="7"/>
  <c r="BE186" i="7"/>
  <c r="AH187" i="7"/>
  <c r="AI187" i="7"/>
  <c r="AJ187" i="7"/>
  <c r="AK187" i="7"/>
  <c r="AL187" i="7"/>
  <c r="AM187" i="7"/>
  <c r="AN187" i="7"/>
  <c r="AO187" i="7"/>
  <c r="AP187" i="7"/>
  <c r="AQ187" i="7"/>
  <c r="AR187" i="7"/>
  <c r="AS187" i="7"/>
  <c r="AT187" i="7"/>
  <c r="AU187" i="7"/>
  <c r="AV187" i="7"/>
  <c r="AW187" i="7"/>
  <c r="AX187" i="7"/>
  <c r="AY187" i="7"/>
  <c r="AZ187" i="7"/>
  <c r="BA187" i="7"/>
  <c r="BB187" i="7"/>
  <c r="BC187" i="7"/>
  <c r="BD187" i="7"/>
  <c r="BE187" i="7"/>
  <c r="AH188" i="7"/>
  <c r="AI188" i="7"/>
  <c r="AJ188" i="7"/>
  <c r="AK188" i="7"/>
  <c r="AL188" i="7"/>
  <c r="AM188" i="7"/>
  <c r="AN188" i="7"/>
  <c r="AO188" i="7"/>
  <c r="AP188" i="7"/>
  <c r="AQ188" i="7"/>
  <c r="AR188" i="7"/>
  <c r="AS188" i="7"/>
  <c r="AT188" i="7"/>
  <c r="AU188" i="7"/>
  <c r="AV188" i="7"/>
  <c r="AW188" i="7"/>
  <c r="AX188" i="7"/>
  <c r="AY188" i="7"/>
  <c r="AZ188" i="7"/>
  <c r="BA188" i="7"/>
  <c r="BB188" i="7"/>
  <c r="BC188" i="7"/>
  <c r="BD188" i="7"/>
  <c r="BE188" i="7"/>
  <c r="AH189" i="7"/>
  <c r="AI189" i="7"/>
  <c r="AJ189" i="7"/>
  <c r="AK189" i="7"/>
  <c r="AL189" i="7"/>
  <c r="AM189" i="7"/>
  <c r="AN189" i="7"/>
  <c r="AO189" i="7"/>
  <c r="AP189" i="7"/>
  <c r="AQ189" i="7"/>
  <c r="AR189" i="7"/>
  <c r="AS189" i="7"/>
  <c r="AT189" i="7"/>
  <c r="AU189" i="7"/>
  <c r="AV189" i="7"/>
  <c r="AW189" i="7"/>
  <c r="AX189" i="7"/>
  <c r="AY189" i="7"/>
  <c r="AZ189" i="7"/>
  <c r="BA189" i="7"/>
  <c r="BB189" i="7"/>
  <c r="BC189" i="7"/>
  <c r="BD189" i="7"/>
  <c r="BE189" i="7"/>
  <c r="AH190" i="7"/>
  <c r="AI190" i="7"/>
  <c r="AJ190" i="7"/>
  <c r="AK190" i="7"/>
  <c r="AL190" i="7"/>
  <c r="AM190" i="7"/>
  <c r="AN190" i="7"/>
  <c r="AO190" i="7"/>
  <c r="AP190" i="7"/>
  <c r="AQ190" i="7"/>
  <c r="AR190" i="7"/>
  <c r="AS190" i="7"/>
  <c r="AT190" i="7"/>
  <c r="AU190" i="7"/>
  <c r="AV190" i="7"/>
  <c r="AW190" i="7"/>
  <c r="AX190" i="7"/>
  <c r="AY190" i="7"/>
  <c r="AZ190" i="7"/>
  <c r="BA190" i="7"/>
  <c r="BB190" i="7"/>
  <c r="BC190" i="7"/>
  <c r="BD190" i="7"/>
  <c r="BE190" i="7"/>
  <c r="AH191" i="7"/>
  <c r="AI191" i="7"/>
  <c r="AJ191" i="7"/>
  <c r="AK191" i="7"/>
  <c r="AL191" i="7"/>
  <c r="AM191" i="7"/>
  <c r="AN191" i="7"/>
  <c r="AO191" i="7"/>
  <c r="AP191" i="7"/>
  <c r="AQ191" i="7"/>
  <c r="AR191" i="7"/>
  <c r="AS191" i="7"/>
  <c r="AT191" i="7"/>
  <c r="AU191" i="7"/>
  <c r="AV191" i="7"/>
  <c r="AW191" i="7"/>
  <c r="AX191" i="7"/>
  <c r="AY191" i="7"/>
  <c r="AZ191" i="7"/>
  <c r="BA191" i="7"/>
  <c r="BB191" i="7"/>
  <c r="BC191" i="7"/>
  <c r="BD191" i="7"/>
  <c r="BE191" i="7"/>
  <c r="AH192" i="7"/>
  <c r="AI192" i="7"/>
  <c r="AJ192" i="7"/>
  <c r="AK192" i="7"/>
  <c r="AL192" i="7"/>
  <c r="AM192" i="7"/>
  <c r="AN192" i="7"/>
  <c r="AO192" i="7"/>
  <c r="AP192" i="7"/>
  <c r="AQ192" i="7"/>
  <c r="AR192" i="7"/>
  <c r="AS192" i="7"/>
  <c r="AT192" i="7"/>
  <c r="AU192" i="7"/>
  <c r="AV192" i="7"/>
  <c r="AW192" i="7"/>
  <c r="AX192" i="7"/>
  <c r="AY192" i="7"/>
  <c r="AZ192" i="7"/>
  <c r="BA192" i="7"/>
  <c r="BB192" i="7"/>
  <c r="BC192" i="7"/>
  <c r="BD192" i="7"/>
  <c r="BE192" i="7"/>
  <c r="AH193" i="7"/>
  <c r="AI193" i="7"/>
  <c r="AJ193" i="7"/>
  <c r="AK193" i="7"/>
  <c r="AL193" i="7"/>
  <c r="AM193" i="7"/>
  <c r="AN193" i="7"/>
  <c r="AO193" i="7"/>
  <c r="AP193" i="7"/>
  <c r="AQ193" i="7"/>
  <c r="AR193" i="7"/>
  <c r="AS193" i="7"/>
  <c r="AT193" i="7"/>
  <c r="AU193" i="7"/>
  <c r="AV193" i="7"/>
  <c r="AW193" i="7"/>
  <c r="AX193" i="7"/>
  <c r="AY193" i="7"/>
  <c r="AZ193" i="7"/>
  <c r="BA193" i="7"/>
  <c r="BB193" i="7"/>
  <c r="BC193" i="7"/>
  <c r="BD193" i="7"/>
  <c r="BE193" i="7"/>
  <c r="AH194" i="7"/>
  <c r="AI194" i="7"/>
  <c r="AJ194" i="7"/>
  <c r="AK194" i="7"/>
  <c r="AL194" i="7"/>
  <c r="AM194" i="7"/>
  <c r="AN194" i="7"/>
  <c r="AO194" i="7"/>
  <c r="AP194" i="7"/>
  <c r="AQ194" i="7"/>
  <c r="AR194" i="7"/>
  <c r="AS194" i="7"/>
  <c r="AT194" i="7"/>
  <c r="AU194" i="7"/>
  <c r="AV194" i="7"/>
  <c r="AW194" i="7"/>
  <c r="AX194" i="7"/>
  <c r="AY194" i="7"/>
  <c r="AZ194" i="7"/>
  <c r="BA194" i="7"/>
  <c r="BB194" i="7"/>
  <c r="BC194" i="7"/>
  <c r="BD194" i="7"/>
  <c r="BE194" i="7"/>
  <c r="AH195" i="7"/>
  <c r="AI195" i="7"/>
  <c r="AJ195" i="7"/>
  <c r="AK195" i="7"/>
  <c r="AL195" i="7"/>
  <c r="AM195" i="7"/>
  <c r="AN195" i="7"/>
  <c r="AO195" i="7"/>
  <c r="AP195" i="7"/>
  <c r="AQ195" i="7"/>
  <c r="AR195" i="7"/>
  <c r="AS195" i="7"/>
  <c r="AT195" i="7"/>
  <c r="AU195" i="7"/>
  <c r="AV195" i="7"/>
  <c r="AW195" i="7"/>
  <c r="AX195" i="7"/>
  <c r="AY195" i="7"/>
  <c r="AZ195" i="7"/>
  <c r="BA195" i="7"/>
  <c r="BB195" i="7"/>
  <c r="BC195" i="7"/>
  <c r="BD195" i="7"/>
  <c r="BE195" i="7"/>
  <c r="AH196" i="7"/>
  <c r="AI196" i="7"/>
  <c r="AJ196" i="7"/>
  <c r="AK196" i="7"/>
  <c r="AL196" i="7"/>
  <c r="AM196" i="7"/>
  <c r="AN196" i="7"/>
  <c r="AO196" i="7"/>
  <c r="AP196" i="7"/>
  <c r="AQ196" i="7"/>
  <c r="AR196" i="7"/>
  <c r="AS196" i="7"/>
  <c r="AT196" i="7"/>
  <c r="AU196" i="7"/>
  <c r="AV196" i="7"/>
  <c r="AW196" i="7"/>
  <c r="AX196" i="7"/>
  <c r="AY196" i="7"/>
  <c r="AZ196" i="7"/>
  <c r="BA196" i="7"/>
  <c r="BB196" i="7"/>
  <c r="BC196" i="7"/>
  <c r="BD196" i="7"/>
  <c r="BE196" i="7"/>
  <c r="D197" i="7"/>
  <c r="E197" i="7"/>
  <c r="F197" i="7"/>
  <c r="H197" i="7"/>
  <c r="G197" i="7"/>
  <c r="E39" i="15" s="1"/>
  <c r="I197" i="7"/>
  <c r="G39" i="15" s="1"/>
  <c r="J197" i="7"/>
  <c r="H39" i="15" s="1"/>
  <c r="L197" i="7"/>
  <c r="N197" i="7"/>
  <c r="L39" i="15" s="1"/>
  <c r="R197" i="7"/>
  <c r="P39" i="15" s="1"/>
  <c r="S197" i="7"/>
  <c r="U197" i="7"/>
  <c r="S39" i="15" s="1"/>
  <c r="X197" i="7"/>
  <c r="Z197" i="7"/>
  <c r="X39" i="15" s="1"/>
  <c r="AH199" i="7"/>
  <c r="AI199" i="7"/>
  <c r="AJ199" i="7"/>
  <c r="AK199" i="7"/>
  <c r="AL199" i="7"/>
  <c r="AM199" i="7"/>
  <c r="AN199" i="7"/>
  <c r="AO199" i="7"/>
  <c r="AP199" i="7"/>
  <c r="AQ199" i="7"/>
  <c r="AR199" i="7"/>
  <c r="AS199" i="7"/>
  <c r="AT199" i="7"/>
  <c r="AU199" i="7"/>
  <c r="AV199" i="7"/>
  <c r="AW199" i="7"/>
  <c r="AX199" i="7"/>
  <c r="AY199" i="7"/>
  <c r="AZ199" i="7"/>
  <c r="BA199" i="7"/>
  <c r="BB199" i="7"/>
  <c r="BC199" i="7"/>
  <c r="BD199" i="7"/>
  <c r="AH200" i="7"/>
  <c r="AI200" i="7"/>
  <c r="AJ200" i="7"/>
  <c r="AK200" i="7"/>
  <c r="AL200" i="7"/>
  <c r="AM200" i="7"/>
  <c r="AN200" i="7"/>
  <c r="AO200" i="7"/>
  <c r="AP200" i="7"/>
  <c r="AQ200" i="7"/>
  <c r="AR200" i="7"/>
  <c r="AS200" i="7"/>
  <c r="AT200" i="7"/>
  <c r="AU200" i="7"/>
  <c r="AV200" i="7"/>
  <c r="AW200" i="7"/>
  <c r="AX200" i="7"/>
  <c r="AY200" i="7"/>
  <c r="AZ200" i="7"/>
  <c r="BA200" i="7"/>
  <c r="BB200" i="7"/>
  <c r="BC200" i="7"/>
  <c r="BD200" i="7"/>
  <c r="AH201" i="7"/>
  <c r="AI201" i="7"/>
  <c r="AJ201" i="7"/>
  <c r="AK201" i="7"/>
  <c r="AL201" i="7"/>
  <c r="AM201" i="7"/>
  <c r="AN201" i="7"/>
  <c r="AO201" i="7"/>
  <c r="AP201" i="7"/>
  <c r="AQ201" i="7"/>
  <c r="AR201" i="7"/>
  <c r="AS201" i="7"/>
  <c r="AT201" i="7"/>
  <c r="AU201" i="7"/>
  <c r="AV201" i="7"/>
  <c r="AW201" i="7"/>
  <c r="AX201" i="7"/>
  <c r="AY201" i="7"/>
  <c r="AZ201" i="7"/>
  <c r="BA201" i="7"/>
  <c r="BB201" i="7"/>
  <c r="BC201" i="7"/>
  <c r="BD201" i="7"/>
  <c r="F53" i="6"/>
  <c r="E61" i="6" s="1"/>
  <c r="G61" i="6" s="1"/>
  <c r="L53" i="6"/>
  <c r="G15" i="15" s="1"/>
  <c r="O53" i="6"/>
  <c r="J15" i="15" s="1"/>
  <c r="P53" i="6"/>
  <c r="K15" i="15" s="1"/>
  <c r="AG79" i="6"/>
  <c r="AD80" i="6"/>
  <c r="AE80" i="6"/>
  <c r="AH80" i="6"/>
  <c r="AI80" i="6"/>
  <c r="AJ80" i="6"/>
  <c r="AK80" i="6"/>
  <c r="AL80" i="6"/>
  <c r="AM80" i="6"/>
  <c r="AN80" i="6"/>
  <c r="AO80" i="6"/>
  <c r="AP80" i="6"/>
  <c r="AQ80" i="6"/>
  <c r="AR80" i="6"/>
  <c r="AS80" i="6"/>
  <c r="AT80" i="6"/>
  <c r="AU80" i="6"/>
  <c r="AV80" i="6"/>
  <c r="AW80" i="6"/>
  <c r="AX80" i="6"/>
  <c r="AY80" i="6"/>
  <c r="AZ80" i="6"/>
  <c r="BA80" i="6"/>
  <c r="BB80" i="6"/>
  <c r="BC80" i="6"/>
  <c r="BD80" i="6"/>
  <c r="AH81" i="6"/>
  <c r="AI81" i="6"/>
  <c r="AJ81" i="6"/>
  <c r="AK81" i="6"/>
  <c r="AL81" i="6"/>
  <c r="AM81" i="6"/>
  <c r="AN81" i="6"/>
  <c r="AO81" i="6"/>
  <c r="AP81" i="6"/>
  <c r="AQ81" i="6"/>
  <c r="AR81" i="6"/>
  <c r="AS81" i="6"/>
  <c r="AT81" i="6"/>
  <c r="AU81" i="6"/>
  <c r="AV81" i="6"/>
  <c r="AW81" i="6"/>
  <c r="AX81" i="6"/>
  <c r="AY81" i="6"/>
  <c r="AZ81" i="6"/>
  <c r="BA81" i="6"/>
  <c r="BB81" i="6"/>
  <c r="BC81" i="6"/>
  <c r="BD81" i="6"/>
  <c r="AH82" i="6"/>
  <c r="AI82" i="6"/>
  <c r="AJ82" i="6"/>
  <c r="AK82" i="6"/>
  <c r="AL82" i="6"/>
  <c r="AM82" i="6"/>
  <c r="AN82" i="6"/>
  <c r="AO82" i="6"/>
  <c r="AP82" i="6"/>
  <c r="AQ82" i="6"/>
  <c r="AR82" i="6"/>
  <c r="AS82" i="6"/>
  <c r="AT82" i="6"/>
  <c r="AU82" i="6"/>
  <c r="AV82" i="6"/>
  <c r="AW82" i="6"/>
  <c r="AX82" i="6"/>
  <c r="AY82" i="6"/>
  <c r="AZ82" i="6"/>
  <c r="BA82" i="6"/>
  <c r="BB82" i="6"/>
  <c r="BC82" i="6"/>
  <c r="BD82" i="6"/>
  <c r="BE82" i="6"/>
  <c r="AH83" i="6"/>
  <c r="AI83" i="6"/>
  <c r="AJ83" i="6"/>
  <c r="AK83" i="6"/>
  <c r="AL83" i="6"/>
  <c r="AM83" i="6"/>
  <c r="AN83" i="6"/>
  <c r="AO83" i="6"/>
  <c r="AP83" i="6"/>
  <c r="AQ83" i="6"/>
  <c r="AR83" i="6"/>
  <c r="AS83" i="6"/>
  <c r="AT83" i="6"/>
  <c r="AU83" i="6"/>
  <c r="AV83" i="6"/>
  <c r="AW83" i="6"/>
  <c r="AX83" i="6"/>
  <c r="AY83" i="6"/>
  <c r="AZ83" i="6"/>
  <c r="BA83" i="6"/>
  <c r="BB83" i="6"/>
  <c r="BC83" i="6"/>
  <c r="BD83" i="6"/>
  <c r="BE83" i="6"/>
  <c r="AH84" i="6"/>
  <c r="AI84" i="6"/>
  <c r="AJ84" i="6"/>
  <c r="AK84" i="6"/>
  <c r="AL84" i="6"/>
  <c r="AM84" i="6"/>
  <c r="AN84" i="6"/>
  <c r="AO84" i="6"/>
  <c r="AP84" i="6"/>
  <c r="AQ84" i="6"/>
  <c r="AR84" i="6"/>
  <c r="AS84" i="6"/>
  <c r="AT84" i="6"/>
  <c r="AU84" i="6"/>
  <c r="AV84" i="6"/>
  <c r="AW84" i="6"/>
  <c r="AX84" i="6"/>
  <c r="AY84" i="6"/>
  <c r="AZ84" i="6"/>
  <c r="BA84" i="6"/>
  <c r="BB84" i="6"/>
  <c r="BC84" i="6"/>
  <c r="BD84" i="6"/>
  <c r="BE84" i="6"/>
  <c r="AH85" i="6"/>
  <c r="AI85" i="6"/>
  <c r="AJ85" i="6"/>
  <c r="AK85" i="6"/>
  <c r="AL85" i="6"/>
  <c r="AM85" i="6"/>
  <c r="AN85" i="6"/>
  <c r="AO85" i="6"/>
  <c r="AP85" i="6"/>
  <c r="AQ85" i="6"/>
  <c r="AR85" i="6"/>
  <c r="AS85" i="6"/>
  <c r="AT85" i="6"/>
  <c r="AU85" i="6"/>
  <c r="AV85" i="6"/>
  <c r="AW85" i="6"/>
  <c r="AX85" i="6"/>
  <c r="AY85" i="6"/>
  <c r="AZ85" i="6"/>
  <c r="BA85" i="6"/>
  <c r="BB85" i="6"/>
  <c r="BC85" i="6"/>
  <c r="BD85" i="6"/>
  <c r="BE85" i="6"/>
  <c r="AH86" i="6"/>
  <c r="AI86" i="6"/>
  <c r="AJ86" i="6"/>
  <c r="AK86" i="6"/>
  <c r="AL86" i="6"/>
  <c r="AM86" i="6"/>
  <c r="AN86" i="6"/>
  <c r="AO86" i="6"/>
  <c r="AP86" i="6"/>
  <c r="AQ86" i="6"/>
  <c r="AR86" i="6"/>
  <c r="AS86" i="6"/>
  <c r="AT86" i="6"/>
  <c r="AU86" i="6"/>
  <c r="AV86" i="6"/>
  <c r="AW86" i="6"/>
  <c r="AX86" i="6"/>
  <c r="AY86" i="6"/>
  <c r="AZ86" i="6"/>
  <c r="BA86" i="6"/>
  <c r="BB86" i="6"/>
  <c r="BC86" i="6"/>
  <c r="BD86" i="6"/>
  <c r="BE86" i="6"/>
  <c r="AH87" i="6"/>
  <c r="AI87" i="6"/>
  <c r="AJ87" i="6"/>
  <c r="AK87" i="6"/>
  <c r="AL87" i="6"/>
  <c r="AM87" i="6"/>
  <c r="AN87" i="6"/>
  <c r="AO87" i="6"/>
  <c r="AP87" i="6"/>
  <c r="AQ87" i="6"/>
  <c r="AR87" i="6"/>
  <c r="AS87" i="6"/>
  <c r="AT87" i="6"/>
  <c r="AU87" i="6"/>
  <c r="AV87" i="6"/>
  <c r="AW87" i="6"/>
  <c r="AX87" i="6"/>
  <c r="AY87" i="6"/>
  <c r="AZ87" i="6"/>
  <c r="BA87" i="6"/>
  <c r="BB87" i="6"/>
  <c r="BC87" i="6"/>
  <c r="BD87" i="6"/>
  <c r="BE87" i="6"/>
  <c r="AH166" i="6"/>
  <c r="AI166" i="6"/>
  <c r="AJ166" i="6"/>
  <c r="AK166" i="6"/>
  <c r="AL166" i="6"/>
  <c r="AM166" i="6"/>
  <c r="AN166" i="6"/>
  <c r="AO166" i="6"/>
  <c r="AP166" i="6"/>
  <c r="AQ166" i="6"/>
  <c r="AR166" i="6"/>
  <c r="AS166" i="6"/>
  <c r="AT166" i="6"/>
  <c r="AU166" i="6"/>
  <c r="AV166" i="6"/>
  <c r="AW166" i="6"/>
  <c r="AX166" i="6"/>
  <c r="AY166" i="6"/>
  <c r="AZ166" i="6"/>
  <c r="BA166" i="6"/>
  <c r="BB166" i="6"/>
  <c r="BC166" i="6"/>
  <c r="BD166" i="6"/>
  <c r="BE166" i="6"/>
  <c r="AH168" i="6"/>
  <c r="AI168" i="6"/>
  <c r="AJ168" i="6"/>
  <c r="AK168" i="6"/>
  <c r="AL168" i="6"/>
  <c r="AM168" i="6"/>
  <c r="AN168" i="6"/>
  <c r="AO168" i="6"/>
  <c r="AP168" i="6"/>
  <c r="AQ168" i="6"/>
  <c r="AR168" i="6"/>
  <c r="AS168" i="6"/>
  <c r="AT168" i="6"/>
  <c r="AU168" i="6"/>
  <c r="AV168" i="6"/>
  <c r="AW168" i="6"/>
  <c r="AX168" i="6"/>
  <c r="AY168" i="6"/>
  <c r="AZ168" i="6"/>
  <c r="BA168" i="6"/>
  <c r="BB168" i="6"/>
  <c r="BC168" i="6"/>
  <c r="BD168" i="6"/>
  <c r="BE168" i="6"/>
  <c r="AH169" i="6"/>
  <c r="AI169" i="6"/>
  <c r="AJ169" i="6"/>
  <c r="AK169" i="6"/>
  <c r="AL169" i="6"/>
  <c r="AM169" i="6"/>
  <c r="AN169" i="6"/>
  <c r="AO169" i="6"/>
  <c r="AP169" i="6"/>
  <c r="AQ169" i="6"/>
  <c r="AR169" i="6"/>
  <c r="AS169" i="6"/>
  <c r="AT169" i="6"/>
  <c r="AU169" i="6"/>
  <c r="AV169" i="6"/>
  <c r="AW169" i="6"/>
  <c r="AX169" i="6"/>
  <c r="AY169" i="6"/>
  <c r="AZ169" i="6"/>
  <c r="BA169" i="6"/>
  <c r="BB169" i="6"/>
  <c r="BC169" i="6"/>
  <c r="BD169" i="6"/>
  <c r="BE169" i="6"/>
  <c r="AH170" i="6"/>
  <c r="AI170" i="6"/>
  <c r="AJ170" i="6"/>
  <c r="AK170" i="6"/>
  <c r="AL170" i="6"/>
  <c r="AM170" i="6"/>
  <c r="AN170" i="6"/>
  <c r="AO170" i="6"/>
  <c r="AP170" i="6"/>
  <c r="AQ170" i="6"/>
  <c r="AR170" i="6"/>
  <c r="AS170" i="6"/>
  <c r="AT170" i="6"/>
  <c r="AU170" i="6"/>
  <c r="AV170" i="6"/>
  <c r="AW170" i="6"/>
  <c r="AX170" i="6"/>
  <c r="AY170" i="6"/>
  <c r="AZ170" i="6"/>
  <c r="BA170" i="6"/>
  <c r="BB170" i="6"/>
  <c r="BC170" i="6"/>
  <c r="BD170" i="6"/>
  <c r="BE170" i="6"/>
  <c r="AH171" i="6"/>
  <c r="AI171" i="6"/>
  <c r="AJ171" i="6"/>
  <c r="AK171" i="6"/>
  <c r="AL171" i="6"/>
  <c r="AM171" i="6"/>
  <c r="AN171" i="6"/>
  <c r="AO171" i="6"/>
  <c r="AP171" i="6"/>
  <c r="AQ171" i="6"/>
  <c r="AR171" i="6"/>
  <c r="AS171" i="6"/>
  <c r="AT171" i="6"/>
  <c r="AU171" i="6"/>
  <c r="AV171" i="6"/>
  <c r="AW171" i="6"/>
  <c r="AX171" i="6"/>
  <c r="AY171" i="6"/>
  <c r="AZ171" i="6"/>
  <c r="BA171" i="6"/>
  <c r="BB171" i="6"/>
  <c r="BC171" i="6"/>
  <c r="BD171" i="6"/>
  <c r="BE171" i="6"/>
  <c r="AH172" i="6"/>
  <c r="AI172" i="6"/>
  <c r="AJ172" i="6"/>
  <c r="AK172" i="6"/>
  <c r="AL172" i="6"/>
  <c r="AM172" i="6"/>
  <c r="AN172" i="6"/>
  <c r="AO172" i="6"/>
  <c r="AP172" i="6"/>
  <c r="AQ172" i="6"/>
  <c r="AR172" i="6"/>
  <c r="AS172" i="6"/>
  <c r="AT172" i="6"/>
  <c r="AU172" i="6"/>
  <c r="AV172" i="6"/>
  <c r="AW172" i="6"/>
  <c r="AX172" i="6"/>
  <c r="AY172" i="6"/>
  <c r="AZ172" i="6"/>
  <c r="BA172" i="6"/>
  <c r="BB172" i="6"/>
  <c r="BC172" i="6"/>
  <c r="BD172" i="6"/>
  <c r="BE172" i="6"/>
  <c r="AH173" i="6"/>
  <c r="AI173" i="6"/>
  <c r="AJ173" i="6"/>
  <c r="AK173" i="6"/>
  <c r="AL173" i="6"/>
  <c r="AM173" i="6"/>
  <c r="AN173" i="6"/>
  <c r="AO173" i="6"/>
  <c r="AP173" i="6"/>
  <c r="AQ173" i="6"/>
  <c r="AR173" i="6"/>
  <c r="AS173" i="6"/>
  <c r="AT173" i="6"/>
  <c r="AU173" i="6"/>
  <c r="AV173" i="6"/>
  <c r="AW173" i="6"/>
  <c r="AX173" i="6"/>
  <c r="AY173" i="6"/>
  <c r="AZ173" i="6"/>
  <c r="BA173" i="6"/>
  <c r="BB173" i="6"/>
  <c r="BC173" i="6"/>
  <c r="BD173" i="6"/>
  <c r="BE173" i="6"/>
  <c r="AH181" i="6"/>
  <c r="AI181" i="6"/>
  <c r="AJ181" i="6"/>
  <c r="AK181" i="6"/>
  <c r="AL181" i="6"/>
  <c r="AM181" i="6"/>
  <c r="AN181" i="6"/>
  <c r="AO181" i="6"/>
  <c r="AP181" i="6"/>
  <c r="AQ181" i="6"/>
  <c r="AR181" i="6"/>
  <c r="AS181" i="6"/>
  <c r="AT181" i="6"/>
  <c r="AU181" i="6"/>
  <c r="AV181" i="6"/>
  <c r="AW181" i="6"/>
  <c r="AX181" i="6"/>
  <c r="AY181" i="6"/>
  <c r="AZ181" i="6"/>
  <c r="BA181" i="6"/>
  <c r="BB181" i="6"/>
  <c r="BC181" i="6"/>
  <c r="BD181" i="6"/>
  <c r="BE181" i="6"/>
  <c r="AH182" i="6"/>
  <c r="AI182" i="6"/>
  <c r="AJ182" i="6"/>
  <c r="AK182" i="6"/>
  <c r="AL182" i="6"/>
  <c r="AM182" i="6"/>
  <c r="AN182" i="6"/>
  <c r="AO182" i="6"/>
  <c r="AP182" i="6"/>
  <c r="AQ182" i="6"/>
  <c r="AR182" i="6"/>
  <c r="AS182" i="6"/>
  <c r="AT182" i="6"/>
  <c r="AU182" i="6"/>
  <c r="AV182" i="6"/>
  <c r="AW182" i="6"/>
  <c r="AX182" i="6"/>
  <c r="AY182" i="6"/>
  <c r="AZ182" i="6"/>
  <c r="BA182" i="6"/>
  <c r="BB182" i="6"/>
  <c r="BC182" i="6"/>
  <c r="BD182" i="6"/>
  <c r="BE182" i="6"/>
  <c r="AH183" i="6"/>
  <c r="AI183" i="6"/>
  <c r="AJ183" i="6"/>
  <c r="AK183" i="6"/>
  <c r="AL183" i="6"/>
  <c r="AM183" i="6"/>
  <c r="AN183" i="6"/>
  <c r="AO183" i="6"/>
  <c r="AP183" i="6"/>
  <c r="AQ183" i="6"/>
  <c r="AR183" i="6"/>
  <c r="AS183" i="6"/>
  <c r="AT183" i="6"/>
  <c r="AU183" i="6"/>
  <c r="AV183" i="6"/>
  <c r="AW183" i="6"/>
  <c r="AX183" i="6"/>
  <c r="AY183" i="6"/>
  <c r="AZ183" i="6"/>
  <c r="BA183" i="6"/>
  <c r="BB183" i="6"/>
  <c r="BC183" i="6"/>
  <c r="BD183" i="6"/>
  <c r="BE183" i="6"/>
  <c r="AH184" i="6"/>
  <c r="AI184" i="6"/>
  <c r="AJ184" i="6"/>
  <c r="AK184" i="6"/>
  <c r="AL184" i="6"/>
  <c r="AM184" i="6"/>
  <c r="AN184" i="6"/>
  <c r="AO184" i="6"/>
  <c r="AP184" i="6"/>
  <c r="AQ184" i="6"/>
  <c r="AR184" i="6"/>
  <c r="AS184" i="6"/>
  <c r="AT184" i="6"/>
  <c r="AU184" i="6"/>
  <c r="AV184" i="6"/>
  <c r="AW184" i="6"/>
  <c r="AX184" i="6"/>
  <c r="AY184" i="6"/>
  <c r="AZ184" i="6"/>
  <c r="BA184" i="6"/>
  <c r="BB184" i="6"/>
  <c r="BC184" i="6"/>
  <c r="BD184" i="6"/>
  <c r="BE184" i="6"/>
  <c r="AH185" i="6"/>
  <c r="AI185" i="6"/>
  <c r="AJ185" i="6"/>
  <c r="AK185" i="6"/>
  <c r="AL185" i="6"/>
  <c r="AM185" i="6"/>
  <c r="AN185" i="6"/>
  <c r="AO185" i="6"/>
  <c r="AP185" i="6"/>
  <c r="AQ185" i="6"/>
  <c r="AR185" i="6"/>
  <c r="AS185" i="6"/>
  <c r="AT185" i="6"/>
  <c r="AU185" i="6"/>
  <c r="AV185" i="6"/>
  <c r="AW185" i="6"/>
  <c r="AX185" i="6"/>
  <c r="AY185" i="6"/>
  <c r="AZ185" i="6"/>
  <c r="BA185" i="6"/>
  <c r="BB185" i="6"/>
  <c r="BC185" i="6"/>
  <c r="BD185" i="6"/>
  <c r="BE185" i="6"/>
  <c r="AH186" i="6"/>
  <c r="AI186" i="6"/>
  <c r="AJ186" i="6"/>
  <c r="AK186" i="6"/>
  <c r="AL186" i="6"/>
  <c r="AM186" i="6"/>
  <c r="AN186" i="6"/>
  <c r="AO186" i="6"/>
  <c r="AP186" i="6"/>
  <c r="AQ186" i="6"/>
  <c r="AR186" i="6"/>
  <c r="AS186" i="6"/>
  <c r="AT186" i="6"/>
  <c r="AU186" i="6"/>
  <c r="AV186" i="6"/>
  <c r="AW186" i="6"/>
  <c r="AX186" i="6"/>
  <c r="AY186" i="6"/>
  <c r="AZ186" i="6"/>
  <c r="BA186" i="6"/>
  <c r="BB186" i="6"/>
  <c r="BC186" i="6"/>
  <c r="BD186" i="6"/>
  <c r="BE186" i="6"/>
  <c r="AH187" i="6"/>
  <c r="AI187" i="6"/>
  <c r="AJ187" i="6"/>
  <c r="AK187" i="6"/>
  <c r="AL187" i="6"/>
  <c r="AM187" i="6"/>
  <c r="AN187" i="6"/>
  <c r="AO187" i="6"/>
  <c r="AP187" i="6"/>
  <c r="AQ187" i="6"/>
  <c r="AR187" i="6"/>
  <c r="AS187" i="6"/>
  <c r="AT187" i="6"/>
  <c r="AU187" i="6"/>
  <c r="AV187" i="6"/>
  <c r="AW187" i="6"/>
  <c r="AX187" i="6"/>
  <c r="AY187" i="6"/>
  <c r="AZ187" i="6"/>
  <c r="BA187" i="6"/>
  <c r="BB187" i="6"/>
  <c r="BC187" i="6"/>
  <c r="BD187" i="6"/>
  <c r="BE187" i="6"/>
  <c r="AH188" i="6"/>
  <c r="AI188" i="6"/>
  <c r="AJ188" i="6"/>
  <c r="AK188" i="6"/>
  <c r="AL188" i="6"/>
  <c r="AM188" i="6"/>
  <c r="AN188" i="6"/>
  <c r="AO188" i="6"/>
  <c r="AP188" i="6"/>
  <c r="AQ188" i="6"/>
  <c r="AR188" i="6"/>
  <c r="AS188" i="6"/>
  <c r="AT188" i="6"/>
  <c r="AU188" i="6"/>
  <c r="AV188" i="6"/>
  <c r="AW188" i="6"/>
  <c r="AX188" i="6"/>
  <c r="AY188" i="6"/>
  <c r="AZ188" i="6"/>
  <c r="BA188" i="6"/>
  <c r="BB188" i="6"/>
  <c r="BC188" i="6"/>
  <c r="BD188" i="6"/>
  <c r="BE188" i="6"/>
  <c r="AH189" i="6"/>
  <c r="AI189" i="6"/>
  <c r="AJ189" i="6"/>
  <c r="AK189" i="6"/>
  <c r="AL189" i="6"/>
  <c r="AM189" i="6"/>
  <c r="AN189" i="6"/>
  <c r="AO189" i="6"/>
  <c r="AP189" i="6"/>
  <c r="AQ189" i="6"/>
  <c r="AR189" i="6"/>
  <c r="AS189" i="6"/>
  <c r="AT189" i="6"/>
  <c r="AU189" i="6"/>
  <c r="AV189" i="6"/>
  <c r="AW189" i="6"/>
  <c r="AX189" i="6"/>
  <c r="AY189" i="6"/>
  <c r="AZ189" i="6"/>
  <c r="BA189" i="6"/>
  <c r="BB189" i="6"/>
  <c r="BC189" i="6"/>
  <c r="BD189" i="6"/>
  <c r="BE189" i="6"/>
  <c r="AH190" i="6"/>
  <c r="AI190" i="6"/>
  <c r="AJ190" i="6"/>
  <c r="AK190" i="6"/>
  <c r="AL190" i="6"/>
  <c r="AM190" i="6"/>
  <c r="AN190" i="6"/>
  <c r="AO190" i="6"/>
  <c r="AP190" i="6"/>
  <c r="AQ190" i="6"/>
  <c r="AR190" i="6"/>
  <c r="AS190" i="6"/>
  <c r="AT190" i="6"/>
  <c r="AU190" i="6"/>
  <c r="AV190" i="6"/>
  <c r="AW190" i="6"/>
  <c r="AX190" i="6"/>
  <c r="AY190" i="6"/>
  <c r="AZ190" i="6"/>
  <c r="BA190" i="6"/>
  <c r="BB190" i="6"/>
  <c r="BC190" i="6"/>
  <c r="BD190" i="6"/>
  <c r="BE190" i="6"/>
  <c r="AH191" i="6"/>
  <c r="AI191" i="6"/>
  <c r="AJ191" i="6"/>
  <c r="AK191" i="6"/>
  <c r="AL191" i="6"/>
  <c r="AM191" i="6"/>
  <c r="AN191" i="6"/>
  <c r="AO191" i="6"/>
  <c r="AP191" i="6"/>
  <c r="AQ191" i="6"/>
  <c r="AR191" i="6"/>
  <c r="AS191" i="6"/>
  <c r="AT191" i="6"/>
  <c r="AU191" i="6"/>
  <c r="AV191" i="6"/>
  <c r="AW191" i="6"/>
  <c r="AX191" i="6"/>
  <c r="AY191" i="6"/>
  <c r="AZ191" i="6"/>
  <c r="BA191" i="6"/>
  <c r="BB191" i="6"/>
  <c r="BC191" i="6"/>
  <c r="BD191" i="6"/>
  <c r="BE191" i="6"/>
  <c r="AH192" i="6"/>
  <c r="AI192" i="6"/>
  <c r="AJ192" i="6"/>
  <c r="AK192" i="6"/>
  <c r="AL192" i="6"/>
  <c r="AM192" i="6"/>
  <c r="AN192" i="6"/>
  <c r="AO192" i="6"/>
  <c r="AP192" i="6"/>
  <c r="AQ192" i="6"/>
  <c r="AR192" i="6"/>
  <c r="AS192" i="6"/>
  <c r="AT192" i="6"/>
  <c r="AU192" i="6"/>
  <c r="AV192" i="6"/>
  <c r="AW192" i="6"/>
  <c r="AX192" i="6"/>
  <c r="AY192" i="6"/>
  <c r="AZ192" i="6"/>
  <c r="BA192" i="6"/>
  <c r="BB192" i="6"/>
  <c r="BC192" i="6"/>
  <c r="BD192" i="6"/>
  <c r="BE192" i="6"/>
  <c r="AH193" i="6"/>
  <c r="AI193" i="6"/>
  <c r="AJ193" i="6"/>
  <c r="AK193" i="6"/>
  <c r="AL193" i="6"/>
  <c r="AM193" i="6"/>
  <c r="AN193" i="6"/>
  <c r="AO193" i="6"/>
  <c r="AP193" i="6"/>
  <c r="AQ193" i="6"/>
  <c r="AR193" i="6"/>
  <c r="AS193" i="6"/>
  <c r="AT193" i="6"/>
  <c r="AU193" i="6"/>
  <c r="AV193" i="6"/>
  <c r="AW193" i="6"/>
  <c r="AX193" i="6"/>
  <c r="AY193" i="6"/>
  <c r="AZ193" i="6"/>
  <c r="BA193" i="6"/>
  <c r="BB193" i="6"/>
  <c r="BC193" i="6"/>
  <c r="BD193" i="6"/>
  <c r="BE193" i="6"/>
  <c r="AH194" i="6"/>
  <c r="AI194" i="6"/>
  <c r="AJ194" i="6"/>
  <c r="AK194" i="6"/>
  <c r="AL194" i="6"/>
  <c r="AM194" i="6"/>
  <c r="AN194" i="6"/>
  <c r="AO194" i="6"/>
  <c r="AP194" i="6"/>
  <c r="AQ194" i="6"/>
  <c r="AR194" i="6"/>
  <c r="AS194" i="6"/>
  <c r="AT194" i="6"/>
  <c r="AU194" i="6"/>
  <c r="AV194" i="6"/>
  <c r="AW194" i="6"/>
  <c r="AX194" i="6"/>
  <c r="AY194" i="6"/>
  <c r="AZ194" i="6"/>
  <c r="BA194" i="6"/>
  <c r="BB194" i="6"/>
  <c r="BC194" i="6"/>
  <c r="BD194" i="6"/>
  <c r="BE194" i="6"/>
  <c r="AH195" i="6"/>
  <c r="AI195" i="6"/>
  <c r="AJ195" i="6"/>
  <c r="AK195" i="6"/>
  <c r="AL195" i="6"/>
  <c r="AM195" i="6"/>
  <c r="AN195" i="6"/>
  <c r="AO195" i="6"/>
  <c r="AP195" i="6"/>
  <c r="AQ195" i="6"/>
  <c r="AR195" i="6"/>
  <c r="AS195" i="6"/>
  <c r="AT195" i="6"/>
  <c r="AU195" i="6"/>
  <c r="AV195" i="6"/>
  <c r="AW195" i="6"/>
  <c r="AX195" i="6"/>
  <c r="AY195" i="6"/>
  <c r="AZ195" i="6"/>
  <c r="BA195" i="6"/>
  <c r="BB195" i="6"/>
  <c r="BC195" i="6"/>
  <c r="BD195" i="6"/>
  <c r="BE195" i="6"/>
  <c r="AH196" i="6"/>
  <c r="AI196" i="6"/>
  <c r="AJ196" i="6"/>
  <c r="AK196" i="6"/>
  <c r="AL196" i="6"/>
  <c r="AM196" i="6"/>
  <c r="AN196" i="6"/>
  <c r="AO196" i="6"/>
  <c r="AP196" i="6"/>
  <c r="AQ196" i="6"/>
  <c r="AR196" i="6"/>
  <c r="AS196" i="6"/>
  <c r="AT196" i="6"/>
  <c r="AU196" i="6"/>
  <c r="AV196" i="6"/>
  <c r="AW196" i="6"/>
  <c r="AX196" i="6"/>
  <c r="AY196" i="6"/>
  <c r="AZ196" i="6"/>
  <c r="BA196" i="6"/>
  <c r="BB196" i="6"/>
  <c r="BC196" i="6"/>
  <c r="BD196" i="6"/>
  <c r="BE196" i="6"/>
  <c r="D197" i="6"/>
  <c r="E197" i="6"/>
  <c r="C38" i="15" s="1"/>
  <c r="F197" i="6"/>
  <c r="D38" i="15" s="1"/>
  <c r="G197" i="6"/>
  <c r="H197" i="6"/>
  <c r="F38" i="15" s="1"/>
  <c r="I197" i="6"/>
  <c r="J197" i="6"/>
  <c r="H38" i="15" s="1"/>
  <c r="L197" i="6"/>
  <c r="J38" i="15" s="1"/>
  <c r="N197" i="6"/>
  <c r="L38" i="15" s="1"/>
  <c r="R197" i="6"/>
  <c r="P38" i="15" s="1"/>
  <c r="S197" i="6"/>
  <c r="Q38" i="15" s="1"/>
  <c r="U197" i="6"/>
  <c r="X197" i="6"/>
  <c r="V38" i="15" s="1"/>
  <c r="Z197" i="6"/>
  <c r="X38" i="15" s="1"/>
  <c r="AH199" i="6"/>
  <c r="AI199" i="6"/>
  <c r="AJ199" i="6"/>
  <c r="AK199" i="6"/>
  <c r="AL199" i="6"/>
  <c r="AM199" i="6"/>
  <c r="AN199" i="6"/>
  <c r="AO199" i="6"/>
  <c r="AP199" i="6"/>
  <c r="AQ199" i="6"/>
  <c r="AR199" i="6"/>
  <c r="AS199" i="6"/>
  <c r="AT199" i="6"/>
  <c r="AU199" i="6"/>
  <c r="AV199" i="6"/>
  <c r="AW199" i="6"/>
  <c r="AX199" i="6"/>
  <c r="AY199" i="6"/>
  <c r="AZ199" i="6"/>
  <c r="BA199" i="6"/>
  <c r="BB199" i="6"/>
  <c r="BC199" i="6"/>
  <c r="BD199" i="6"/>
  <c r="AH200" i="6"/>
  <c r="AI200" i="6"/>
  <c r="AJ200" i="6"/>
  <c r="AK200" i="6"/>
  <c r="AL200" i="6"/>
  <c r="AM200" i="6"/>
  <c r="AN200" i="6"/>
  <c r="AO200" i="6"/>
  <c r="AP200" i="6"/>
  <c r="AQ200" i="6"/>
  <c r="AR200" i="6"/>
  <c r="AS200" i="6"/>
  <c r="AT200" i="6"/>
  <c r="AU200" i="6"/>
  <c r="AV200" i="6"/>
  <c r="AW200" i="6"/>
  <c r="AX200" i="6"/>
  <c r="AY200" i="6"/>
  <c r="AZ200" i="6"/>
  <c r="BA200" i="6"/>
  <c r="BB200" i="6"/>
  <c r="BC200" i="6"/>
  <c r="BD200" i="6"/>
  <c r="AH201" i="6"/>
  <c r="AI201" i="6"/>
  <c r="AJ201" i="6"/>
  <c r="AK201" i="6"/>
  <c r="AL201" i="6"/>
  <c r="AM201" i="6"/>
  <c r="AN201" i="6"/>
  <c r="AO201" i="6"/>
  <c r="AP201" i="6"/>
  <c r="AQ201" i="6"/>
  <c r="AR201" i="6"/>
  <c r="AS201" i="6"/>
  <c r="AT201" i="6"/>
  <c r="AU201" i="6"/>
  <c r="AV201" i="6"/>
  <c r="AW201" i="6"/>
  <c r="AX201" i="6"/>
  <c r="AY201" i="6"/>
  <c r="AZ201" i="6"/>
  <c r="BA201" i="6"/>
  <c r="BB201" i="6"/>
  <c r="BC201" i="6"/>
  <c r="BD201" i="6"/>
  <c r="F53" i="5"/>
  <c r="D14" i="15" s="1"/>
  <c r="L53" i="5"/>
  <c r="G14" i="15" s="1"/>
  <c r="O53" i="5"/>
  <c r="J14" i="15" s="1"/>
  <c r="P53" i="5"/>
  <c r="K14" i="15" s="1"/>
  <c r="AG79" i="5"/>
  <c r="AD80" i="5"/>
  <c r="AE80" i="5"/>
  <c r="AF80" i="5" s="1"/>
  <c r="AG80" i="5" s="1"/>
  <c r="AH80" i="5"/>
  <c r="AI80" i="5"/>
  <c r="AJ80" i="5"/>
  <c r="AK80" i="5"/>
  <c r="AL80" i="5"/>
  <c r="AM80" i="5"/>
  <c r="AN80" i="5"/>
  <c r="AO80" i="5"/>
  <c r="AP80" i="5"/>
  <c r="AQ80" i="5"/>
  <c r="AR80" i="5"/>
  <c r="AS80" i="5"/>
  <c r="AT80" i="5"/>
  <c r="AU80" i="5"/>
  <c r="AV80" i="5"/>
  <c r="AW80" i="5"/>
  <c r="AX80" i="5"/>
  <c r="AY80" i="5"/>
  <c r="AZ80" i="5"/>
  <c r="BA80" i="5"/>
  <c r="BB80" i="5"/>
  <c r="BC80" i="5"/>
  <c r="BD80" i="5"/>
  <c r="AH81" i="5"/>
  <c r="AI81" i="5"/>
  <c r="AJ81" i="5"/>
  <c r="AK81" i="5"/>
  <c r="AL81" i="5"/>
  <c r="AM81" i="5"/>
  <c r="AN81" i="5"/>
  <c r="AO81" i="5"/>
  <c r="AP81" i="5"/>
  <c r="AQ81" i="5"/>
  <c r="AR81" i="5"/>
  <c r="AS81" i="5"/>
  <c r="AT81" i="5"/>
  <c r="AU81" i="5"/>
  <c r="AV81" i="5"/>
  <c r="AW81" i="5"/>
  <c r="AX81" i="5"/>
  <c r="AY81" i="5"/>
  <c r="AZ81" i="5"/>
  <c r="BA81" i="5"/>
  <c r="BB81" i="5"/>
  <c r="BC81" i="5"/>
  <c r="BD81" i="5"/>
  <c r="AH82" i="5"/>
  <c r="AI82" i="5"/>
  <c r="AJ82" i="5"/>
  <c r="AK82" i="5"/>
  <c r="AL82" i="5"/>
  <c r="AM82" i="5"/>
  <c r="AN82" i="5"/>
  <c r="AO82" i="5"/>
  <c r="AP82" i="5"/>
  <c r="AQ82" i="5"/>
  <c r="AR82" i="5"/>
  <c r="AS82" i="5"/>
  <c r="AT82" i="5"/>
  <c r="AU82" i="5"/>
  <c r="AV82" i="5"/>
  <c r="AW82" i="5"/>
  <c r="AX82" i="5"/>
  <c r="AY82" i="5"/>
  <c r="AZ82" i="5"/>
  <c r="BA82" i="5"/>
  <c r="BB82" i="5"/>
  <c r="BC82" i="5"/>
  <c r="BD82" i="5"/>
  <c r="BE82" i="5"/>
  <c r="AH83" i="5"/>
  <c r="AI83" i="5"/>
  <c r="AJ83" i="5"/>
  <c r="AK83" i="5"/>
  <c r="AL83" i="5"/>
  <c r="AM83" i="5"/>
  <c r="AN83" i="5"/>
  <c r="AO83" i="5"/>
  <c r="AP83" i="5"/>
  <c r="AQ83" i="5"/>
  <c r="AR83" i="5"/>
  <c r="AS83" i="5"/>
  <c r="AT83" i="5"/>
  <c r="AU83" i="5"/>
  <c r="AV83" i="5"/>
  <c r="AW83" i="5"/>
  <c r="AX83" i="5"/>
  <c r="AY83" i="5"/>
  <c r="AZ83" i="5"/>
  <c r="BA83" i="5"/>
  <c r="BB83" i="5"/>
  <c r="BC83" i="5"/>
  <c r="BD83" i="5"/>
  <c r="BE83" i="5"/>
  <c r="AH84" i="5"/>
  <c r="AI84" i="5"/>
  <c r="AJ84" i="5"/>
  <c r="AK84" i="5"/>
  <c r="AL84" i="5"/>
  <c r="AM84" i="5"/>
  <c r="AN84" i="5"/>
  <c r="AO84" i="5"/>
  <c r="AP84" i="5"/>
  <c r="AQ84" i="5"/>
  <c r="AR84" i="5"/>
  <c r="AS84" i="5"/>
  <c r="AT84" i="5"/>
  <c r="AU84" i="5"/>
  <c r="AV84" i="5"/>
  <c r="AW84" i="5"/>
  <c r="AX84" i="5"/>
  <c r="AY84" i="5"/>
  <c r="AZ84" i="5"/>
  <c r="BA84" i="5"/>
  <c r="BB84" i="5"/>
  <c r="BC84" i="5"/>
  <c r="BD84" i="5"/>
  <c r="BE84" i="5"/>
  <c r="AH85" i="5"/>
  <c r="AI85" i="5"/>
  <c r="AJ85" i="5"/>
  <c r="AK85" i="5"/>
  <c r="AL85" i="5"/>
  <c r="AM85" i="5"/>
  <c r="AN85" i="5"/>
  <c r="AO85" i="5"/>
  <c r="AP85" i="5"/>
  <c r="AQ85" i="5"/>
  <c r="AR85" i="5"/>
  <c r="AS85" i="5"/>
  <c r="AT85" i="5"/>
  <c r="AU85" i="5"/>
  <c r="AV85" i="5"/>
  <c r="AW85" i="5"/>
  <c r="AX85" i="5"/>
  <c r="AY85" i="5"/>
  <c r="AZ85" i="5"/>
  <c r="BA85" i="5"/>
  <c r="BB85" i="5"/>
  <c r="BC85" i="5"/>
  <c r="BD85" i="5"/>
  <c r="BE85" i="5"/>
  <c r="AH86" i="5"/>
  <c r="AI86" i="5"/>
  <c r="AJ86" i="5"/>
  <c r="AK86" i="5"/>
  <c r="AL86" i="5"/>
  <c r="AM86" i="5"/>
  <c r="AN86" i="5"/>
  <c r="AO86" i="5"/>
  <c r="AP86" i="5"/>
  <c r="AQ86" i="5"/>
  <c r="AR86" i="5"/>
  <c r="AS86" i="5"/>
  <c r="AT86" i="5"/>
  <c r="AU86" i="5"/>
  <c r="AV86" i="5"/>
  <c r="AW86" i="5"/>
  <c r="AX86" i="5"/>
  <c r="AY86" i="5"/>
  <c r="AZ86" i="5"/>
  <c r="BA86" i="5"/>
  <c r="BB86" i="5"/>
  <c r="BC86" i="5"/>
  <c r="BD86" i="5"/>
  <c r="BE86" i="5"/>
  <c r="AH87" i="5"/>
  <c r="AI87" i="5"/>
  <c r="AJ87" i="5"/>
  <c r="AK87" i="5"/>
  <c r="AL87" i="5"/>
  <c r="AM87" i="5"/>
  <c r="AN87" i="5"/>
  <c r="AO87" i="5"/>
  <c r="AP87" i="5"/>
  <c r="AQ87" i="5"/>
  <c r="AR87" i="5"/>
  <c r="AS87" i="5"/>
  <c r="AT87" i="5"/>
  <c r="AU87" i="5"/>
  <c r="AV87" i="5"/>
  <c r="AW87" i="5"/>
  <c r="AX87" i="5"/>
  <c r="AY87" i="5"/>
  <c r="AZ87" i="5"/>
  <c r="BA87" i="5"/>
  <c r="BB87" i="5"/>
  <c r="BC87" i="5"/>
  <c r="BD87" i="5"/>
  <c r="BE87" i="5"/>
  <c r="AH154" i="5"/>
  <c r="AI154" i="5"/>
  <c r="AJ154" i="5"/>
  <c r="AK154" i="5"/>
  <c r="AL154" i="5"/>
  <c r="AM154" i="5"/>
  <c r="AN154" i="5"/>
  <c r="AO154" i="5"/>
  <c r="AP154" i="5"/>
  <c r="AQ154" i="5"/>
  <c r="AR154" i="5"/>
  <c r="AS154" i="5"/>
  <c r="AT154" i="5"/>
  <c r="AU154" i="5"/>
  <c r="AV154" i="5"/>
  <c r="AW154" i="5"/>
  <c r="AX154" i="5"/>
  <c r="AY154" i="5"/>
  <c r="AZ154" i="5"/>
  <c r="BA154" i="5"/>
  <c r="BB154" i="5"/>
  <c r="BC154" i="5"/>
  <c r="BD154" i="5"/>
  <c r="BE154" i="5"/>
  <c r="AH155" i="5"/>
  <c r="AI155" i="5"/>
  <c r="AJ155" i="5"/>
  <c r="AK155" i="5"/>
  <c r="AL155" i="5"/>
  <c r="AM155" i="5"/>
  <c r="AN155" i="5"/>
  <c r="AO155" i="5"/>
  <c r="AP155" i="5"/>
  <c r="AQ155" i="5"/>
  <c r="AR155" i="5"/>
  <c r="AS155" i="5"/>
  <c r="AT155" i="5"/>
  <c r="AU155" i="5"/>
  <c r="AV155" i="5"/>
  <c r="AW155" i="5"/>
  <c r="AX155" i="5"/>
  <c r="AY155" i="5"/>
  <c r="AZ155" i="5"/>
  <c r="BA155" i="5"/>
  <c r="BB155" i="5"/>
  <c r="BC155" i="5"/>
  <c r="BD155" i="5"/>
  <c r="BE155" i="5"/>
  <c r="AH156" i="5"/>
  <c r="AI156" i="5"/>
  <c r="AJ156" i="5"/>
  <c r="AK156" i="5"/>
  <c r="AL156" i="5"/>
  <c r="AM156" i="5"/>
  <c r="AN156" i="5"/>
  <c r="AO156" i="5"/>
  <c r="AP156" i="5"/>
  <c r="AQ156" i="5"/>
  <c r="AR156" i="5"/>
  <c r="AS156" i="5"/>
  <c r="AT156" i="5"/>
  <c r="AU156" i="5"/>
  <c r="AV156" i="5"/>
  <c r="AW156" i="5"/>
  <c r="AX156" i="5"/>
  <c r="AY156" i="5"/>
  <c r="AZ156" i="5"/>
  <c r="BA156" i="5"/>
  <c r="BB156" i="5"/>
  <c r="BC156" i="5"/>
  <c r="BD156" i="5"/>
  <c r="BE156" i="5"/>
  <c r="AH157" i="5"/>
  <c r="AI157" i="5"/>
  <c r="AJ157" i="5"/>
  <c r="AK157" i="5"/>
  <c r="AL157" i="5"/>
  <c r="AM157" i="5"/>
  <c r="AN157" i="5"/>
  <c r="AO157" i="5"/>
  <c r="AP157" i="5"/>
  <c r="AQ157" i="5"/>
  <c r="AR157" i="5"/>
  <c r="AS157" i="5"/>
  <c r="AT157" i="5"/>
  <c r="AU157" i="5"/>
  <c r="AV157" i="5"/>
  <c r="AW157" i="5"/>
  <c r="AX157" i="5"/>
  <c r="AY157" i="5"/>
  <c r="AZ157" i="5"/>
  <c r="BA157" i="5"/>
  <c r="BB157" i="5"/>
  <c r="BC157" i="5"/>
  <c r="BD157" i="5"/>
  <c r="BE157" i="5"/>
  <c r="AH158" i="5"/>
  <c r="AI158" i="5"/>
  <c r="AJ158" i="5"/>
  <c r="AK158" i="5"/>
  <c r="AL158" i="5"/>
  <c r="AM158" i="5"/>
  <c r="AN158" i="5"/>
  <c r="AO158" i="5"/>
  <c r="AP158" i="5"/>
  <c r="AQ158" i="5"/>
  <c r="AR158" i="5"/>
  <c r="AS158" i="5"/>
  <c r="AT158" i="5"/>
  <c r="AU158" i="5"/>
  <c r="AV158" i="5"/>
  <c r="AW158" i="5"/>
  <c r="AX158" i="5"/>
  <c r="AY158" i="5"/>
  <c r="AZ158" i="5"/>
  <c r="BA158" i="5"/>
  <c r="BB158" i="5"/>
  <c r="BC158" i="5"/>
  <c r="BD158" i="5"/>
  <c r="BE158" i="5"/>
  <c r="AH176" i="5"/>
  <c r="AI176" i="5"/>
  <c r="AJ176" i="5"/>
  <c r="AK176" i="5"/>
  <c r="AL176" i="5"/>
  <c r="AM176" i="5"/>
  <c r="AN176" i="5"/>
  <c r="AO176" i="5"/>
  <c r="AP176" i="5"/>
  <c r="AQ176" i="5"/>
  <c r="AR176" i="5"/>
  <c r="AS176" i="5"/>
  <c r="AT176" i="5"/>
  <c r="AU176" i="5"/>
  <c r="AV176" i="5"/>
  <c r="AW176" i="5"/>
  <c r="AX176" i="5"/>
  <c r="AY176" i="5"/>
  <c r="AZ176" i="5"/>
  <c r="BA176" i="5"/>
  <c r="BB176" i="5"/>
  <c r="BC176" i="5"/>
  <c r="BD176" i="5"/>
  <c r="BE176" i="5"/>
  <c r="AH191" i="5"/>
  <c r="AI191" i="5"/>
  <c r="AJ191" i="5"/>
  <c r="AK191" i="5"/>
  <c r="AL191" i="5"/>
  <c r="AM191" i="5"/>
  <c r="AN191" i="5"/>
  <c r="AO191" i="5"/>
  <c r="AP191" i="5"/>
  <c r="AQ191" i="5"/>
  <c r="AR191" i="5"/>
  <c r="AS191" i="5"/>
  <c r="AT191" i="5"/>
  <c r="AU191" i="5"/>
  <c r="AV191" i="5"/>
  <c r="AW191" i="5"/>
  <c r="AX191" i="5"/>
  <c r="AY191" i="5"/>
  <c r="AZ191" i="5"/>
  <c r="BA191" i="5"/>
  <c r="BB191" i="5"/>
  <c r="BC191" i="5"/>
  <c r="BD191" i="5"/>
  <c r="BE191" i="5"/>
  <c r="AH192" i="5"/>
  <c r="AI192" i="5"/>
  <c r="AJ192" i="5"/>
  <c r="AK192" i="5"/>
  <c r="AL192" i="5"/>
  <c r="AM192" i="5"/>
  <c r="AN192" i="5"/>
  <c r="AO192" i="5"/>
  <c r="AP192" i="5"/>
  <c r="AQ192" i="5"/>
  <c r="AR192" i="5"/>
  <c r="AS192" i="5"/>
  <c r="AT192" i="5"/>
  <c r="AU192" i="5"/>
  <c r="AV192" i="5"/>
  <c r="AW192" i="5"/>
  <c r="AX192" i="5"/>
  <c r="AY192" i="5"/>
  <c r="AZ192" i="5"/>
  <c r="BA192" i="5"/>
  <c r="BB192" i="5"/>
  <c r="BC192" i="5"/>
  <c r="BD192" i="5"/>
  <c r="BE192" i="5"/>
  <c r="AH193" i="5"/>
  <c r="AI193" i="5"/>
  <c r="AJ193" i="5"/>
  <c r="AK193" i="5"/>
  <c r="AL193" i="5"/>
  <c r="AM193" i="5"/>
  <c r="AN193" i="5"/>
  <c r="AO193" i="5"/>
  <c r="AP193" i="5"/>
  <c r="AQ193" i="5"/>
  <c r="AR193" i="5"/>
  <c r="AS193" i="5"/>
  <c r="AT193" i="5"/>
  <c r="AU193" i="5"/>
  <c r="AV193" i="5"/>
  <c r="AW193" i="5"/>
  <c r="AX193" i="5"/>
  <c r="AY193" i="5"/>
  <c r="AZ193" i="5"/>
  <c r="BA193" i="5"/>
  <c r="BB193" i="5"/>
  <c r="BC193" i="5"/>
  <c r="BD193" i="5"/>
  <c r="BE193" i="5"/>
  <c r="AH194" i="5"/>
  <c r="AI194" i="5"/>
  <c r="AJ194" i="5"/>
  <c r="AK194" i="5"/>
  <c r="AL194" i="5"/>
  <c r="AM194" i="5"/>
  <c r="AN194" i="5"/>
  <c r="AO194" i="5"/>
  <c r="AP194" i="5"/>
  <c r="AQ194" i="5"/>
  <c r="AR194" i="5"/>
  <c r="AS194" i="5"/>
  <c r="AT194" i="5"/>
  <c r="AU194" i="5"/>
  <c r="AV194" i="5"/>
  <c r="AW194" i="5"/>
  <c r="AX194" i="5"/>
  <c r="AY194" i="5"/>
  <c r="AZ194" i="5"/>
  <c r="BA194" i="5"/>
  <c r="BB194" i="5"/>
  <c r="BC194" i="5"/>
  <c r="BD194" i="5"/>
  <c r="BE194" i="5"/>
  <c r="AH195" i="5"/>
  <c r="AI195" i="5"/>
  <c r="AJ195" i="5"/>
  <c r="AK195" i="5"/>
  <c r="AL195" i="5"/>
  <c r="AM195" i="5"/>
  <c r="AN195" i="5"/>
  <c r="AO195" i="5"/>
  <c r="AP195" i="5"/>
  <c r="AQ195" i="5"/>
  <c r="AR195" i="5"/>
  <c r="AS195" i="5"/>
  <c r="AT195" i="5"/>
  <c r="AU195" i="5"/>
  <c r="AV195" i="5"/>
  <c r="AW195" i="5"/>
  <c r="AX195" i="5"/>
  <c r="AY195" i="5"/>
  <c r="AZ195" i="5"/>
  <c r="BA195" i="5"/>
  <c r="BB195" i="5"/>
  <c r="BC195" i="5"/>
  <c r="BD195" i="5"/>
  <c r="BE195" i="5"/>
  <c r="AH196" i="5"/>
  <c r="AI196" i="5"/>
  <c r="AJ196" i="5"/>
  <c r="AK196" i="5"/>
  <c r="AL196" i="5"/>
  <c r="AM196" i="5"/>
  <c r="AN196" i="5"/>
  <c r="AO196" i="5"/>
  <c r="AP196" i="5"/>
  <c r="AQ196" i="5"/>
  <c r="AR196" i="5"/>
  <c r="AS196" i="5"/>
  <c r="AT196" i="5"/>
  <c r="AU196" i="5"/>
  <c r="AV196" i="5"/>
  <c r="AW196" i="5"/>
  <c r="AX196" i="5"/>
  <c r="AY196" i="5"/>
  <c r="AZ196" i="5"/>
  <c r="BA196" i="5"/>
  <c r="BB196" i="5"/>
  <c r="BC196" i="5"/>
  <c r="BD196" i="5"/>
  <c r="BE196" i="5"/>
  <c r="D197" i="5"/>
  <c r="E197" i="5"/>
  <c r="I197" i="5"/>
  <c r="G37" i="15" s="1"/>
  <c r="G197" i="5"/>
  <c r="F197" i="5"/>
  <c r="D37" i="15" s="1"/>
  <c r="H197" i="5"/>
  <c r="F37" i="15" s="1"/>
  <c r="J197" i="5"/>
  <c r="H37" i="15" s="1"/>
  <c r="L197" i="5"/>
  <c r="N197" i="5"/>
  <c r="L37" i="15" s="1"/>
  <c r="R197" i="5"/>
  <c r="P37" i="15" s="1"/>
  <c r="S197" i="5"/>
  <c r="Q37" i="15" s="1"/>
  <c r="U197" i="5"/>
  <c r="S37" i="15" s="1"/>
  <c r="X197" i="5"/>
  <c r="V37" i="15" s="1"/>
  <c r="Z197" i="5"/>
  <c r="X37" i="15" s="1"/>
  <c r="AH199" i="5"/>
  <c r="AI199" i="5"/>
  <c r="AJ199" i="5"/>
  <c r="AK199" i="5"/>
  <c r="AL199" i="5"/>
  <c r="AM199" i="5"/>
  <c r="AN199" i="5"/>
  <c r="AO199" i="5"/>
  <c r="AP199" i="5"/>
  <c r="AQ199" i="5"/>
  <c r="AR199" i="5"/>
  <c r="AS199" i="5"/>
  <c r="AT199" i="5"/>
  <c r="AU199" i="5"/>
  <c r="AV199" i="5"/>
  <c r="AW199" i="5"/>
  <c r="AX199" i="5"/>
  <c r="AY199" i="5"/>
  <c r="AZ199" i="5"/>
  <c r="BA199" i="5"/>
  <c r="BB199" i="5"/>
  <c r="BC199" i="5"/>
  <c r="BD199" i="5"/>
  <c r="AH200" i="5"/>
  <c r="AI200" i="5"/>
  <c r="AJ200" i="5"/>
  <c r="AK200" i="5"/>
  <c r="AL200" i="5"/>
  <c r="AM200" i="5"/>
  <c r="AN200" i="5"/>
  <c r="AO200" i="5"/>
  <c r="AP200" i="5"/>
  <c r="AQ200" i="5"/>
  <c r="AR200" i="5"/>
  <c r="AS200" i="5"/>
  <c r="AT200" i="5"/>
  <c r="AU200" i="5"/>
  <c r="AV200" i="5"/>
  <c r="AW200" i="5"/>
  <c r="AX200" i="5"/>
  <c r="AY200" i="5"/>
  <c r="AZ200" i="5"/>
  <c r="BA200" i="5"/>
  <c r="BB200" i="5"/>
  <c r="BC200" i="5"/>
  <c r="BD200" i="5"/>
  <c r="AH201" i="5"/>
  <c r="AI201" i="5"/>
  <c r="AJ201" i="5"/>
  <c r="AK201" i="5"/>
  <c r="AL201" i="5"/>
  <c r="AM201" i="5"/>
  <c r="AN201" i="5"/>
  <c r="AO201" i="5"/>
  <c r="AP201" i="5"/>
  <c r="AQ201" i="5"/>
  <c r="AR201" i="5"/>
  <c r="AS201" i="5"/>
  <c r="AT201" i="5"/>
  <c r="AU201" i="5"/>
  <c r="AV201" i="5"/>
  <c r="AW201" i="5"/>
  <c r="AX201" i="5"/>
  <c r="AY201" i="5"/>
  <c r="AZ201" i="5"/>
  <c r="BA201" i="5"/>
  <c r="BB201" i="5"/>
  <c r="BC201" i="5"/>
  <c r="BD201" i="5"/>
  <c r="C4" i="4"/>
  <c r="F13" i="15" s="1"/>
  <c r="E12" i="4"/>
  <c r="E12" i="5" s="1"/>
  <c r="E12" i="6" s="1"/>
  <c r="E12" i="7" s="1"/>
  <c r="E12" i="8" s="1"/>
  <c r="E12" i="9" s="1"/>
  <c r="E12" i="10" s="1"/>
  <c r="E12" i="11" s="1"/>
  <c r="E12" i="12" s="1"/>
  <c r="E12" i="13" s="1"/>
  <c r="F53" i="4"/>
  <c r="E61" i="4" s="1"/>
  <c r="G61" i="4" s="1"/>
  <c r="L53" i="4"/>
  <c r="G13" i="15" s="1"/>
  <c r="AG79" i="4"/>
  <c r="AD80" i="4"/>
  <c r="AE80" i="4"/>
  <c r="AH80" i="4"/>
  <c r="AI80" i="4"/>
  <c r="AJ80" i="4"/>
  <c r="AK80" i="4"/>
  <c r="AL80" i="4"/>
  <c r="AM80" i="4"/>
  <c r="AN80" i="4"/>
  <c r="AO80" i="4"/>
  <c r="AP80" i="4"/>
  <c r="AQ80" i="4"/>
  <c r="AR80" i="4"/>
  <c r="AS80" i="4"/>
  <c r="AT80" i="4"/>
  <c r="AU80" i="4"/>
  <c r="AV80" i="4"/>
  <c r="AW80" i="4"/>
  <c r="AX80" i="4"/>
  <c r="AY80" i="4"/>
  <c r="AZ80" i="4"/>
  <c r="BA80" i="4"/>
  <c r="BB80" i="4"/>
  <c r="BC80" i="4"/>
  <c r="BD80" i="4"/>
  <c r="AH81" i="4"/>
  <c r="AI81" i="4"/>
  <c r="AJ81" i="4"/>
  <c r="AK81" i="4"/>
  <c r="AL81" i="4"/>
  <c r="AM81" i="4"/>
  <c r="AN81" i="4"/>
  <c r="AO81" i="4"/>
  <c r="AP81" i="4"/>
  <c r="AQ81" i="4"/>
  <c r="AR81" i="4"/>
  <c r="AS81" i="4"/>
  <c r="AT81" i="4"/>
  <c r="AU81" i="4"/>
  <c r="AV81" i="4"/>
  <c r="AW81" i="4"/>
  <c r="AX81" i="4"/>
  <c r="AY81" i="4"/>
  <c r="AZ81" i="4"/>
  <c r="BA81" i="4"/>
  <c r="BB81" i="4"/>
  <c r="BC81" i="4"/>
  <c r="BD81" i="4"/>
  <c r="AH82" i="4"/>
  <c r="AI82" i="4"/>
  <c r="AJ82" i="4"/>
  <c r="AK82" i="4"/>
  <c r="AL82" i="4"/>
  <c r="AM82" i="4"/>
  <c r="AN82" i="4"/>
  <c r="AO82" i="4"/>
  <c r="AP82" i="4"/>
  <c r="AQ82" i="4"/>
  <c r="AR82" i="4"/>
  <c r="AS82" i="4"/>
  <c r="AT82" i="4"/>
  <c r="AU82" i="4"/>
  <c r="AV82" i="4"/>
  <c r="AW82" i="4"/>
  <c r="AX82" i="4"/>
  <c r="AY82" i="4"/>
  <c r="AZ82" i="4"/>
  <c r="BA82" i="4"/>
  <c r="BB82" i="4"/>
  <c r="BC82" i="4"/>
  <c r="BD82" i="4"/>
  <c r="BE82" i="4"/>
  <c r="AH83" i="4"/>
  <c r="AI83" i="4"/>
  <c r="AJ83" i="4"/>
  <c r="AK83" i="4"/>
  <c r="AL83" i="4"/>
  <c r="AM83" i="4"/>
  <c r="AN83" i="4"/>
  <c r="AO83" i="4"/>
  <c r="AP83" i="4"/>
  <c r="AQ83" i="4"/>
  <c r="AR83" i="4"/>
  <c r="AS83" i="4"/>
  <c r="AT83" i="4"/>
  <c r="AU83" i="4"/>
  <c r="AV83" i="4"/>
  <c r="AW83" i="4"/>
  <c r="AX83" i="4"/>
  <c r="AY83" i="4"/>
  <c r="AZ83" i="4"/>
  <c r="BA83" i="4"/>
  <c r="BB83" i="4"/>
  <c r="BC83" i="4"/>
  <c r="BD83" i="4"/>
  <c r="BE83" i="4"/>
  <c r="AH84" i="4"/>
  <c r="AI84" i="4"/>
  <c r="AJ84" i="4"/>
  <c r="AK84" i="4"/>
  <c r="AL84" i="4"/>
  <c r="AM84" i="4"/>
  <c r="AN84" i="4"/>
  <c r="AO84" i="4"/>
  <c r="AP84" i="4"/>
  <c r="AQ84" i="4"/>
  <c r="AR84" i="4"/>
  <c r="AS84" i="4"/>
  <c r="AT84" i="4"/>
  <c r="AU84" i="4"/>
  <c r="AV84" i="4"/>
  <c r="AW84" i="4"/>
  <c r="AX84" i="4"/>
  <c r="AY84" i="4"/>
  <c r="AZ84" i="4"/>
  <c r="BA84" i="4"/>
  <c r="BB84" i="4"/>
  <c r="BC84" i="4"/>
  <c r="BD84" i="4"/>
  <c r="BE84" i="4"/>
  <c r="AH85" i="4"/>
  <c r="AI85" i="4"/>
  <c r="AJ85" i="4"/>
  <c r="AK85" i="4"/>
  <c r="AL85" i="4"/>
  <c r="AM85" i="4"/>
  <c r="AN85" i="4"/>
  <c r="AO85" i="4"/>
  <c r="AP85" i="4"/>
  <c r="AQ85" i="4"/>
  <c r="AR85" i="4"/>
  <c r="AS85" i="4"/>
  <c r="AT85" i="4"/>
  <c r="AU85" i="4"/>
  <c r="AV85" i="4"/>
  <c r="AW85" i="4"/>
  <c r="AX85" i="4"/>
  <c r="AY85" i="4"/>
  <c r="AZ85" i="4"/>
  <c r="BA85" i="4"/>
  <c r="BB85" i="4"/>
  <c r="BC85" i="4"/>
  <c r="BD85" i="4"/>
  <c r="BE85" i="4"/>
  <c r="AH86" i="4"/>
  <c r="AI86" i="4"/>
  <c r="AJ86" i="4"/>
  <c r="AK86" i="4"/>
  <c r="AL86" i="4"/>
  <c r="AM86" i="4"/>
  <c r="AN86" i="4"/>
  <c r="AO86" i="4"/>
  <c r="AP86" i="4"/>
  <c r="AQ86" i="4"/>
  <c r="AR86" i="4"/>
  <c r="AS86" i="4"/>
  <c r="AT86" i="4"/>
  <c r="AU86" i="4"/>
  <c r="AV86" i="4"/>
  <c r="AW86" i="4"/>
  <c r="AX86" i="4"/>
  <c r="AY86" i="4"/>
  <c r="AZ86" i="4"/>
  <c r="BA86" i="4"/>
  <c r="BB86" i="4"/>
  <c r="BC86" i="4"/>
  <c r="BD86" i="4"/>
  <c r="BE86" i="4"/>
  <c r="AH87" i="4"/>
  <c r="AI87" i="4"/>
  <c r="AJ87" i="4"/>
  <c r="AK87" i="4"/>
  <c r="AL87" i="4"/>
  <c r="AM87" i="4"/>
  <c r="AN87" i="4"/>
  <c r="AO87" i="4"/>
  <c r="AP87" i="4"/>
  <c r="AQ87" i="4"/>
  <c r="AR87" i="4"/>
  <c r="AS87" i="4"/>
  <c r="AT87" i="4"/>
  <c r="AU87" i="4"/>
  <c r="AV87" i="4"/>
  <c r="AW87" i="4"/>
  <c r="AX87" i="4"/>
  <c r="AY87" i="4"/>
  <c r="AZ87" i="4"/>
  <c r="BA87" i="4"/>
  <c r="BB87" i="4"/>
  <c r="BC87" i="4"/>
  <c r="BD87" i="4"/>
  <c r="BE87" i="4"/>
  <c r="AH88" i="4"/>
  <c r="AI88" i="4"/>
  <c r="AJ88" i="4"/>
  <c r="AK88" i="4"/>
  <c r="AL88" i="4"/>
  <c r="AM88" i="4"/>
  <c r="AN88" i="4"/>
  <c r="AO88" i="4"/>
  <c r="AP88" i="4"/>
  <c r="AQ88" i="4"/>
  <c r="AR88" i="4"/>
  <c r="AS88" i="4"/>
  <c r="AT88" i="4"/>
  <c r="AU88" i="4"/>
  <c r="AV88" i="4"/>
  <c r="AW88" i="4"/>
  <c r="AX88" i="4"/>
  <c r="AY88" i="4"/>
  <c r="AZ88" i="4"/>
  <c r="BA88" i="4"/>
  <c r="BB88" i="4"/>
  <c r="BC88" i="4"/>
  <c r="BD88" i="4"/>
  <c r="BE88" i="4"/>
  <c r="AH89" i="4"/>
  <c r="AI89" i="4"/>
  <c r="AJ89" i="4"/>
  <c r="AK89" i="4"/>
  <c r="AL89" i="4"/>
  <c r="AM89" i="4"/>
  <c r="AN89" i="4"/>
  <c r="AO89" i="4"/>
  <c r="AP89" i="4"/>
  <c r="AQ89" i="4"/>
  <c r="AR89" i="4"/>
  <c r="AS89" i="4"/>
  <c r="AT89" i="4"/>
  <c r="AU89" i="4"/>
  <c r="AV89" i="4"/>
  <c r="AW89" i="4"/>
  <c r="AX89" i="4"/>
  <c r="AY89" i="4"/>
  <c r="AZ89" i="4"/>
  <c r="BA89" i="4"/>
  <c r="BB89" i="4"/>
  <c r="BC89" i="4"/>
  <c r="BD89" i="4"/>
  <c r="BE89" i="4"/>
  <c r="AH90" i="4"/>
  <c r="AI90" i="4"/>
  <c r="AJ90" i="4"/>
  <c r="AK90" i="4"/>
  <c r="AL90" i="4"/>
  <c r="AM90" i="4"/>
  <c r="AN90" i="4"/>
  <c r="AO90" i="4"/>
  <c r="AP90" i="4"/>
  <c r="AQ90" i="4"/>
  <c r="AR90" i="4"/>
  <c r="AS90" i="4"/>
  <c r="AT90" i="4"/>
  <c r="AU90" i="4"/>
  <c r="AV90" i="4"/>
  <c r="AW90" i="4"/>
  <c r="AX90" i="4"/>
  <c r="AY90" i="4"/>
  <c r="AZ90" i="4"/>
  <c r="BA90" i="4"/>
  <c r="BB90" i="4"/>
  <c r="BC90" i="4"/>
  <c r="BD90" i="4"/>
  <c r="BE90" i="4"/>
  <c r="AH148" i="4"/>
  <c r="AI148" i="4"/>
  <c r="AJ148" i="4"/>
  <c r="AK148" i="4"/>
  <c r="AL148" i="4"/>
  <c r="AM148" i="4"/>
  <c r="AN148" i="4"/>
  <c r="AO148" i="4"/>
  <c r="AP148" i="4"/>
  <c r="AQ148" i="4"/>
  <c r="AR148" i="4"/>
  <c r="AS148" i="4"/>
  <c r="AT148" i="4"/>
  <c r="AU148" i="4"/>
  <c r="AV148" i="4"/>
  <c r="AW148" i="4"/>
  <c r="AX148" i="4"/>
  <c r="AY148" i="4"/>
  <c r="AZ148" i="4"/>
  <c r="BA148" i="4"/>
  <c r="BB148" i="4"/>
  <c r="BC148" i="4"/>
  <c r="BD148" i="4"/>
  <c r="BE148" i="4"/>
  <c r="AH177" i="4"/>
  <c r="AI177" i="4"/>
  <c r="AJ177" i="4"/>
  <c r="AK177" i="4"/>
  <c r="AL177" i="4"/>
  <c r="AM177" i="4"/>
  <c r="AN177" i="4"/>
  <c r="AO177" i="4"/>
  <c r="AP177" i="4"/>
  <c r="AQ177" i="4"/>
  <c r="AR177" i="4"/>
  <c r="AS177" i="4"/>
  <c r="AT177" i="4"/>
  <c r="AU177" i="4"/>
  <c r="AV177" i="4"/>
  <c r="AW177" i="4"/>
  <c r="AX177" i="4"/>
  <c r="AY177" i="4"/>
  <c r="AZ177" i="4"/>
  <c r="BA177" i="4"/>
  <c r="BB177" i="4"/>
  <c r="BC177" i="4"/>
  <c r="BD177" i="4"/>
  <c r="BE177" i="4"/>
  <c r="AH178" i="4"/>
  <c r="AI178" i="4"/>
  <c r="AJ178" i="4"/>
  <c r="AK178" i="4"/>
  <c r="AL178" i="4"/>
  <c r="AM178" i="4"/>
  <c r="AN178" i="4"/>
  <c r="AO178" i="4"/>
  <c r="AP178" i="4"/>
  <c r="AQ178" i="4"/>
  <c r="AR178" i="4"/>
  <c r="AS178" i="4"/>
  <c r="AT178" i="4"/>
  <c r="AU178" i="4"/>
  <c r="AV178" i="4"/>
  <c r="AW178" i="4"/>
  <c r="AX178" i="4"/>
  <c r="AY178" i="4"/>
  <c r="AZ178" i="4"/>
  <c r="BA178" i="4"/>
  <c r="BB178" i="4"/>
  <c r="BC178" i="4"/>
  <c r="BD178" i="4"/>
  <c r="BE178" i="4"/>
  <c r="AH179" i="4"/>
  <c r="AI179" i="4"/>
  <c r="AJ179" i="4"/>
  <c r="AK179" i="4"/>
  <c r="AL179" i="4"/>
  <c r="AM179" i="4"/>
  <c r="AN179" i="4"/>
  <c r="AO179" i="4"/>
  <c r="AP179" i="4"/>
  <c r="AQ179" i="4"/>
  <c r="AR179" i="4"/>
  <c r="AS179" i="4"/>
  <c r="AT179" i="4"/>
  <c r="AU179" i="4"/>
  <c r="AV179" i="4"/>
  <c r="AW179" i="4"/>
  <c r="AX179" i="4"/>
  <c r="AY179" i="4"/>
  <c r="AZ179" i="4"/>
  <c r="BA179" i="4"/>
  <c r="BB179" i="4"/>
  <c r="BC179" i="4"/>
  <c r="BD179" i="4"/>
  <c r="BE179" i="4"/>
  <c r="AH180" i="4"/>
  <c r="AI180" i="4"/>
  <c r="AJ180" i="4"/>
  <c r="AK180" i="4"/>
  <c r="AL180" i="4"/>
  <c r="AM180" i="4"/>
  <c r="AN180" i="4"/>
  <c r="AO180" i="4"/>
  <c r="AP180" i="4"/>
  <c r="AQ180" i="4"/>
  <c r="AR180" i="4"/>
  <c r="AS180" i="4"/>
  <c r="AT180" i="4"/>
  <c r="AU180" i="4"/>
  <c r="AV180" i="4"/>
  <c r="AW180" i="4"/>
  <c r="AX180" i="4"/>
  <c r="AY180" i="4"/>
  <c r="AZ180" i="4"/>
  <c r="BA180" i="4"/>
  <c r="BB180" i="4"/>
  <c r="BC180" i="4"/>
  <c r="BD180" i="4"/>
  <c r="BE180" i="4"/>
  <c r="AH181" i="4"/>
  <c r="AI181" i="4"/>
  <c r="AJ181" i="4"/>
  <c r="AK181" i="4"/>
  <c r="AL181" i="4"/>
  <c r="AM181" i="4"/>
  <c r="AN181" i="4"/>
  <c r="AO181" i="4"/>
  <c r="AP181" i="4"/>
  <c r="AQ181" i="4"/>
  <c r="AR181" i="4"/>
  <c r="AS181" i="4"/>
  <c r="AT181" i="4"/>
  <c r="AU181" i="4"/>
  <c r="AV181" i="4"/>
  <c r="AW181" i="4"/>
  <c r="AX181" i="4"/>
  <c r="AY181" i="4"/>
  <c r="AZ181" i="4"/>
  <c r="BA181" i="4"/>
  <c r="BB181" i="4"/>
  <c r="BC181" i="4"/>
  <c r="BD181" i="4"/>
  <c r="BE181" i="4"/>
  <c r="AH182" i="4"/>
  <c r="AI182" i="4"/>
  <c r="AJ182" i="4"/>
  <c r="AK182" i="4"/>
  <c r="AL182" i="4"/>
  <c r="AM182" i="4"/>
  <c r="AN182" i="4"/>
  <c r="AO182" i="4"/>
  <c r="AP182" i="4"/>
  <c r="AQ182" i="4"/>
  <c r="AR182" i="4"/>
  <c r="AS182" i="4"/>
  <c r="AT182" i="4"/>
  <c r="AU182" i="4"/>
  <c r="AV182" i="4"/>
  <c r="AW182" i="4"/>
  <c r="AX182" i="4"/>
  <c r="AY182" i="4"/>
  <c r="AZ182" i="4"/>
  <c r="BA182" i="4"/>
  <c r="BB182" i="4"/>
  <c r="BC182" i="4"/>
  <c r="BD182" i="4"/>
  <c r="BE182" i="4"/>
  <c r="AH183" i="4"/>
  <c r="AI183" i="4"/>
  <c r="AJ183" i="4"/>
  <c r="AK183" i="4"/>
  <c r="AL183" i="4"/>
  <c r="AM183" i="4"/>
  <c r="AN183" i="4"/>
  <c r="AO183" i="4"/>
  <c r="AP183" i="4"/>
  <c r="AQ183" i="4"/>
  <c r="AR183" i="4"/>
  <c r="AS183" i="4"/>
  <c r="AT183" i="4"/>
  <c r="AU183" i="4"/>
  <c r="AV183" i="4"/>
  <c r="AW183" i="4"/>
  <c r="AX183" i="4"/>
  <c r="AY183" i="4"/>
  <c r="AZ183" i="4"/>
  <c r="BA183" i="4"/>
  <c r="BB183" i="4"/>
  <c r="BC183" i="4"/>
  <c r="BD183" i="4"/>
  <c r="BE183" i="4"/>
  <c r="AH184" i="4"/>
  <c r="AI184" i="4"/>
  <c r="AJ184" i="4"/>
  <c r="AK184" i="4"/>
  <c r="AL184" i="4"/>
  <c r="AM184" i="4"/>
  <c r="AN184" i="4"/>
  <c r="AO184" i="4"/>
  <c r="AP184" i="4"/>
  <c r="AQ184" i="4"/>
  <c r="AR184" i="4"/>
  <c r="AS184" i="4"/>
  <c r="AT184" i="4"/>
  <c r="AU184" i="4"/>
  <c r="AV184" i="4"/>
  <c r="AW184" i="4"/>
  <c r="AX184" i="4"/>
  <c r="AY184" i="4"/>
  <c r="AZ184" i="4"/>
  <c r="BA184" i="4"/>
  <c r="BB184" i="4"/>
  <c r="BC184" i="4"/>
  <c r="BD184" i="4"/>
  <c r="BE184" i="4"/>
  <c r="AH185" i="4"/>
  <c r="AI185" i="4"/>
  <c r="AJ185" i="4"/>
  <c r="AK185" i="4"/>
  <c r="AL185" i="4"/>
  <c r="AM185" i="4"/>
  <c r="AN185" i="4"/>
  <c r="AO185" i="4"/>
  <c r="AP185" i="4"/>
  <c r="AQ185" i="4"/>
  <c r="AR185" i="4"/>
  <c r="AS185" i="4"/>
  <c r="AT185" i="4"/>
  <c r="AU185" i="4"/>
  <c r="AV185" i="4"/>
  <c r="AW185" i="4"/>
  <c r="AX185" i="4"/>
  <c r="AY185" i="4"/>
  <c r="AZ185" i="4"/>
  <c r="BA185" i="4"/>
  <c r="BB185" i="4"/>
  <c r="BC185" i="4"/>
  <c r="BD185" i="4"/>
  <c r="BE185" i="4"/>
  <c r="AH186" i="4"/>
  <c r="AI186" i="4"/>
  <c r="AJ186" i="4"/>
  <c r="AK186" i="4"/>
  <c r="AL186" i="4"/>
  <c r="AM186" i="4"/>
  <c r="AN186" i="4"/>
  <c r="AO186" i="4"/>
  <c r="AP186" i="4"/>
  <c r="AQ186" i="4"/>
  <c r="AR186" i="4"/>
  <c r="AS186" i="4"/>
  <c r="AT186" i="4"/>
  <c r="AU186" i="4"/>
  <c r="AV186" i="4"/>
  <c r="AW186" i="4"/>
  <c r="AX186" i="4"/>
  <c r="AY186" i="4"/>
  <c r="AZ186" i="4"/>
  <c r="BA186" i="4"/>
  <c r="BB186" i="4"/>
  <c r="BC186" i="4"/>
  <c r="BD186" i="4"/>
  <c r="BE186" i="4"/>
  <c r="AH187" i="4"/>
  <c r="AI187" i="4"/>
  <c r="AJ187" i="4"/>
  <c r="AK187" i="4"/>
  <c r="AL187" i="4"/>
  <c r="AM187" i="4"/>
  <c r="AN187" i="4"/>
  <c r="AO187" i="4"/>
  <c r="AP187" i="4"/>
  <c r="AQ187" i="4"/>
  <c r="AR187" i="4"/>
  <c r="AS187" i="4"/>
  <c r="AT187" i="4"/>
  <c r="AU187" i="4"/>
  <c r="AV187" i="4"/>
  <c r="AW187" i="4"/>
  <c r="AX187" i="4"/>
  <c r="AY187" i="4"/>
  <c r="AZ187" i="4"/>
  <c r="BA187" i="4"/>
  <c r="BB187" i="4"/>
  <c r="BC187" i="4"/>
  <c r="BD187" i="4"/>
  <c r="BE187" i="4"/>
  <c r="AH188" i="4"/>
  <c r="AI188" i="4"/>
  <c r="AJ188" i="4"/>
  <c r="AK188" i="4"/>
  <c r="AL188" i="4"/>
  <c r="AM188" i="4"/>
  <c r="AN188" i="4"/>
  <c r="AO188" i="4"/>
  <c r="AP188" i="4"/>
  <c r="AQ188" i="4"/>
  <c r="AR188" i="4"/>
  <c r="AS188" i="4"/>
  <c r="AT188" i="4"/>
  <c r="AU188" i="4"/>
  <c r="AV188" i="4"/>
  <c r="AW188" i="4"/>
  <c r="AX188" i="4"/>
  <c r="AY188" i="4"/>
  <c r="AZ188" i="4"/>
  <c r="BA188" i="4"/>
  <c r="BB188" i="4"/>
  <c r="BC188" i="4"/>
  <c r="BD188" i="4"/>
  <c r="BE188" i="4"/>
  <c r="AH189" i="4"/>
  <c r="AI189" i="4"/>
  <c r="AJ189" i="4"/>
  <c r="AK189" i="4"/>
  <c r="AL189" i="4"/>
  <c r="AM189" i="4"/>
  <c r="AN189" i="4"/>
  <c r="AO189" i="4"/>
  <c r="AP189" i="4"/>
  <c r="AQ189" i="4"/>
  <c r="AR189" i="4"/>
  <c r="AS189" i="4"/>
  <c r="AT189" i="4"/>
  <c r="AU189" i="4"/>
  <c r="AV189" i="4"/>
  <c r="AW189" i="4"/>
  <c r="AX189" i="4"/>
  <c r="AY189" i="4"/>
  <c r="AZ189" i="4"/>
  <c r="BA189" i="4"/>
  <c r="BB189" i="4"/>
  <c r="BC189" i="4"/>
  <c r="BD189" i="4"/>
  <c r="BE189" i="4"/>
  <c r="AH190" i="4"/>
  <c r="AI190" i="4"/>
  <c r="AJ190" i="4"/>
  <c r="AK190" i="4"/>
  <c r="AL190" i="4"/>
  <c r="AM190" i="4"/>
  <c r="AN190" i="4"/>
  <c r="AO190" i="4"/>
  <c r="AP190" i="4"/>
  <c r="AQ190" i="4"/>
  <c r="AR190" i="4"/>
  <c r="AS190" i="4"/>
  <c r="AT190" i="4"/>
  <c r="AU190" i="4"/>
  <c r="AV190" i="4"/>
  <c r="AW190" i="4"/>
  <c r="AX190" i="4"/>
  <c r="AY190" i="4"/>
  <c r="AZ190" i="4"/>
  <c r="BA190" i="4"/>
  <c r="BB190" i="4"/>
  <c r="BC190" i="4"/>
  <c r="BD190" i="4"/>
  <c r="BE190" i="4"/>
  <c r="AH191" i="4"/>
  <c r="AI191" i="4"/>
  <c r="AJ191" i="4"/>
  <c r="AK191" i="4"/>
  <c r="AL191" i="4"/>
  <c r="AM191" i="4"/>
  <c r="AN191" i="4"/>
  <c r="AO191" i="4"/>
  <c r="AP191" i="4"/>
  <c r="AQ191" i="4"/>
  <c r="AR191" i="4"/>
  <c r="AS191" i="4"/>
  <c r="AT191" i="4"/>
  <c r="AU191" i="4"/>
  <c r="AV191" i="4"/>
  <c r="AW191" i="4"/>
  <c r="AX191" i="4"/>
  <c r="AY191" i="4"/>
  <c r="AZ191" i="4"/>
  <c r="BA191" i="4"/>
  <c r="BB191" i="4"/>
  <c r="BC191" i="4"/>
  <c r="BD191" i="4"/>
  <c r="BE191" i="4"/>
  <c r="AH192" i="4"/>
  <c r="AI192" i="4"/>
  <c r="AJ192" i="4"/>
  <c r="AK192" i="4"/>
  <c r="AL192" i="4"/>
  <c r="AM192" i="4"/>
  <c r="AN192" i="4"/>
  <c r="AO192" i="4"/>
  <c r="AP192" i="4"/>
  <c r="AQ192" i="4"/>
  <c r="AR192" i="4"/>
  <c r="AS192" i="4"/>
  <c r="AT192" i="4"/>
  <c r="AU192" i="4"/>
  <c r="AV192" i="4"/>
  <c r="AW192" i="4"/>
  <c r="AX192" i="4"/>
  <c r="AY192" i="4"/>
  <c r="AZ192" i="4"/>
  <c r="BA192" i="4"/>
  <c r="BB192" i="4"/>
  <c r="BC192" i="4"/>
  <c r="BD192" i="4"/>
  <c r="BE192" i="4"/>
  <c r="AH193" i="4"/>
  <c r="AI193" i="4"/>
  <c r="AJ193" i="4"/>
  <c r="AK193" i="4"/>
  <c r="AL193" i="4"/>
  <c r="AM193" i="4"/>
  <c r="AN193" i="4"/>
  <c r="AO193" i="4"/>
  <c r="AP193" i="4"/>
  <c r="AQ193" i="4"/>
  <c r="AR193" i="4"/>
  <c r="AS193" i="4"/>
  <c r="AT193" i="4"/>
  <c r="AU193" i="4"/>
  <c r="AV193" i="4"/>
  <c r="AW193" i="4"/>
  <c r="AX193" i="4"/>
  <c r="AY193" i="4"/>
  <c r="AZ193" i="4"/>
  <c r="BA193" i="4"/>
  <c r="BB193" i="4"/>
  <c r="BC193" i="4"/>
  <c r="BD193" i="4"/>
  <c r="BE193" i="4"/>
  <c r="AH194" i="4"/>
  <c r="AI194" i="4"/>
  <c r="AJ194" i="4"/>
  <c r="AK194" i="4"/>
  <c r="AL194" i="4"/>
  <c r="AM194" i="4"/>
  <c r="AN194" i="4"/>
  <c r="AO194" i="4"/>
  <c r="AP194" i="4"/>
  <c r="AQ194" i="4"/>
  <c r="AR194" i="4"/>
  <c r="AS194" i="4"/>
  <c r="AT194" i="4"/>
  <c r="AU194" i="4"/>
  <c r="AV194" i="4"/>
  <c r="AW194" i="4"/>
  <c r="AX194" i="4"/>
  <c r="AY194" i="4"/>
  <c r="AZ194" i="4"/>
  <c r="BA194" i="4"/>
  <c r="BB194" i="4"/>
  <c r="BC194" i="4"/>
  <c r="BD194" i="4"/>
  <c r="BE194" i="4"/>
  <c r="AH196" i="4"/>
  <c r="AI196" i="4"/>
  <c r="AJ196" i="4"/>
  <c r="AK196" i="4"/>
  <c r="AL196" i="4"/>
  <c r="AM196" i="4"/>
  <c r="AN196" i="4"/>
  <c r="AO196" i="4"/>
  <c r="AP196" i="4"/>
  <c r="AQ196" i="4"/>
  <c r="AR196" i="4"/>
  <c r="AS196" i="4"/>
  <c r="AT196" i="4"/>
  <c r="AU196" i="4"/>
  <c r="AV196" i="4"/>
  <c r="AW196" i="4"/>
  <c r="AX196" i="4"/>
  <c r="AY196" i="4"/>
  <c r="AZ196" i="4"/>
  <c r="BA196" i="4"/>
  <c r="BB196" i="4"/>
  <c r="BC196" i="4"/>
  <c r="BD196" i="4"/>
  <c r="BE196" i="4"/>
  <c r="D197" i="4"/>
  <c r="E197" i="4"/>
  <c r="C36" i="15" s="1"/>
  <c r="G197" i="4"/>
  <c r="E36" i="15" s="1"/>
  <c r="F197" i="4"/>
  <c r="D36" i="15"/>
  <c r="H197" i="4"/>
  <c r="F36" i="15" s="1"/>
  <c r="I197" i="4"/>
  <c r="G36" i="15" s="1"/>
  <c r="J197" i="4"/>
  <c r="L197" i="4"/>
  <c r="J36" i="15" s="1"/>
  <c r="N197" i="4"/>
  <c r="L36" i="15" s="1"/>
  <c r="R197" i="4"/>
  <c r="P36" i="15" s="1"/>
  <c r="S197" i="4"/>
  <c r="Q36" i="15" s="1"/>
  <c r="U197" i="4"/>
  <c r="S36" i="15" s="1"/>
  <c r="X197" i="4"/>
  <c r="V36" i="15"/>
  <c r="Z197" i="4"/>
  <c r="X36" i="15" s="1"/>
  <c r="AH199" i="4"/>
  <c r="AI199" i="4"/>
  <c r="AJ199" i="4"/>
  <c r="AK199" i="4"/>
  <c r="AL199" i="4"/>
  <c r="AM199" i="4"/>
  <c r="AN199" i="4"/>
  <c r="AO199" i="4"/>
  <c r="AP199" i="4"/>
  <c r="AQ199" i="4"/>
  <c r="AR199" i="4"/>
  <c r="AS199" i="4"/>
  <c r="AT199" i="4"/>
  <c r="AU199" i="4"/>
  <c r="AV199" i="4"/>
  <c r="AW199" i="4"/>
  <c r="AX199" i="4"/>
  <c r="AY199" i="4"/>
  <c r="AZ199" i="4"/>
  <c r="BA199" i="4"/>
  <c r="BB199" i="4"/>
  <c r="BC199" i="4"/>
  <c r="BD199" i="4"/>
  <c r="AH200" i="4"/>
  <c r="AI200" i="4"/>
  <c r="AJ200" i="4"/>
  <c r="AK200" i="4"/>
  <c r="AL200" i="4"/>
  <c r="AM200" i="4"/>
  <c r="AN200" i="4"/>
  <c r="AO200" i="4"/>
  <c r="AP200" i="4"/>
  <c r="AQ200" i="4"/>
  <c r="AR200" i="4"/>
  <c r="AS200" i="4"/>
  <c r="AT200" i="4"/>
  <c r="AU200" i="4"/>
  <c r="AV200" i="4"/>
  <c r="AW200" i="4"/>
  <c r="AX200" i="4"/>
  <c r="AY200" i="4"/>
  <c r="AZ200" i="4"/>
  <c r="BA200" i="4"/>
  <c r="BB200" i="4"/>
  <c r="BC200" i="4"/>
  <c r="BD200" i="4"/>
  <c r="AH201" i="4"/>
  <c r="AI201" i="4"/>
  <c r="AJ201" i="4"/>
  <c r="AK201" i="4"/>
  <c r="AL201" i="4"/>
  <c r="AM201" i="4"/>
  <c r="AN201" i="4"/>
  <c r="AO201" i="4"/>
  <c r="AP201" i="4"/>
  <c r="AQ201" i="4"/>
  <c r="AR201" i="4"/>
  <c r="AS201" i="4"/>
  <c r="AT201" i="4"/>
  <c r="AU201" i="4"/>
  <c r="AV201" i="4"/>
  <c r="AW201" i="4"/>
  <c r="AX201" i="4"/>
  <c r="AY201" i="4"/>
  <c r="AZ201" i="4"/>
  <c r="BA201" i="4"/>
  <c r="BB201" i="4"/>
  <c r="BC201" i="4"/>
  <c r="BD201" i="4"/>
  <c r="B41" i="3"/>
  <c r="J12" i="15"/>
  <c r="M16" i="4"/>
  <c r="M54" i="4"/>
  <c r="N16" i="7"/>
  <c r="N54" i="7" s="1"/>
  <c r="N16" i="8" s="1"/>
  <c r="N54" i="8" s="1"/>
  <c r="N16" i="9" s="1"/>
  <c r="N54" i="9" s="1"/>
  <c r="N16" i="10" s="1"/>
  <c r="N54" i="10" s="1"/>
  <c r="N16" i="11" s="1"/>
  <c r="N54" i="11" s="1"/>
  <c r="N16" i="12" s="1"/>
  <c r="N54" i="12" s="1"/>
  <c r="N16" i="13" s="1"/>
  <c r="N54" i="13" s="1"/>
  <c r="N16" i="14" s="1"/>
  <c r="N54" i="14" s="1"/>
  <c r="O16" i="4"/>
  <c r="O54" i="4"/>
  <c r="O16" i="5"/>
  <c r="O54" i="5" s="1"/>
  <c r="O16" i="6" s="1"/>
  <c r="O54" i="6" s="1"/>
  <c r="O16" i="7" s="1"/>
  <c r="O54" i="7" s="1"/>
  <c r="O16" i="8" s="1"/>
  <c r="O54" i="8" s="1"/>
  <c r="O16" i="9" s="1"/>
  <c r="O54" i="9" s="1"/>
  <c r="O16" i="10" s="1"/>
  <c r="O54" i="10" s="1"/>
  <c r="O16" i="11" s="1"/>
  <c r="O54" i="11" s="1"/>
  <c r="O16" i="12" s="1"/>
  <c r="O54" i="12" s="1"/>
  <c r="O16" i="13" s="1"/>
  <c r="O54" i="13" s="1"/>
  <c r="O16" i="14" s="1"/>
  <c r="O54" i="14" s="1"/>
  <c r="P54" i="3"/>
  <c r="P16" i="4"/>
  <c r="P54" i="4" s="1"/>
  <c r="P16" i="5" s="1"/>
  <c r="P54" i="5" s="1"/>
  <c r="F79" i="3"/>
  <c r="AG79" i="3"/>
  <c r="AD80" i="3"/>
  <c r="AE80" i="3"/>
  <c r="AH80" i="3"/>
  <c r="AI80" i="3"/>
  <c r="AJ80" i="3"/>
  <c r="AK80" i="3"/>
  <c r="AL80" i="3"/>
  <c r="AM80" i="3"/>
  <c r="AN80" i="3"/>
  <c r="AO80" i="3"/>
  <c r="AP80" i="3"/>
  <c r="AQ80" i="3"/>
  <c r="AR80" i="3"/>
  <c r="AS80" i="3"/>
  <c r="AT80" i="3"/>
  <c r="AU80" i="3"/>
  <c r="AV80" i="3"/>
  <c r="AW80" i="3"/>
  <c r="AX80" i="3"/>
  <c r="AY80" i="3"/>
  <c r="AZ80" i="3"/>
  <c r="BA80" i="3"/>
  <c r="BB80" i="3"/>
  <c r="BC80" i="3"/>
  <c r="BD80" i="3"/>
  <c r="AH167" i="3"/>
  <c r="AI167" i="3"/>
  <c r="AJ167" i="3"/>
  <c r="AK167" i="3"/>
  <c r="AL167" i="3"/>
  <c r="AM167" i="3"/>
  <c r="AN167" i="3"/>
  <c r="AO167" i="3"/>
  <c r="AP167" i="3"/>
  <c r="AQ167" i="3"/>
  <c r="AR167" i="3"/>
  <c r="AS167" i="3"/>
  <c r="AT167" i="3"/>
  <c r="AU167" i="3"/>
  <c r="AV167" i="3"/>
  <c r="AW167" i="3"/>
  <c r="AX167" i="3"/>
  <c r="AY167" i="3"/>
  <c r="AZ167" i="3"/>
  <c r="BA167" i="3"/>
  <c r="BB167" i="3"/>
  <c r="BC167" i="3"/>
  <c r="BD167" i="3"/>
  <c r="AH168" i="3"/>
  <c r="AI168" i="3"/>
  <c r="AJ168" i="3"/>
  <c r="AK168" i="3"/>
  <c r="AL168" i="3"/>
  <c r="AM168" i="3"/>
  <c r="AN168" i="3"/>
  <c r="AO168" i="3"/>
  <c r="AP168" i="3"/>
  <c r="AQ168" i="3"/>
  <c r="AR168" i="3"/>
  <c r="AS168" i="3"/>
  <c r="AT168" i="3"/>
  <c r="AU168" i="3"/>
  <c r="AV168" i="3"/>
  <c r="AW168" i="3"/>
  <c r="AX168" i="3"/>
  <c r="AY168" i="3"/>
  <c r="AZ168" i="3"/>
  <c r="BA168" i="3"/>
  <c r="BB168" i="3"/>
  <c r="BC168" i="3"/>
  <c r="BD168" i="3"/>
  <c r="BE168" i="3"/>
  <c r="AH169" i="3"/>
  <c r="AI169" i="3"/>
  <c r="AJ169" i="3"/>
  <c r="AK169" i="3"/>
  <c r="AL169" i="3"/>
  <c r="AM169" i="3"/>
  <c r="AN169" i="3"/>
  <c r="AO169" i="3"/>
  <c r="AP169" i="3"/>
  <c r="AQ169" i="3"/>
  <c r="AR169" i="3"/>
  <c r="AS169" i="3"/>
  <c r="AT169" i="3"/>
  <c r="AU169" i="3"/>
  <c r="AV169" i="3"/>
  <c r="AW169" i="3"/>
  <c r="AX169" i="3"/>
  <c r="AY169" i="3"/>
  <c r="AZ169" i="3"/>
  <c r="BA169" i="3"/>
  <c r="BB169" i="3"/>
  <c r="BC169" i="3"/>
  <c r="BD169" i="3"/>
  <c r="BE169" i="3"/>
  <c r="AH170" i="3"/>
  <c r="AI170" i="3"/>
  <c r="AJ170" i="3"/>
  <c r="AK170" i="3"/>
  <c r="AL170" i="3"/>
  <c r="AM170" i="3"/>
  <c r="AN170" i="3"/>
  <c r="AO170" i="3"/>
  <c r="AP170" i="3"/>
  <c r="AQ170" i="3"/>
  <c r="AR170" i="3"/>
  <c r="AS170" i="3"/>
  <c r="AT170" i="3"/>
  <c r="AU170" i="3"/>
  <c r="AV170" i="3"/>
  <c r="AW170" i="3"/>
  <c r="AX170" i="3"/>
  <c r="AY170" i="3"/>
  <c r="AZ170" i="3"/>
  <c r="BA170" i="3"/>
  <c r="BB170" i="3"/>
  <c r="BC170" i="3"/>
  <c r="BD170" i="3"/>
  <c r="BE170" i="3"/>
  <c r="AH171" i="3"/>
  <c r="AI171" i="3"/>
  <c r="AJ171" i="3"/>
  <c r="AK171" i="3"/>
  <c r="AL171" i="3"/>
  <c r="AM171" i="3"/>
  <c r="AN171" i="3"/>
  <c r="AO171" i="3"/>
  <c r="AP171" i="3"/>
  <c r="AQ171" i="3"/>
  <c r="AR171" i="3"/>
  <c r="AS171" i="3"/>
  <c r="AT171" i="3"/>
  <c r="AU171" i="3"/>
  <c r="AV171" i="3"/>
  <c r="AW171" i="3"/>
  <c r="AX171" i="3"/>
  <c r="AY171" i="3"/>
  <c r="AZ171" i="3"/>
  <c r="BA171" i="3"/>
  <c r="BB171" i="3"/>
  <c r="BC171" i="3"/>
  <c r="BD171" i="3"/>
  <c r="BE171" i="3"/>
  <c r="AH172" i="3"/>
  <c r="AI172" i="3"/>
  <c r="AJ172" i="3"/>
  <c r="AK172" i="3"/>
  <c r="AL172" i="3"/>
  <c r="AM172" i="3"/>
  <c r="AN172" i="3"/>
  <c r="AO172" i="3"/>
  <c r="AP172" i="3"/>
  <c r="AQ172" i="3"/>
  <c r="AR172" i="3"/>
  <c r="AS172" i="3"/>
  <c r="AT172" i="3"/>
  <c r="AU172" i="3"/>
  <c r="AV172" i="3"/>
  <c r="AW172" i="3"/>
  <c r="AX172" i="3"/>
  <c r="AY172" i="3"/>
  <c r="AZ172" i="3"/>
  <c r="BA172" i="3"/>
  <c r="BB172" i="3"/>
  <c r="BC172" i="3"/>
  <c r="BD172" i="3"/>
  <c r="BE172" i="3"/>
  <c r="AH173" i="3"/>
  <c r="AI173" i="3"/>
  <c r="AJ173" i="3"/>
  <c r="AK173" i="3"/>
  <c r="AL173" i="3"/>
  <c r="AM173" i="3"/>
  <c r="AN173" i="3"/>
  <c r="AO173" i="3"/>
  <c r="AP173" i="3"/>
  <c r="AQ173" i="3"/>
  <c r="AR173" i="3"/>
  <c r="AS173" i="3"/>
  <c r="AT173" i="3"/>
  <c r="AU173" i="3"/>
  <c r="AV173" i="3"/>
  <c r="AW173" i="3"/>
  <c r="AX173" i="3"/>
  <c r="AY173" i="3"/>
  <c r="AZ173" i="3"/>
  <c r="BA173" i="3"/>
  <c r="BB173" i="3"/>
  <c r="BC173" i="3"/>
  <c r="BD173" i="3"/>
  <c r="BE173" i="3"/>
  <c r="AH174" i="3"/>
  <c r="AI174" i="3"/>
  <c r="AJ174" i="3"/>
  <c r="AK174" i="3"/>
  <c r="AL174" i="3"/>
  <c r="AM174" i="3"/>
  <c r="AN174" i="3"/>
  <c r="AO174" i="3"/>
  <c r="AP174" i="3"/>
  <c r="AQ174" i="3"/>
  <c r="AR174" i="3"/>
  <c r="AS174" i="3"/>
  <c r="AT174" i="3"/>
  <c r="AU174" i="3"/>
  <c r="AV174" i="3"/>
  <c r="AW174" i="3"/>
  <c r="AX174" i="3"/>
  <c r="AY174" i="3"/>
  <c r="AZ174" i="3"/>
  <c r="BA174" i="3"/>
  <c r="BB174" i="3"/>
  <c r="BC174" i="3"/>
  <c r="BD174" i="3"/>
  <c r="BE174" i="3"/>
  <c r="AH175" i="3"/>
  <c r="AI175" i="3"/>
  <c r="AJ175" i="3"/>
  <c r="AK175" i="3"/>
  <c r="AL175" i="3"/>
  <c r="AM175" i="3"/>
  <c r="AN175" i="3"/>
  <c r="AO175" i="3"/>
  <c r="AP175" i="3"/>
  <c r="AQ175" i="3"/>
  <c r="AR175" i="3"/>
  <c r="AS175" i="3"/>
  <c r="AT175" i="3"/>
  <c r="AU175" i="3"/>
  <c r="AV175" i="3"/>
  <c r="AW175" i="3"/>
  <c r="AX175" i="3"/>
  <c r="AY175" i="3"/>
  <c r="AZ175" i="3"/>
  <c r="BA175" i="3"/>
  <c r="BB175" i="3"/>
  <c r="BC175" i="3"/>
  <c r="BD175" i="3"/>
  <c r="BE175" i="3"/>
  <c r="AH176" i="3"/>
  <c r="AI176" i="3"/>
  <c r="AJ176" i="3"/>
  <c r="AK176" i="3"/>
  <c r="AL176" i="3"/>
  <c r="AM176" i="3"/>
  <c r="AN176" i="3"/>
  <c r="AO176" i="3"/>
  <c r="AP176" i="3"/>
  <c r="AQ176" i="3"/>
  <c r="AR176" i="3"/>
  <c r="AS176" i="3"/>
  <c r="AT176" i="3"/>
  <c r="AU176" i="3"/>
  <c r="AV176" i="3"/>
  <c r="AW176" i="3"/>
  <c r="AX176" i="3"/>
  <c r="AY176" i="3"/>
  <c r="AZ176" i="3"/>
  <c r="BA176" i="3"/>
  <c r="BB176" i="3"/>
  <c r="BC176" i="3"/>
  <c r="BD176" i="3"/>
  <c r="BE176" i="3"/>
  <c r="AH177" i="3"/>
  <c r="AI177" i="3"/>
  <c r="AJ177" i="3"/>
  <c r="AK177" i="3"/>
  <c r="AL177" i="3"/>
  <c r="AM177" i="3"/>
  <c r="AN177" i="3"/>
  <c r="AO177" i="3"/>
  <c r="AP177" i="3"/>
  <c r="AQ177" i="3"/>
  <c r="AR177" i="3"/>
  <c r="AS177" i="3"/>
  <c r="AT177" i="3"/>
  <c r="AU177" i="3"/>
  <c r="AV177" i="3"/>
  <c r="AW177" i="3"/>
  <c r="AX177" i="3"/>
  <c r="AY177" i="3"/>
  <c r="AZ177" i="3"/>
  <c r="BA177" i="3"/>
  <c r="BB177" i="3"/>
  <c r="BC177" i="3"/>
  <c r="BD177" i="3"/>
  <c r="BE177" i="3"/>
  <c r="AH178" i="3"/>
  <c r="AI178" i="3"/>
  <c r="AJ178" i="3"/>
  <c r="AK178" i="3"/>
  <c r="AL178" i="3"/>
  <c r="AM178" i="3"/>
  <c r="AN178" i="3"/>
  <c r="AO178" i="3"/>
  <c r="AP178" i="3"/>
  <c r="AQ178" i="3"/>
  <c r="AR178" i="3"/>
  <c r="AS178" i="3"/>
  <c r="AT178" i="3"/>
  <c r="AU178" i="3"/>
  <c r="AV178" i="3"/>
  <c r="AW178" i="3"/>
  <c r="AX178" i="3"/>
  <c r="AY178" i="3"/>
  <c r="AZ178" i="3"/>
  <c r="BA178" i="3"/>
  <c r="BB178" i="3"/>
  <c r="BC178" i="3"/>
  <c r="BD178" i="3"/>
  <c r="BE178" i="3"/>
  <c r="AH179" i="3"/>
  <c r="AI179" i="3"/>
  <c r="AJ179" i="3"/>
  <c r="AK179" i="3"/>
  <c r="AL179" i="3"/>
  <c r="AM179" i="3"/>
  <c r="AN179" i="3"/>
  <c r="AO179" i="3"/>
  <c r="AP179" i="3"/>
  <c r="AQ179" i="3"/>
  <c r="AR179" i="3"/>
  <c r="AS179" i="3"/>
  <c r="AT179" i="3"/>
  <c r="AU179" i="3"/>
  <c r="AV179" i="3"/>
  <c r="AW179" i="3"/>
  <c r="AX179" i="3"/>
  <c r="AY179" i="3"/>
  <c r="AZ179" i="3"/>
  <c r="BA179" i="3"/>
  <c r="BB179" i="3"/>
  <c r="BC179" i="3"/>
  <c r="BD179" i="3"/>
  <c r="BE179" i="3"/>
  <c r="AH180" i="3"/>
  <c r="AI180" i="3"/>
  <c r="AJ180" i="3"/>
  <c r="AK180" i="3"/>
  <c r="AL180" i="3"/>
  <c r="AM180" i="3"/>
  <c r="AN180" i="3"/>
  <c r="AO180" i="3"/>
  <c r="AP180" i="3"/>
  <c r="AQ180" i="3"/>
  <c r="AR180" i="3"/>
  <c r="AS180" i="3"/>
  <c r="AT180" i="3"/>
  <c r="AU180" i="3"/>
  <c r="AV180" i="3"/>
  <c r="AW180" i="3"/>
  <c r="AX180" i="3"/>
  <c r="AY180" i="3"/>
  <c r="AZ180" i="3"/>
  <c r="BA180" i="3"/>
  <c r="BB180" i="3"/>
  <c r="BC180" i="3"/>
  <c r="BD180" i="3"/>
  <c r="BE180" i="3"/>
  <c r="AH181" i="3"/>
  <c r="AI181" i="3"/>
  <c r="AJ181" i="3"/>
  <c r="AK181" i="3"/>
  <c r="AL181" i="3"/>
  <c r="AM181" i="3"/>
  <c r="AN181" i="3"/>
  <c r="AO181" i="3"/>
  <c r="AP181" i="3"/>
  <c r="AQ181" i="3"/>
  <c r="AR181" i="3"/>
  <c r="AS181" i="3"/>
  <c r="AT181" i="3"/>
  <c r="AU181" i="3"/>
  <c r="AV181" i="3"/>
  <c r="AW181" i="3"/>
  <c r="AX181" i="3"/>
  <c r="AY181" i="3"/>
  <c r="AZ181" i="3"/>
  <c r="BA181" i="3"/>
  <c r="BB181" i="3"/>
  <c r="BC181" i="3"/>
  <c r="BD181" i="3"/>
  <c r="BE181" i="3"/>
  <c r="AH182" i="3"/>
  <c r="AI182" i="3"/>
  <c r="AJ182" i="3"/>
  <c r="AK182" i="3"/>
  <c r="AL182" i="3"/>
  <c r="AM182" i="3"/>
  <c r="AN182" i="3"/>
  <c r="AO182" i="3"/>
  <c r="AP182" i="3"/>
  <c r="AQ182" i="3"/>
  <c r="AR182" i="3"/>
  <c r="AS182" i="3"/>
  <c r="AT182" i="3"/>
  <c r="AU182" i="3"/>
  <c r="AV182" i="3"/>
  <c r="AW182" i="3"/>
  <c r="AX182" i="3"/>
  <c r="AY182" i="3"/>
  <c r="AZ182" i="3"/>
  <c r="BA182" i="3"/>
  <c r="BB182" i="3"/>
  <c r="BC182" i="3"/>
  <c r="BD182" i="3"/>
  <c r="BE182" i="3"/>
  <c r="AH183" i="3"/>
  <c r="AI183" i="3"/>
  <c r="AJ183" i="3"/>
  <c r="AK183" i="3"/>
  <c r="AL183" i="3"/>
  <c r="AM183" i="3"/>
  <c r="AN183" i="3"/>
  <c r="AO183" i="3"/>
  <c r="AP183" i="3"/>
  <c r="AQ183" i="3"/>
  <c r="AR183" i="3"/>
  <c r="AS183" i="3"/>
  <c r="AT183" i="3"/>
  <c r="AU183" i="3"/>
  <c r="AV183" i="3"/>
  <c r="AW183" i="3"/>
  <c r="AX183" i="3"/>
  <c r="AY183" i="3"/>
  <c r="AZ183" i="3"/>
  <c r="BA183" i="3"/>
  <c r="BB183" i="3"/>
  <c r="BC183" i="3"/>
  <c r="BD183" i="3"/>
  <c r="BE183" i="3"/>
  <c r="AH184" i="3"/>
  <c r="AI184" i="3"/>
  <c r="AJ184" i="3"/>
  <c r="AK184" i="3"/>
  <c r="AL184" i="3"/>
  <c r="AM184" i="3"/>
  <c r="AN184" i="3"/>
  <c r="AO184" i="3"/>
  <c r="AP184" i="3"/>
  <c r="AQ184" i="3"/>
  <c r="AR184" i="3"/>
  <c r="AS184" i="3"/>
  <c r="AT184" i="3"/>
  <c r="AU184" i="3"/>
  <c r="AV184" i="3"/>
  <c r="AW184" i="3"/>
  <c r="AX184" i="3"/>
  <c r="AY184" i="3"/>
  <c r="AZ184" i="3"/>
  <c r="BA184" i="3"/>
  <c r="BB184" i="3"/>
  <c r="BC184" i="3"/>
  <c r="BD184" i="3"/>
  <c r="BE184" i="3"/>
  <c r="AH185" i="3"/>
  <c r="AI185" i="3"/>
  <c r="AJ185" i="3"/>
  <c r="AK185" i="3"/>
  <c r="AL185" i="3"/>
  <c r="AM185" i="3"/>
  <c r="AN185" i="3"/>
  <c r="AO185" i="3"/>
  <c r="AP185" i="3"/>
  <c r="AQ185" i="3"/>
  <c r="AR185" i="3"/>
  <c r="AS185" i="3"/>
  <c r="AT185" i="3"/>
  <c r="AU185" i="3"/>
  <c r="AV185" i="3"/>
  <c r="AW185" i="3"/>
  <c r="AX185" i="3"/>
  <c r="AY185" i="3"/>
  <c r="AZ185" i="3"/>
  <c r="BA185" i="3"/>
  <c r="BB185" i="3"/>
  <c r="BC185" i="3"/>
  <c r="BD185" i="3"/>
  <c r="BE185" i="3"/>
  <c r="AH186" i="3"/>
  <c r="AI186" i="3"/>
  <c r="AJ186" i="3"/>
  <c r="AK186" i="3"/>
  <c r="AL186" i="3"/>
  <c r="AM186" i="3"/>
  <c r="AN186" i="3"/>
  <c r="AO186" i="3"/>
  <c r="AP186" i="3"/>
  <c r="AQ186" i="3"/>
  <c r="AR186" i="3"/>
  <c r="AS186" i="3"/>
  <c r="AT186" i="3"/>
  <c r="AU186" i="3"/>
  <c r="AV186" i="3"/>
  <c r="AW186" i="3"/>
  <c r="AX186" i="3"/>
  <c r="AY186" i="3"/>
  <c r="AZ186" i="3"/>
  <c r="BA186" i="3"/>
  <c r="BB186" i="3"/>
  <c r="BC186" i="3"/>
  <c r="BD186" i="3"/>
  <c r="BE186" i="3"/>
  <c r="AH187" i="3"/>
  <c r="AI187" i="3"/>
  <c r="AJ187" i="3"/>
  <c r="AK187" i="3"/>
  <c r="AL187" i="3"/>
  <c r="AM187" i="3"/>
  <c r="AN187" i="3"/>
  <c r="AO187" i="3"/>
  <c r="AP187" i="3"/>
  <c r="AQ187" i="3"/>
  <c r="AR187" i="3"/>
  <c r="AS187" i="3"/>
  <c r="AT187" i="3"/>
  <c r="AU187" i="3"/>
  <c r="AV187" i="3"/>
  <c r="AW187" i="3"/>
  <c r="AX187" i="3"/>
  <c r="AY187" i="3"/>
  <c r="AZ187" i="3"/>
  <c r="BA187" i="3"/>
  <c r="BB187" i="3"/>
  <c r="BC187" i="3"/>
  <c r="BD187" i="3"/>
  <c r="BE187" i="3"/>
  <c r="AH188" i="3"/>
  <c r="AI188" i="3"/>
  <c r="AJ188" i="3"/>
  <c r="AK188" i="3"/>
  <c r="AL188" i="3"/>
  <c r="AM188" i="3"/>
  <c r="AN188" i="3"/>
  <c r="AO188" i="3"/>
  <c r="AP188" i="3"/>
  <c r="AQ188" i="3"/>
  <c r="AR188" i="3"/>
  <c r="AS188" i="3"/>
  <c r="AT188" i="3"/>
  <c r="AU188" i="3"/>
  <c r="AV188" i="3"/>
  <c r="AW188" i="3"/>
  <c r="AX188" i="3"/>
  <c r="AY188" i="3"/>
  <c r="AZ188" i="3"/>
  <c r="BA188" i="3"/>
  <c r="BB188" i="3"/>
  <c r="BC188" i="3"/>
  <c r="BD188" i="3"/>
  <c r="BE188" i="3"/>
  <c r="AH189" i="3"/>
  <c r="AI189" i="3"/>
  <c r="AJ189" i="3"/>
  <c r="AK189" i="3"/>
  <c r="AL189" i="3"/>
  <c r="AM189" i="3"/>
  <c r="AN189" i="3"/>
  <c r="AO189" i="3"/>
  <c r="AP189" i="3"/>
  <c r="AQ189" i="3"/>
  <c r="AR189" i="3"/>
  <c r="AS189" i="3"/>
  <c r="AT189" i="3"/>
  <c r="AU189" i="3"/>
  <c r="AV189" i="3"/>
  <c r="AW189" i="3"/>
  <c r="AX189" i="3"/>
  <c r="AY189" i="3"/>
  <c r="AZ189" i="3"/>
  <c r="BA189" i="3"/>
  <c r="BB189" i="3"/>
  <c r="BC189" i="3"/>
  <c r="BD189" i="3"/>
  <c r="BE189" i="3"/>
  <c r="AH190" i="3"/>
  <c r="AI190" i="3"/>
  <c r="AJ190" i="3"/>
  <c r="AK190" i="3"/>
  <c r="AL190" i="3"/>
  <c r="AM190" i="3"/>
  <c r="AN190" i="3"/>
  <c r="AO190" i="3"/>
  <c r="AP190" i="3"/>
  <c r="AQ190" i="3"/>
  <c r="AR190" i="3"/>
  <c r="AS190" i="3"/>
  <c r="AT190" i="3"/>
  <c r="AU190" i="3"/>
  <c r="AV190" i="3"/>
  <c r="AW190" i="3"/>
  <c r="AX190" i="3"/>
  <c r="AY190" i="3"/>
  <c r="AZ190" i="3"/>
  <c r="BA190" i="3"/>
  <c r="BB190" i="3"/>
  <c r="BC190" i="3"/>
  <c r="BD190" i="3"/>
  <c r="BE190" i="3"/>
  <c r="AH191" i="3"/>
  <c r="AI191" i="3"/>
  <c r="AJ191" i="3"/>
  <c r="AK191" i="3"/>
  <c r="AL191" i="3"/>
  <c r="AM191" i="3"/>
  <c r="AN191" i="3"/>
  <c r="AO191" i="3"/>
  <c r="AP191" i="3"/>
  <c r="AQ191" i="3"/>
  <c r="AR191" i="3"/>
  <c r="AS191" i="3"/>
  <c r="AT191" i="3"/>
  <c r="AU191" i="3"/>
  <c r="AV191" i="3"/>
  <c r="AW191" i="3"/>
  <c r="AX191" i="3"/>
  <c r="AY191" i="3"/>
  <c r="AZ191" i="3"/>
  <c r="BA191" i="3"/>
  <c r="BB191" i="3"/>
  <c r="BC191" i="3"/>
  <c r="BD191" i="3"/>
  <c r="BE191" i="3"/>
  <c r="AH192" i="3"/>
  <c r="AI192" i="3"/>
  <c r="AJ192" i="3"/>
  <c r="AK192" i="3"/>
  <c r="AL192" i="3"/>
  <c r="AM192" i="3"/>
  <c r="AN192" i="3"/>
  <c r="AO192" i="3"/>
  <c r="AP192" i="3"/>
  <c r="AQ192" i="3"/>
  <c r="AR192" i="3"/>
  <c r="AS192" i="3"/>
  <c r="AT192" i="3"/>
  <c r="AU192" i="3"/>
  <c r="AV192" i="3"/>
  <c r="AW192" i="3"/>
  <c r="AX192" i="3"/>
  <c r="AY192" i="3"/>
  <c r="AZ192" i="3"/>
  <c r="BA192" i="3"/>
  <c r="BB192" i="3"/>
  <c r="BC192" i="3"/>
  <c r="BD192" i="3"/>
  <c r="BE192" i="3"/>
  <c r="AH193" i="3"/>
  <c r="AI193" i="3"/>
  <c r="AJ193" i="3"/>
  <c r="AK193" i="3"/>
  <c r="AL193" i="3"/>
  <c r="AM193" i="3"/>
  <c r="AN193" i="3"/>
  <c r="AO193" i="3"/>
  <c r="AP193" i="3"/>
  <c r="AQ193" i="3"/>
  <c r="AR193" i="3"/>
  <c r="AS193" i="3"/>
  <c r="AT193" i="3"/>
  <c r="AU193" i="3"/>
  <c r="AV193" i="3"/>
  <c r="AW193" i="3"/>
  <c r="AX193" i="3"/>
  <c r="AY193" i="3"/>
  <c r="AZ193" i="3"/>
  <c r="BA193" i="3"/>
  <c r="BB193" i="3"/>
  <c r="BC193" i="3"/>
  <c r="BD193" i="3"/>
  <c r="BE193" i="3"/>
  <c r="AH194" i="3"/>
  <c r="AI194" i="3"/>
  <c r="AJ194" i="3"/>
  <c r="AK194" i="3"/>
  <c r="AL194" i="3"/>
  <c r="AM194" i="3"/>
  <c r="AN194" i="3"/>
  <c r="AO194" i="3"/>
  <c r="AP194" i="3"/>
  <c r="AQ194" i="3"/>
  <c r="AR194" i="3"/>
  <c r="AS194" i="3"/>
  <c r="AT194" i="3"/>
  <c r="AU194" i="3"/>
  <c r="AV194" i="3"/>
  <c r="AW194" i="3"/>
  <c r="AX194" i="3"/>
  <c r="AY194" i="3"/>
  <c r="AZ194" i="3"/>
  <c r="BA194" i="3"/>
  <c r="BB194" i="3"/>
  <c r="BC194" i="3"/>
  <c r="BD194" i="3"/>
  <c r="BE194" i="3"/>
  <c r="AH195" i="3"/>
  <c r="AI195" i="3"/>
  <c r="AJ195" i="3"/>
  <c r="AK195" i="3"/>
  <c r="AL195" i="3"/>
  <c r="AM195" i="3"/>
  <c r="AN195" i="3"/>
  <c r="AO195" i="3"/>
  <c r="AP195" i="3"/>
  <c r="AQ195" i="3"/>
  <c r="AR195" i="3"/>
  <c r="AS195" i="3"/>
  <c r="AT195" i="3"/>
  <c r="AU195" i="3"/>
  <c r="AV195" i="3"/>
  <c r="AW195" i="3"/>
  <c r="AX195" i="3"/>
  <c r="AY195" i="3"/>
  <c r="AZ195" i="3"/>
  <c r="BA195" i="3"/>
  <c r="BB195" i="3"/>
  <c r="BC195" i="3"/>
  <c r="BD195" i="3"/>
  <c r="BE195" i="3"/>
  <c r="AH196" i="3"/>
  <c r="AI196" i="3"/>
  <c r="AJ196" i="3"/>
  <c r="AK196" i="3"/>
  <c r="AL196" i="3"/>
  <c r="AM196" i="3"/>
  <c r="AN196" i="3"/>
  <c r="AO196" i="3"/>
  <c r="AP196" i="3"/>
  <c r="AQ196" i="3"/>
  <c r="AR196" i="3"/>
  <c r="AS196" i="3"/>
  <c r="AT196" i="3"/>
  <c r="AU196" i="3"/>
  <c r="AV196" i="3"/>
  <c r="AW196" i="3"/>
  <c r="AX196" i="3"/>
  <c r="AY196" i="3"/>
  <c r="AZ196" i="3"/>
  <c r="BA196" i="3"/>
  <c r="BB196" i="3"/>
  <c r="BC196" i="3"/>
  <c r="BD196" i="3"/>
  <c r="BE196" i="3"/>
  <c r="E197" i="3"/>
  <c r="AI197" i="3" s="1"/>
  <c r="G197" i="3"/>
  <c r="F197" i="3"/>
  <c r="D79" i="4"/>
  <c r="D198" i="4" s="1"/>
  <c r="D79" i="5" s="1"/>
  <c r="D198" i="5" s="1"/>
  <c r="P79" i="4"/>
  <c r="P198" i="4" s="1"/>
  <c r="P79" i="5" s="1"/>
  <c r="P198" i="5" s="1"/>
  <c r="P79" i="6" s="1"/>
  <c r="P198" i="6" s="1"/>
  <c r="P79" i="7" s="1"/>
  <c r="P198" i="7" s="1"/>
  <c r="P79" i="8" s="1"/>
  <c r="P198" i="8" s="1"/>
  <c r="H198" i="3"/>
  <c r="H79" i="4"/>
  <c r="H198" i="4" s="1"/>
  <c r="Y79" i="4"/>
  <c r="Y198" i="4" s="1"/>
  <c r="Y79" i="5" s="1"/>
  <c r="Y198" i="5" s="1"/>
  <c r="Y79" i="6" s="1"/>
  <c r="AH199" i="3"/>
  <c r="AI199" i="3"/>
  <c r="AJ199" i="3"/>
  <c r="AK199" i="3"/>
  <c r="AL199" i="3"/>
  <c r="AM199" i="3"/>
  <c r="AN199" i="3"/>
  <c r="AO199" i="3"/>
  <c r="AP199" i="3"/>
  <c r="AQ199" i="3"/>
  <c r="AR199" i="3"/>
  <c r="AS199" i="3"/>
  <c r="AT199" i="3"/>
  <c r="AU199" i="3"/>
  <c r="AV199" i="3"/>
  <c r="AW199" i="3"/>
  <c r="AX199" i="3"/>
  <c r="AY199" i="3"/>
  <c r="AZ199" i="3"/>
  <c r="BA199" i="3"/>
  <c r="BB199" i="3"/>
  <c r="BC199" i="3"/>
  <c r="BD199" i="3"/>
  <c r="AH200" i="3"/>
  <c r="AI200" i="3"/>
  <c r="AJ200" i="3"/>
  <c r="AK200" i="3"/>
  <c r="AL200" i="3"/>
  <c r="AM200" i="3"/>
  <c r="AN200" i="3"/>
  <c r="AO200" i="3"/>
  <c r="AP200" i="3"/>
  <c r="AQ200" i="3"/>
  <c r="AR200" i="3"/>
  <c r="AS200" i="3"/>
  <c r="AT200" i="3"/>
  <c r="AU200" i="3"/>
  <c r="AV200" i="3"/>
  <c r="AW200" i="3"/>
  <c r="AX200" i="3"/>
  <c r="AY200" i="3"/>
  <c r="AZ200" i="3"/>
  <c r="BA200" i="3"/>
  <c r="BB200" i="3"/>
  <c r="BC200" i="3"/>
  <c r="BD200" i="3"/>
  <c r="F9" i="22"/>
  <c r="G17" i="22"/>
  <c r="E17" i="22" s="1"/>
  <c r="G18" i="22"/>
  <c r="E18" i="22" s="1"/>
  <c r="G19" i="22"/>
  <c r="G22" i="22"/>
  <c r="E22" i="22" s="1"/>
  <c r="G23" i="22"/>
  <c r="E23" i="22" s="1"/>
  <c r="G24" i="22"/>
  <c r="G25" i="22"/>
  <c r="E25" i="22" s="1"/>
  <c r="G26" i="22"/>
  <c r="E26" i="22" s="1"/>
  <c r="G27" i="22"/>
  <c r="E27" i="22" s="1"/>
  <c r="G28" i="22"/>
  <c r="E28" i="22" s="1"/>
  <c r="G29" i="22"/>
  <c r="E29" i="22" s="1"/>
  <c r="G30" i="22"/>
  <c r="G31" i="22"/>
  <c r="G32" i="22"/>
  <c r="G33" i="22"/>
  <c r="G34" i="22"/>
  <c r="G35" i="22"/>
  <c r="G36" i="22"/>
  <c r="G37" i="22"/>
  <c r="G38" i="22"/>
  <c r="G39" i="22"/>
  <c r="G40" i="22"/>
  <c r="G41" i="22"/>
  <c r="E20" i="22"/>
  <c r="D22" i="22"/>
  <c r="D23" i="22"/>
  <c r="D25" i="22"/>
  <c r="D43" i="22" s="1"/>
  <c r="D26" i="22"/>
  <c r="D27" i="22"/>
  <c r="D28" i="22"/>
  <c r="D29" i="22"/>
  <c r="B30" i="22"/>
  <c r="F42" i="22"/>
  <c r="K42" i="22"/>
  <c r="L42" i="22"/>
  <c r="M42" i="22"/>
  <c r="N42" i="22"/>
  <c r="O42" i="22"/>
  <c r="F43" i="22"/>
  <c r="K43" i="22"/>
  <c r="L43" i="22"/>
  <c r="M43" i="22"/>
  <c r="N43" i="22"/>
  <c r="D101" i="22"/>
  <c r="BI101" i="22" s="1"/>
  <c r="O43" i="22"/>
  <c r="X101" i="22"/>
  <c r="AD69" i="22"/>
  <c r="AE69" i="22"/>
  <c r="AD70" i="22"/>
  <c r="AE70" i="22"/>
  <c r="AD71" i="22"/>
  <c r="AF71" i="22" s="1"/>
  <c r="AE71" i="22"/>
  <c r="AD72" i="22"/>
  <c r="AE72" i="22"/>
  <c r="AD73" i="22"/>
  <c r="AE73" i="22"/>
  <c r="AF73" i="22" s="1"/>
  <c r="AD74" i="22"/>
  <c r="AE74" i="22"/>
  <c r="AD75" i="22"/>
  <c r="AE75" i="22"/>
  <c r="AD76" i="22"/>
  <c r="AE76" i="22"/>
  <c r="AD77" i="22"/>
  <c r="AE77" i="22"/>
  <c r="AD78" i="22"/>
  <c r="AE78" i="22"/>
  <c r="AD79" i="22"/>
  <c r="AE79" i="22"/>
  <c r="AF79" i="22" s="1"/>
  <c r="AD80" i="22"/>
  <c r="AF80" i="22" s="1"/>
  <c r="AJ80" i="22" s="1"/>
  <c r="AE80" i="22"/>
  <c r="AK80" i="22"/>
  <c r="AL80" i="22"/>
  <c r="AM80" i="22"/>
  <c r="AN80" i="22"/>
  <c r="AO80" i="22"/>
  <c r="AP80" i="22"/>
  <c r="AQ80" i="22"/>
  <c r="AR80" i="22"/>
  <c r="AS80" i="22"/>
  <c r="AT80" i="22"/>
  <c r="AU80" i="22"/>
  <c r="AV80" i="22"/>
  <c r="AW80" i="22"/>
  <c r="AX80" i="22"/>
  <c r="AY80" i="22"/>
  <c r="AZ80" i="22"/>
  <c r="BA80" i="22"/>
  <c r="BB80" i="22"/>
  <c r="BC80" i="22"/>
  <c r="BD80" i="22"/>
  <c r="BE80" i="22"/>
  <c r="BF80" i="22"/>
  <c r="BI80" i="22"/>
  <c r="AD81" i="22"/>
  <c r="AE81" i="22"/>
  <c r="AK81" i="22"/>
  <c r="AL81" i="22"/>
  <c r="AM81" i="22"/>
  <c r="AN81" i="22"/>
  <c r="AO81" i="22"/>
  <c r="AP81" i="22"/>
  <c r="AQ81" i="22"/>
  <c r="AR81" i="22"/>
  <c r="AS81" i="22"/>
  <c r="AT81" i="22"/>
  <c r="AU81" i="22"/>
  <c r="AV81" i="22"/>
  <c r="AW81" i="22"/>
  <c r="AX81" i="22"/>
  <c r="AY81" i="22"/>
  <c r="AZ81" i="22"/>
  <c r="BA81" i="22"/>
  <c r="BB81" i="22"/>
  <c r="BC81" i="22"/>
  <c r="BD81" i="22"/>
  <c r="BE81" i="22"/>
  <c r="BF81" i="22"/>
  <c r="BI81" i="22"/>
  <c r="AD82" i="22"/>
  <c r="AE82" i="22"/>
  <c r="AF82" i="22" s="1"/>
  <c r="AJ82" i="22" s="1"/>
  <c r="AK82" i="22"/>
  <c r="AL82" i="22"/>
  <c r="AM82" i="22"/>
  <c r="AN82" i="22"/>
  <c r="AO82" i="22"/>
  <c r="AP82" i="22"/>
  <c r="AQ82" i="22"/>
  <c r="AR82" i="22"/>
  <c r="AS82" i="22"/>
  <c r="AT82" i="22"/>
  <c r="AU82" i="22"/>
  <c r="AV82" i="22"/>
  <c r="AW82" i="22"/>
  <c r="AX82" i="22"/>
  <c r="AY82" i="22"/>
  <c r="AZ82" i="22"/>
  <c r="BA82" i="22"/>
  <c r="BB82" i="22"/>
  <c r="BC82" i="22"/>
  <c r="BD82" i="22"/>
  <c r="BE82" i="22"/>
  <c r="BF82" i="22"/>
  <c r="BI82" i="22"/>
  <c r="AD83" i="22"/>
  <c r="AE83" i="22"/>
  <c r="AK83" i="22"/>
  <c r="AL83" i="22"/>
  <c r="AM83" i="22"/>
  <c r="AN83" i="22"/>
  <c r="AO83" i="22"/>
  <c r="AP83" i="22"/>
  <c r="AQ83" i="22"/>
  <c r="AR83" i="22"/>
  <c r="AS83" i="22"/>
  <c r="AT83" i="22"/>
  <c r="AU83" i="22"/>
  <c r="AV83" i="22"/>
  <c r="AW83" i="22"/>
  <c r="AX83" i="22"/>
  <c r="AY83" i="22"/>
  <c r="AZ83" i="22"/>
  <c r="BA83" i="22"/>
  <c r="BB83" i="22"/>
  <c r="BC83" i="22"/>
  <c r="BD83" i="22"/>
  <c r="BE83" i="22"/>
  <c r="BF83" i="22"/>
  <c r="BI83" i="22"/>
  <c r="AD84" i="22"/>
  <c r="AE84" i="22"/>
  <c r="AK84" i="22"/>
  <c r="AL84" i="22"/>
  <c r="AM84" i="22"/>
  <c r="AN84" i="22"/>
  <c r="AO84" i="22"/>
  <c r="AP84" i="22"/>
  <c r="AQ84" i="22"/>
  <c r="AR84" i="22"/>
  <c r="AS84" i="22"/>
  <c r="AT84" i="22"/>
  <c r="AU84" i="22"/>
  <c r="AV84" i="22"/>
  <c r="AW84" i="22"/>
  <c r="AX84" i="22"/>
  <c r="AY84" i="22"/>
  <c r="AZ84" i="22"/>
  <c r="BA84" i="22"/>
  <c r="BB84" i="22"/>
  <c r="BC84" i="22"/>
  <c r="BD84" i="22"/>
  <c r="BE84" i="22"/>
  <c r="BF84" i="22"/>
  <c r="BI84" i="22"/>
  <c r="AD85" i="22"/>
  <c r="AE85" i="22"/>
  <c r="AK85" i="22"/>
  <c r="AL85" i="22"/>
  <c r="AM85" i="22"/>
  <c r="AN85" i="22"/>
  <c r="AO85" i="22"/>
  <c r="AP85" i="22"/>
  <c r="AQ85" i="22"/>
  <c r="AR85" i="22"/>
  <c r="AS85" i="22"/>
  <c r="AT85" i="22"/>
  <c r="AU85" i="22"/>
  <c r="AV85" i="22"/>
  <c r="AW85" i="22"/>
  <c r="AX85" i="22"/>
  <c r="AY85" i="22"/>
  <c r="AZ85" i="22"/>
  <c r="BA85" i="22"/>
  <c r="BB85" i="22"/>
  <c r="BC85" i="22"/>
  <c r="BD85" i="22"/>
  <c r="BE85" i="22"/>
  <c r="BF85" i="22"/>
  <c r="BI85" i="22"/>
  <c r="AD86" i="22"/>
  <c r="AF86" i="22" s="1"/>
  <c r="AJ86" i="22" s="1"/>
  <c r="AE86" i="22"/>
  <c r="AK86" i="22"/>
  <c r="AL86" i="22"/>
  <c r="AM86" i="22"/>
  <c r="AN86" i="22"/>
  <c r="AO86" i="22"/>
  <c r="AP86" i="22"/>
  <c r="AQ86" i="22"/>
  <c r="AR86" i="22"/>
  <c r="AS86" i="22"/>
  <c r="AT86" i="22"/>
  <c r="AU86" i="22"/>
  <c r="AV86" i="22"/>
  <c r="AW86" i="22"/>
  <c r="AX86" i="22"/>
  <c r="AY86" i="22"/>
  <c r="AZ86" i="22"/>
  <c r="BA86" i="22"/>
  <c r="BB86" i="22"/>
  <c r="BC86" i="22"/>
  <c r="BD86" i="22"/>
  <c r="BE86" i="22"/>
  <c r="BF86" i="22"/>
  <c r="BI86" i="22"/>
  <c r="AD87" i="22"/>
  <c r="AE87" i="22"/>
  <c r="AK87" i="22"/>
  <c r="AL87" i="22"/>
  <c r="AM87" i="22"/>
  <c r="AN87" i="22"/>
  <c r="AO87" i="22"/>
  <c r="AP87" i="22"/>
  <c r="AQ87" i="22"/>
  <c r="AR87" i="22"/>
  <c r="AS87" i="22"/>
  <c r="AT87" i="22"/>
  <c r="AU87" i="22"/>
  <c r="AV87" i="22"/>
  <c r="AW87" i="22"/>
  <c r="AX87" i="22"/>
  <c r="AY87" i="22"/>
  <c r="AZ87" i="22"/>
  <c r="BA87" i="22"/>
  <c r="BB87" i="22"/>
  <c r="BC87" i="22"/>
  <c r="BD87" i="22"/>
  <c r="BE87" i="22"/>
  <c r="BF87" i="22"/>
  <c r="BI87" i="22"/>
  <c r="AD88" i="22"/>
  <c r="AE88" i="22"/>
  <c r="AK88" i="22"/>
  <c r="AL88" i="22"/>
  <c r="AM88" i="22"/>
  <c r="AN88" i="22"/>
  <c r="AO88" i="22"/>
  <c r="AP88" i="22"/>
  <c r="AQ88" i="22"/>
  <c r="AR88" i="22"/>
  <c r="AS88" i="22"/>
  <c r="AT88" i="22"/>
  <c r="AU88" i="22"/>
  <c r="AV88" i="22"/>
  <c r="AW88" i="22"/>
  <c r="AX88" i="22"/>
  <c r="AY88" i="22"/>
  <c r="AZ88" i="22"/>
  <c r="BA88" i="22"/>
  <c r="BB88" i="22"/>
  <c r="BC88" i="22"/>
  <c r="BD88" i="22"/>
  <c r="BE88" i="22"/>
  <c r="BF88" i="22"/>
  <c r="BI88" i="22"/>
  <c r="AD89" i="22"/>
  <c r="AE89" i="22"/>
  <c r="AK89" i="22"/>
  <c r="AL89" i="22"/>
  <c r="AM89" i="22"/>
  <c r="AN89" i="22"/>
  <c r="AO89" i="22"/>
  <c r="AP89" i="22"/>
  <c r="AQ89" i="22"/>
  <c r="AR89" i="22"/>
  <c r="AS89" i="22"/>
  <c r="AT89" i="22"/>
  <c r="AU89" i="22"/>
  <c r="AV89" i="22"/>
  <c r="AW89" i="22"/>
  <c r="AX89" i="22"/>
  <c r="AY89" i="22"/>
  <c r="AZ89" i="22"/>
  <c r="BA89" i="22"/>
  <c r="BB89" i="22"/>
  <c r="BC89" i="22"/>
  <c r="BD89" i="22"/>
  <c r="BE89" i="22"/>
  <c r="BF89" i="22"/>
  <c r="BI89" i="22"/>
  <c r="AD90" i="22"/>
  <c r="AE90" i="22"/>
  <c r="AF90" i="22" s="1"/>
  <c r="AJ90" i="22" s="1"/>
  <c r="AK90" i="22"/>
  <c r="AL90" i="22"/>
  <c r="AM90" i="22"/>
  <c r="AN90" i="22"/>
  <c r="AO90" i="22"/>
  <c r="AP90" i="22"/>
  <c r="AQ90" i="22"/>
  <c r="AR90" i="22"/>
  <c r="AS90" i="22"/>
  <c r="AT90" i="22"/>
  <c r="AU90" i="22"/>
  <c r="AV90" i="22"/>
  <c r="AW90" i="22"/>
  <c r="AX90" i="22"/>
  <c r="AY90" i="22"/>
  <c r="AZ90" i="22"/>
  <c r="BA90" i="22"/>
  <c r="BB90" i="22"/>
  <c r="BC90" i="22"/>
  <c r="BD90" i="22"/>
  <c r="BE90" i="22"/>
  <c r="BF90" i="22"/>
  <c r="BI90" i="22"/>
  <c r="AD91" i="22"/>
  <c r="AE91" i="22"/>
  <c r="AK91" i="22"/>
  <c r="AL91" i="22"/>
  <c r="AM91" i="22"/>
  <c r="AN91" i="22"/>
  <c r="AO91" i="22"/>
  <c r="AP91" i="22"/>
  <c r="AQ91" i="22"/>
  <c r="AR91" i="22"/>
  <c r="AS91" i="22"/>
  <c r="AT91" i="22"/>
  <c r="AU91" i="22"/>
  <c r="AV91" i="22"/>
  <c r="AW91" i="22"/>
  <c r="AX91" i="22"/>
  <c r="AY91" i="22"/>
  <c r="AZ91" i="22"/>
  <c r="BA91" i="22"/>
  <c r="BB91" i="22"/>
  <c r="BC91" i="22"/>
  <c r="BD91" i="22"/>
  <c r="BE91" i="22"/>
  <c r="BF91" i="22"/>
  <c r="BI91" i="22"/>
  <c r="AD92" i="22"/>
  <c r="AE92" i="22"/>
  <c r="AK92" i="22"/>
  <c r="AL92" i="22"/>
  <c r="AM92" i="22"/>
  <c r="AN92" i="22"/>
  <c r="AO92" i="22"/>
  <c r="AP92" i="22"/>
  <c r="AQ92" i="22"/>
  <c r="AR92" i="22"/>
  <c r="AS92" i="22"/>
  <c r="AT92" i="22"/>
  <c r="AU92" i="22"/>
  <c r="AV92" i="22"/>
  <c r="AW92" i="22"/>
  <c r="AX92" i="22"/>
  <c r="AY92" i="22"/>
  <c r="AZ92" i="22"/>
  <c r="BA92" i="22"/>
  <c r="BB92" i="22"/>
  <c r="BC92" i="22"/>
  <c r="BD92" i="22"/>
  <c r="BE92" i="22"/>
  <c r="BF92" i="22"/>
  <c r="BI92" i="22"/>
  <c r="AD93" i="22"/>
  <c r="AE93" i="22"/>
  <c r="AK93" i="22"/>
  <c r="AL93" i="22"/>
  <c r="AM93" i="22"/>
  <c r="AN93" i="22"/>
  <c r="AO93" i="22"/>
  <c r="AP93" i="22"/>
  <c r="AQ93" i="22"/>
  <c r="AR93" i="22"/>
  <c r="AS93" i="22"/>
  <c r="AT93" i="22"/>
  <c r="AU93" i="22"/>
  <c r="AV93" i="22"/>
  <c r="AW93" i="22"/>
  <c r="AX93" i="22"/>
  <c r="AY93" i="22"/>
  <c r="AZ93" i="22"/>
  <c r="BA93" i="22"/>
  <c r="BB93" i="22"/>
  <c r="BC93" i="22"/>
  <c r="BD93" i="22"/>
  <c r="BE93" i="22"/>
  <c r="BF93" i="22"/>
  <c r="BI93" i="22"/>
  <c r="AD94" i="22"/>
  <c r="AE94" i="22"/>
  <c r="AF94" i="22" s="1"/>
  <c r="AJ94" i="22" s="1"/>
  <c r="AK94" i="22"/>
  <c r="AL94" i="22"/>
  <c r="AM94" i="22"/>
  <c r="AN94" i="22"/>
  <c r="AO94" i="22"/>
  <c r="AP94" i="22"/>
  <c r="AQ94" i="22"/>
  <c r="AR94" i="22"/>
  <c r="AS94" i="22"/>
  <c r="AT94" i="22"/>
  <c r="AU94" i="22"/>
  <c r="AV94" i="22"/>
  <c r="AW94" i="22"/>
  <c r="AX94" i="22"/>
  <c r="AY94" i="22"/>
  <c r="AZ94" i="22"/>
  <c r="BA94" i="22"/>
  <c r="BB94" i="22"/>
  <c r="BC94" i="22"/>
  <c r="BD94" i="22"/>
  <c r="BE94" i="22"/>
  <c r="BF94" i="22"/>
  <c r="BI94" i="22"/>
  <c r="AD95" i="22"/>
  <c r="AE95" i="22"/>
  <c r="AF95" i="22" s="1"/>
  <c r="AJ95" i="22" s="1"/>
  <c r="AK95" i="22"/>
  <c r="AL95" i="22"/>
  <c r="AM95" i="22"/>
  <c r="AN95" i="22"/>
  <c r="AO95" i="22"/>
  <c r="AP95" i="22"/>
  <c r="AQ95" i="22"/>
  <c r="AR95" i="22"/>
  <c r="AS95" i="22"/>
  <c r="AT95" i="22"/>
  <c r="AU95" i="22"/>
  <c r="AV95" i="22"/>
  <c r="AW95" i="22"/>
  <c r="AX95" i="22"/>
  <c r="AY95" i="22"/>
  <c r="AZ95" i="22"/>
  <c r="BA95" i="22"/>
  <c r="BB95" i="22"/>
  <c r="BC95" i="22"/>
  <c r="BD95" i="22"/>
  <c r="BE95" i="22"/>
  <c r="BF95" i="22"/>
  <c r="BI95" i="22"/>
  <c r="AD96" i="22"/>
  <c r="AE96" i="22"/>
  <c r="AK96" i="22"/>
  <c r="AL96" i="22"/>
  <c r="AM96" i="22"/>
  <c r="AN96" i="22"/>
  <c r="AO96" i="22"/>
  <c r="AP96" i="22"/>
  <c r="AQ96" i="22"/>
  <c r="AR96" i="22"/>
  <c r="AS96" i="22"/>
  <c r="AT96" i="22"/>
  <c r="AU96" i="22"/>
  <c r="AV96" i="22"/>
  <c r="AW96" i="22"/>
  <c r="AX96" i="22"/>
  <c r="AY96" i="22"/>
  <c r="AZ96" i="22"/>
  <c r="BA96" i="22"/>
  <c r="BB96" i="22"/>
  <c r="BC96" i="22"/>
  <c r="BD96" i="22"/>
  <c r="BE96" i="22"/>
  <c r="BF96" i="22"/>
  <c r="BI96" i="22"/>
  <c r="AD97" i="22"/>
  <c r="AE97" i="22"/>
  <c r="AK97" i="22"/>
  <c r="AL97" i="22"/>
  <c r="AM97" i="22"/>
  <c r="AN97" i="22"/>
  <c r="AO97" i="22"/>
  <c r="AP97" i="22"/>
  <c r="AQ97" i="22"/>
  <c r="AR97" i="22"/>
  <c r="AS97" i="22"/>
  <c r="AT97" i="22"/>
  <c r="AU97" i="22"/>
  <c r="AV97" i="22"/>
  <c r="AW97" i="22"/>
  <c r="AX97" i="22"/>
  <c r="AY97" i="22"/>
  <c r="AZ97" i="22"/>
  <c r="BA97" i="22"/>
  <c r="BB97" i="22"/>
  <c r="BC97" i="22"/>
  <c r="BD97" i="22"/>
  <c r="BE97" i="22"/>
  <c r="BF97" i="22"/>
  <c r="BI97" i="22"/>
  <c r="AD98" i="22"/>
  <c r="AE98" i="22"/>
  <c r="AK98" i="22"/>
  <c r="AL98" i="22"/>
  <c r="AM98" i="22"/>
  <c r="AN98" i="22"/>
  <c r="AO98" i="22"/>
  <c r="AP98" i="22"/>
  <c r="AQ98" i="22"/>
  <c r="AR98" i="22"/>
  <c r="AS98" i="22"/>
  <c r="AT98" i="22"/>
  <c r="AU98" i="22"/>
  <c r="AV98" i="22"/>
  <c r="AW98" i="22"/>
  <c r="AX98" i="22"/>
  <c r="AY98" i="22"/>
  <c r="AZ98" i="22"/>
  <c r="BA98" i="22"/>
  <c r="BB98" i="22"/>
  <c r="BC98" i="22"/>
  <c r="BD98" i="22"/>
  <c r="BE98" i="22"/>
  <c r="BF98" i="22"/>
  <c r="BI98" i="22"/>
  <c r="AD99" i="22"/>
  <c r="AE99" i="22"/>
  <c r="AK99" i="22"/>
  <c r="AL99" i="22"/>
  <c r="AM99" i="22"/>
  <c r="AN99" i="22"/>
  <c r="AO99" i="22"/>
  <c r="AP99" i="22"/>
  <c r="AQ99" i="22"/>
  <c r="AR99" i="22"/>
  <c r="AS99" i="22"/>
  <c r="AT99" i="22"/>
  <c r="AU99" i="22"/>
  <c r="AV99" i="22"/>
  <c r="AW99" i="22"/>
  <c r="AX99" i="22"/>
  <c r="AY99" i="22"/>
  <c r="AZ99" i="22"/>
  <c r="BA99" i="22"/>
  <c r="BB99" i="22"/>
  <c r="BC99" i="22"/>
  <c r="BD99" i="22"/>
  <c r="BE99" i="22"/>
  <c r="BF99" i="22"/>
  <c r="BI99" i="22"/>
  <c r="D100" i="22"/>
  <c r="N100" i="22"/>
  <c r="E100" i="22"/>
  <c r="G100" i="22"/>
  <c r="AZ100" i="22" s="1"/>
  <c r="L100" i="22"/>
  <c r="W100" i="22"/>
  <c r="U100" i="22"/>
  <c r="F100" i="22"/>
  <c r="T100" i="22"/>
  <c r="R100" i="22"/>
  <c r="H100" i="22"/>
  <c r="I100" i="22"/>
  <c r="J100" i="22"/>
  <c r="K100" i="22"/>
  <c r="M100" i="22"/>
  <c r="O100" i="22"/>
  <c r="P100" i="22"/>
  <c r="Q100" i="22"/>
  <c r="S100" i="22"/>
  <c r="V100" i="22"/>
  <c r="X100" i="22"/>
  <c r="Y100" i="22"/>
  <c r="Z100" i="22"/>
  <c r="AA100" i="22"/>
  <c r="AB100" i="22"/>
  <c r="AC100" i="22"/>
  <c r="I101" i="22"/>
  <c r="E101" i="22"/>
  <c r="L101" i="22"/>
  <c r="G101" i="22"/>
  <c r="J101" i="22"/>
  <c r="P101" i="22"/>
  <c r="N101" i="22"/>
  <c r="F101" i="22"/>
  <c r="H101" i="22"/>
  <c r="AK101" i="22" s="1"/>
  <c r="K101" i="22"/>
  <c r="M101" i="22"/>
  <c r="O101" i="22"/>
  <c r="Q101" i="22"/>
  <c r="R101" i="22"/>
  <c r="S101" i="22"/>
  <c r="T101" i="22"/>
  <c r="U101" i="22"/>
  <c r="V101" i="22"/>
  <c r="W101" i="22"/>
  <c r="Y101" i="22"/>
  <c r="Z101" i="22"/>
  <c r="AA101" i="22"/>
  <c r="AB101" i="22"/>
  <c r="AC101" i="22"/>
  <c r="AK102" i="22"/>
  <c r="AL102" i="22"/>
  <c r="AM102" i="22"/>
  <c r="AN102" i="22"/>
  <c r="AO102" i="22"/>
  <c r="AP102" i="22"/>
  <c r="AQ102" i="22"/>
  <c r="AR102" i="22"/>
  <c r="AS102" i="22"/>
  <c r="AT102" i="22"/>
  <c r="AU102" i="22"/>
  <c r="AV102" i="22"/>
  <c r="AW102" i="22"/>
  <c r="AX102" i="22"/>
  <c r="AY102" i="22"/>
  <c r="AZ102" i="22"/>
  <c r="BA102" i="22"/>
  <c r="BB102" i="22"/>
  <c r="BC102" i="22"/>
  <c r="BD102" i="22"/>
  <c r="BE102" i="22"/>
  <c r="BF102" i="22"/>
  <c r="BI102" i="22"/>
  <c r="AK103" i="22"/>
  <c r="AL103" i="22"/>
  <c r="AM103" i="22"/>
  <c r="AN103" i="22"/>
  <c r="AO103" i="22"/>
  <c r="AP103" i="22"/>
  <c r="AQ103" i="22"/>
  <c r="AR103" i="22"/>
  <c r="AS103" i="22"/>
  <c r="AT103" i="22"/>
  <c r="AU103" i="22"/>
  <c r="AV103" i="22"/>
  <c r="AW103" i="22"/>
  <c r="AX103" i="22"/>
  <c r="AY103" i="22"/>
  <c r="AZ103" i="22"/>
  <c r="BA103" i="22"/>
  <c r="BB103" i="22"/>
  <c r="BC103" i="22"/>
  <c r="BD103" i="22"/>
  <c r="BE103" i="22"/>
  <c r="BF103" i="22"/>
  <c r="BI103" i="22"/>
  <c r="AK104" i="22"/>
  <c r="AL104" i="22"/>
  <c r="AM104" i="22"/>
  <c r="AN104" i="22"/>
  <c r="AO104" i="22"/>
  <c r="AP104" i="22"/>
  <c r="AQ104" i="22"/>
  <c r="AR104" i="22"/>
  <c r="AS104" i="22"/>
  <c r="AT104" i="22"/>
  <c r="AU104" i="22"/>
  <c r="AV104" i="22"/>
  <c r="AW104" i="22"/>
  <c r="AX104" i="22"/>
  <c r="AY104" i="22"/>
  <c r="AZ104" i="22"/>
  <c r="BA104" i="22"/>
  <c r="BB104" i="22"/>
  <c r="BC104" i="22"/>
  <c r="BD104" i="22"/>
  <c r="BE104" i="22"/>
  <c r="BF104" i="22"/>
  <c r="BI104" i="22"/>
  <c r="A129" i="22"/>
  <c r="E129" i="22" s="1"/>
  <c r="A147" i="22"/>
  <c r="D150" i="22"/>
  <c r="D24" i="22"/>
  <c r="B27" i="17"/>
  <c r="M22" i="28"/>
  <c r="I29" i="38"/>
  <c r="I31" i="38"/>
  <c r="K31" i="38" s="1"/>
  <c r="C27" i="38"/>
  <c r="E26" i="38"/>
  <c r="E11" i="38"/>
  <c r="I30" i="38"/>
  <c r="G48" i="37"/>
  <c r="H48" i="37" s="1"/>
  <c r="H50" i="37"/>
  <c r="F26" i="17"/>
  <c r="F22" i="17"/>
  <c r="G27" i="17"/>
  <c r="X44" i="15"/>
  <c r="AF110" i="9"/>
  <c r="AF190" i="9"/>
  <c r="AG190" i="9" s="1"/>
  <c r="B39" i="15"/>
  <c r="AF182" i="3"/>
  <c r="AG182" i="3" s="1"/>
  <c r="AF109" i="3"/>
  <c r="AF175" i="3"/>
  <c r="AG175" i="3"/>
  <c r="AF171" i="3"/>
  <c r="AG171" i="3" s="1"/>
  <c r="AF163" i="3"/>
  <c r="AF131" i="3"/>
  <c r="AF119" i="3"/>
  <c r="AF186" i="3"/>
  <c r="AG186" i="3"/>
  <c r="I79" i="4"/>
  <c r="I198" i="4" s="1"/>
  <c r="I79" i="5" s="1"/>
  <c r="I198" i="5" s="1"/>
  <c r="I79" i="6" s="1"/>
  <c r="I198" i="6" s="1"/>
  <c r="I79" i="7" s="1"/>
  <c r="I198" i="7" s="1"/>
  <c r="AB79" i="4"/>
  <c r="AQ79" i="3"/>
  <c r="D21" i="15"/>
  <c r="E61" i="11"/>
  <c r="G61" i="11" s="1"/>
  <c r="L16" i="4"/>
  <c r="L54" i="4" s="1"/>
  <c r="E287" i="7"/>
  <c r="D20" i="3"/>
  <c r="G26" i="4"/>
  <c r="E26" i="4" s="1"/>
  <c r="D28" i="4"/>
  <c r="G27" i="4"/>
  <c r="E27" i="4" s="1"/>
  <c r="G33" i="4"/>
  <c r="D26" i="4"/>
  <c r="D23" i="4"/>
  <c r="C59" i="4"/>
  <c r="C58" i="3"/>
  <c r="B34" i="26" s="1"/>
  <c r="C35" i="15"/>
  <c r="G22" i="4"/>
  <c r="AF95" i="3"/>
  <c r="AF128" i="11"/>
  <c r="D58" i="38"/>
  <c r="I58" i="38"/>
  <c r="AF85" i="6"/>
  <c r="AG85" i="6" s="1"/>
  <c r="AF97" i="10"/>
  <c r="I62" i="38"/>
  <c r="D62" i="38"/>
  <c r="E64" i="38"/>
  <c r="I48" i="38"/>
  <c r="E49" i="38"/>
  <c r="D48" i="38"/>
  <c r="AF131" i="5"/>
  <c r="AF104" i="5"/>
  <c r="AF105" i="10"/>
  <c r="AF135" i="7"/>
  <c r="AF107" i="7"/>
  <c r="AF91" i="7"/>
  <c r="AF83" i="7"/>
  <c r="AF99" i="8"/>
  <c r="AF84" i="10"/>
  <c r="AG84" i="10" s="1"/>
  <c r="AF120" i="11"/>
  <c r="AF97" i="11"/>
  <c r="AF156" i="12"/>
  <c r="AF132" i="12"/>
  <c r="AF102" i="12"/>
  <c r="AF105" i="13"/>
  <c r="AF131" i="13"/>
  <c r="AF100" i="13"/>
  <c r="AF84" i="13"/>
  <c r="AF196" i="14"/>
  <c r="AG196" i="14" s="1"/>
  <c r="I66" i="38"/>
  <c r="I69" i="38" s="1"/>
  <c r="L69" i="38" s="1"/>
  <c r="D66" i="38"/>
  <c r="I46" i="38"/>
  <c r="D46" i="38"/>
  <c r="J17" i="18"/>
  <c r="F42" i="39"/>
  <c r="AF97" i="14"/>
  <c r="D43" i="37"/>
  <c r="M13" i="18"/>
  <c r="G40" i="4"/>
  <c r="G45" i="4"/>
  <c r="G17" i="4"/>
  <c r="G32" i="4"/>
  <c r="G38" i="4"/>
  <c r="G36" i="4"/>
  <c r="G21" i="4"/>
  <c r="G51" i="4"/>
  <c r="G30" i="4"/>
  <c r="G20" i="4"/>
  <c r="G41" i="4"/>
  <c r="G46" i="4"/>
  <c r="G48" i="4"/>
  <c r="G19" i="4"/>
  <c r="G18" i="4"/>
  <c r="G34" i="4"/>
  <c r="E11" i="5"/>
  <c r="G25" i="5" s="1"/>
  <c r="AF141" i="7"/>
  <c r="AF130" i="7"/>
  <c r="AF103" i="7"/>
  <c r="AF82" i="7"/>
  <c r="I53" i="38"/>
  <c r="D53" i="38"/>
  <c r="AF116" i="11"/>
  <c r="AF154" i="12"/>
  <c r="AF118" i="12"/>
  <c r="AF110" i="14"/>
  <c r="AF155" i="13"/>
  <c r="D67" i="38"/>
  <c r="D47" i="38"/>
  <c r="I47" i="38"/>
  <c r="D38" i="39"/>
  <c r="J16" i="18"/>
  <c r="C71" i="38"/>
  <c r="F19" i="39"/>
  <c r="E54" i="38"/>
  <c r="D68" i="38"/>
  <c r="D48" i="30"/>
  <c r="H39" i="37"/>
  <c r="U198" i="4"/>
  <c r="I45" i="15"/>
  <c r="E59" i="38"/>
  <c r="D56" i="38"/>
  <c r="W39" i="15"/>
  <c r="S16" i="15" s="1"/>
  <c r="E287" i="9"/>
  <c r="E69" i="38"/>
  <c r="I56" i="38"/>
  <c r="J37" i="15"/>
  <c r="I27" i="28"/>
  <c r="M14" i="28"/>
  <c r="E27" i="28"/>
  <c r="AF120" i="3"/>
  <c r="AF101" i="3"/>
  <c r="AF87" i="4"/>
  <c r="AG87" i="4" s="1"/>
  <c r="AF87" i="6"/>
  <c r="AG87" i="6" s="1"/>
  <c r="J27" i="28"/>
  <c r="AF106" i="3"/>
  <c r="K16" i="28"/>
  <c r="AF82" i="3"/>
  <c r="AF128" i="5"/>
  <c r="AF164" i="3"/>
  <c r="AF90" i="3"/>
  <c r="AF104" i="4"/>
  <c r="AF97" i="4"/>
  <c r="AF181" i="5"/>
  <c r="AF157" i="5"/>
  <c r="AG157" i="5" s="1"/>
  <c r="AF177" i="7"/>
  <c r="AF150" i="7"/>
  <c r="AF139" i="7"/>
  <c r="AF105" i="7"/>
  <c r="AF106" i="8"/>
  <c r="AF100" i="8"/>
  <c r="AF163" i="9"/>
  <c r="AG163" i="9" s="1"/>
  <c r="AF144" i="9"/>
  <c r="AF116" i="9"/>
  <c r="AF107" i="9"/>
  <c r="AF91" i="9"/>
  <c r="AF86" i="9"/>
  <c r="AF82" i="9"/>
  <c r="AG82" i="9" s="1"/>
  <c r="AF105" i="4"/>
  <c r="AF93" i="4"/>
  <c r="AF106" i="5"/>
  <c r="AF185" i="7"/>
  <c r="AG185" i="7" s="1"/>
  <c r="AF187" i="7"/>
  <c r="AG187" i="7" s="1"/>
  <c r="AF88" i="8"/>
  <c r="AF173" i="9"/>
  <c r="AF128" i="9"/>
  <c r="AF92" i="9"/>
  <c r="AF136" i="5"/>
  <c r="AF132" i="5"/>
  <c r="AF99" i="5"/>
  <c r="AF192" i="7"/>
  <c r="AG192" i="7" s="1"/>
  <c r="AF101" i="8"/>
  <c r="AF161" i="9"/>
  <c r="AG161" i="9" s="1"/>
  <c r="AF95" i="9"/>
  <c r="AF88" i="9"/>
  <c r="AF112" i="10"/>
  <c r="AF83" i="11"/>
  <c r="AG83" i="11" s="1"/>
  <c r="AF91" i="12"/>
  <c r="AF94" i="11"/>
  <c r="AF91" i="13"/>
  <c r="AF133" i="14"/>
  <c r="AF103" i="14"/>
  <c r="AF123" i="10"/>
  <c r="AF115" i="10"/>
  <c r="AF104" i="10"/>
  <c r="AF91" i="10"/>
  <c r="AF105" i="11"/>
  <c r="AF100" i="11"/>
  <c r="AF168" i="12"/>
  <c r="AF135" i="12"/>
  <c r="AF123" i="12"/>
  <c r="AF96" i="12"/>
  <c r="AF84" i="12"/>
  <c r="AF173" i="13"/>
  <c r="AG173" i="13" s="1"/>
  <c r="AF129" i="13"/>
  <c r="AF88" i="13"/>
  <c r="AF135" i="14"/>
  <c r="AF157" i="13"/>
  <c r="AF107" i="13"/>
  <c r="AF104" i="13"/>
  <c r="AF95" i="13"/>
  <c r="AF159" i="14"/>
  <c r="AF162" i="14"/>
  <c r="AF107" i="14"/>
  <c r="AF105" i="14"/>
  <c r="Q198" i="4"/>
  <c r="Q79" i="5" s="1"/>
  <c r="Q198" i="5" s="1"/>
  <c r="Q79" i="6" s="1"/>
  <c r="Q198" i="6" s="1"/>
  <c r="AR197" i="7"/>
  <c r="X40" i="15"/>
  <c r="E287" i="8"/>
  <c r="M12" i="28"/>
  <c r="F24" i="28"/>
  <c r="M20" i="28"/>
  <c r="AV79" i="3"/>
  <c r="AF122" i="4"/>
  <c r="AF101" i="4"/>
  <c r="AF193" i="5"/>
  <c r="AG193" i="5" s="1"/>
  <c r="AF100" i="5"/>
  <c r="AF176" i="3"/>
  <c r="AG176" i="3" s="1"/>
  <c r="AF108" i="3"/>
  <c r="AF106" i="4"/>
  <c r="AF173" i="5"/>
  <c r="AF133" i="5"/>
  <c r="AF84" i="5"/>
  <c r="AG84" i="5" s="1"/>
  <c r="AF192" i="3"/>
  <c r="AG192" i="3" s="1"/>
  <c r="AF92" i="3"/>
  <c r="AF98" i="3"/>
  <c r="AF186" i="4"/>
  <c r="AG186" i="4" s="1"/>
  <c r="AF196" i="4"/>
  <c r="AG196" i="4" s="1"/>
  <c r="AF102" i="4"/>
  <c r="AF93" i="5"/>
  <c r="AF172" i="6"/>
  <c r="AG172" i="6" s="1"/>
  <c r="AF101" i="7"/>
  <c r="AF89" i="7"/>
  <c r="AF156" i="7"/>
  <c r="AF96" i="8"/>
  <c r="AF92" i="8"/>
  <c r="AF148" i="9"/>
  <c r="AF90" i="9"/>
  <c r="AF81" i="11"/>
  <c r="AF105" i="9"/>
  <c r="AF102" i="9"/>
  <c r="AF186" i="10"/>
  <c r="AF174" i="10"/>
  <c r="AF93" i="10"/>
  <c r="AF161" i="11"/>
  <c r="AF102" i="14"/>
  <c r="AF99" i="14"/>
  <c r="AF103" i="12"/>
  <c r="AF99" i="13"/>
  <c r="I63" i="38"/>
  <c r="D63" i="38"/>
  <c r="AF107" i="12"/>
  <c r="AF102" i="13"/>
  <c r="L198" i="4"/>
  <c r="L79" i="5" s="1"/>
  <c r="L198" i="5" s="1"/>
  <c r="L79" i="6" s="1"/>
  <c r="L198" i="6" s="1"/>
  <c r="L79" i="7" s="1"/>
  <c r="L198" i="7" s="1"/>
  <c r="L79" i="8" s="1"/>
  <c r="L198" i="8" s="1"/>
  <c r="L79" i="9" s="1"/>
  <c r="AF88" i="4"/>
  <c r="AG88" i="4" s="1"/>
  <c r="AF81" i="3"/>
  <c r="AF88" i="3"/>
  <c r="AF196" i="3"/>
  <c r="AG196" i="3" s="1"/>
  <c r="AF91" i="4"/>
  <c r="AF108" i="5"/>
  <c r="AF94" i="5"/>
  <c r="AF87" i="5"/>
  <c r="AG87" i="5" s="1"/>
  <c r="AF154" i="8"/>
  <c r="AF162" i="9"/>
  <c r="AG162" i="9" s="1"/>
  <c r="AF143" i="9"/>
  <c r="AF130" i="9"/>
  <c r="AF124" i="10"/>
  <c r="AF177" i="13"/>
  <c r="AF111" i="13"/>
  <c r="AF115" i="14"/>
  <c r="AF108" i="14"/>
  <c r="AF100" i="14"/>
  <c r="AF98" i="14"/>
  <c r="AF96" i="14"/>
  <c r="E61" i="9"/>
  <c r="G61" i="9" s="1"/>
  <c r="F61" i="9" s="1"/>
  <c r="AF83" i="3"/>
  <c r="AF83" i="4"/>
  <c r="AG83" i="4" s="1"/>
  <c r="AF184" i="5"/>
  <c r="AF159" i="6"/>
  <c r="AF135" i="6"/>
  <c r="AF117" i="6"/>
  <c r="AF169" i="7"/>
  <c r="AF144" i="8"/>
  <c r="AG144" i="8" s="1"/>
  <c r="AF140" i="8"/>
  <c r="AG140" i="8" s="1"/>
  <c r="AF133" i="8"/>
  <c r="AF111" i="8"/>
  <c r="AF103" i="9"/>
  <c r="AF99" i="9"/>
  <c r="AF87" i="9"/>
  <c r="AF154" i="10"/>
  <c r="AF131" i="10"/>
  <c r="AF135" i="11"/>
  <c r="AF108" i="11"/>
  <c r="AF115" i="12"/>
  <c r="AF111" i="12"/>
  <c r="AF105" i="12"/>
  <c r="A131" i="22"/>
  <c r="D133" i="22" s="1"/>
  <c r="E133" i="22" s="1"/>
  <c r="AF102" i="3"/>
  <c r="AF93" i="3"/>
  <c r="AF86" i="3"/>
  <c r="AF137" i="4"/>
  <c r="AF96" i="4"/>
  <c r="AF151" i="5"/>
  <c r="AF111" i="5"/>
  <c r="AF90" i="5"/>
  <c r="AF96" i="6"/>
  <c r="AF196" i="9"/>
  <c r="AG196" i="9" s="1"/>
  <c r="AF104" i="9"/>
  <c r="AF96" i="9"/>
  <c r="AF136" i="13"/>
  <c r="AF132" i="13"/>
  <c r="AF128" i="13"/>
  <c r="AF192" i="14"/>
  <c r="AG192" i="14" s="1"/>
  <c r="AF95" i="14"/>
  <c r="AF189" i="3"/>
  <c r="AG189" i="3" s="1"/>
  <c r="AF181" i="3"/>
  <c r="AG181" i="3" s="1"/>
  <c r="AF82" i="4"/>
  <c r="AG82" i="4" s="1"/>
  <c r="AF109" i="6"/>
  <c r="AF104" i="7"/>
  <c r="AF97" i="8"/>
  <c r="AF180" i="9"/>
  <c r="AG180" i="9"/>
  <c r="AF96" i="11"/>
  <c r="AF180" i="14"/>
  <c r="AG180" i="14" s="1"/>
  <c r="K29" i="38"/>
  <c r="BA100" i="22"/>
  <c r="B37" i="15"/>
  <c r="E202" i="5"/>
  <c r="AJ197" i="11"/>
  <c r="H27" i="28"/>
  <c r="AF147" i="3"/>
  <c r="AF141" i="3"/>
  <c r="AF137" i="3"/>
  <c r="AF133" i="3"/>
  <c r="AF123" i="3"/>
  <c r="AF111" i="3"/>
  <c r="AF97" i="3"/>
  <c r="AF89" i="3"/>
  <c r="AF160" i="8"/>
  <c r="AF119" i="8"/>
  <c r="G34" i="38"/>
  <c r="G38" i="38" s="1"/>
  <c r="AF172" i="3"/>
  <c r="AG172" i="3" s="1"/>
  <c r="K24" i="28"/>
  <c r="M21" i="28"/>
  <c r="M24" i="28" s="1"/>
  <c r="M13" i="28"/>
  <c r="AF196" i="5"/>
  <c r="AG196" i="5" s="1"/>
  <c r="AF182" i="7"/>
  <c r="AG182" i="7" s="1"/>
  <c r="AF163" i="8"/>
  <c r="I61" i="38"/>
  <c r="D61" i="38"/>
  <c r="D64" i="38" s="1"/>
  <c r="C27" i="28"/>
  <c r="AF91" i="5"/>
  <c r="AF89" i="5"/>
  <c r="AF111" i="6"/>
  <c r="AF185" i="6"/>
  <c r="AG185" i="6"/>
  <c r="AF82" i="6"/>
  <c r="AG82" i="6" s="1"/>
  <c r="AF153" i="8"/>
  <c r="AF147" i="8"/>
  <c r="AF164" i="8"/>
  <c r="AF114" i="9"/>
  <c r="AF194" i="9"/>
  <c r="AG194" i="9" s="1"/>
  <c r="AF164" i="9"/>
  <c r="AG164" i="9" s="1"/>
  <c r="AF132" i="9"/>
  <c r="I12" i="37"/>
  <c r="G18" i="37"/>
  <c r="AF124" i="3"/>
  <c r="AF162" i="4"/>
  <c r="AF195" i="5"/>
  <c r="AG195" i="5" s="1"/>
  <c r="AF110" i="5"/>
  <c r="AF180" i="5"/>
  <c r="AF168" i="5"/>
  <c r="AF164" i="5"/>
  <c r="AF160" i="5"/>
  <c r="AF156" i="5"/>
  <c r="AG156" i="5"/>
  <c r="AF123" i="5"/>
  <c r="AF115" i="5"/>
  <c r="AF162" i="6"/>
  <c r="AF134" i="6"/>
  <c r="AF194" i="6"/>
  <c r="AG194" i="6" s="1"/>
  <c r="AF182" i="6"/>
  <c r="AG182" i="6" s="1"/>
  <c r="AF171" i="6"/>
  <c r="AG171" i="6" s="1"/>
  <c r="AF148" i="6"/>
  <c r="AF144" i="6"/>
  <c r="AF140" i="6"/>
  <c r="AF136" i="6"/>
  <c r="AF132" i="6"/>
  <c r="AF168" i="7"/>
  <c r="AF162" i="7"/>
  <c r="AG162" i="7" s="1"/>
  <c r="AF152" i="7"/>
  <c r="AF193" i="7"/>
  <c r="AG193" i="7" s="1"/>
  <c r="AF189" i="7"/>
  <c r="AG189" i="7" s="1"/>
  <c r="AF184" i="7"/>
  <c r="AG184" i="7" s="1"/>
  <c r="AF174" i="7"/>
  <c r="AF165" i="7"/>
  <c r="AG165" i="7" s="1"/>
  <c r="AF160" i="7"/>
  <c r="AG160" i="7" s="1"/>
  <c r="AF149" i="7"/>
  <c r="AF144" i="7"/>
  <c r="AF129" i="7"/>
  <c r="AF124" i="7"/>
  <c r="AF118" i="7"/>
  <c r="AF167" i="7"/>
  <c r="AF127" i="7"/>
  <c r="AF166" i="8"/>
  <c r="AF134" i="8"/>
  <c r="AF182" i="9"/>
  <c r="AF177" i="10"/>
  <c r="E287" i="10"/>
  <c r="AF95" i="11"/>
  <c r="AF157" i="12"/>
  <c r="AF186" i="14"/>
  <c r="AF122" i="3"/>
  <c r="AF107" i="3"/>
  <c r="AF99" i="4"/>
  <c r="AF186" i="5"/>
  <c r="AF125" i="5"/>
  <c r="AF101" i="5"/>
  <c r="AF97" i="5"/>
  <c r="AF177" i="6"/>
  <c r="AF163" i="6"/>
  <c r="AF95" i="6"/>
  <c r="AF179" i="7"/>
  <c r="AF155" i="7"/>
  <c r="AF147" i="7"/>
  <c r="AF131" i="7"/>
  <c r="AF179" i="8"/>
  <c r="AF170" i="8"/>
  <c r="AF136" i="8"/>
  <c r="AF192" i="8"/>
  <c r="AG192" i="8" s="1"/>
  <c r="AF180" i="8"/>
  <c r="AF159" i="8"/>
  <c r="AF149" i="8"/>
  <c r="AF132" i="8"/>
  <c r="AF118" i="8"/>
  <c r="AF114" i="8"/>
  <c r="AF93" i="8"/>
  <c r="AF121" i="9"/>
  <c r="AF183" i="9"/>
  <c r="AF119" i="9"/>
  <c r="AF143" i="10"/>
  <c r="D51" i="38"/>
  <c r="I51" i="38"/>
  <c r="H67" i="17"/>
  <c r="H68" i="17"/>
  <c r="AF84" i="9"/>
  <c r="AG84" i="9" s="1"/>
  <c r="AF95" i="10"/>
  <c r="AF186" i="11"/>
  <c r="AF141" i="11"/>
  <c r="AF192" i="11"/>
  <c r="AG192" i="11" s="1"/>
  <c r="AF187" i="11"/>
  <c r="AF148" i="11"/>
  <c r="AF133" i="11"/>
  <c r="AF124" i="11"/>
  <c r="AF118" i="11"/>
  <c r="AF168" i="11"/>
  <c r="AG168" i="11" s="1"/>
  <c r="AF103" i="11"/>
  <c r="AF101" i="11"/>
  <c r="AF82" i="11"/>
  <c r="AG82" i="11" s="1"/>
  <c r="AF173" i="12"/>
  <c r="AF162" i="12"/>
  <c r="AF130" i="13"/>
  <c r="AF126" i="13"/>
  <c r="AF181" i="13"/>
  <c r="AF162" i="13"/>
  <c r="AF147" i="13"/>
  <c r="AF143" i="13"/>
  <c r="AF194" i="14"/>
  <c r="AG194" i="14" s="1"/>
  <c r="AF190" i="14"/>
  <c r="AF191" i="14"/>
  <c r="AF131" i="14"/>
  <c r="AF106" i="14"/>
  <c r="AF104" i="14"/>
  <c r="D57" i="38"/>
  <c r="E287" i="11"/>
  <c r="AF93" i="9"/>
  <c r="AF156" i="10"/>
  <c r="AF121" i="10"/>
  <c r="AF188" i="10"/>
  <c r="AF184" i="10"/>
  <c r="AG184" i="10" s="1"/>
  <c r="AF180" i="10"/>
  <c r="AF168" i="10"/>
  <c r="AG168" i="10" s="1"/>
  <c r="AF161" i="10"/>
  <c r="AG161" i="10" s="1"/>
  <c r="AF155" i="10"/>
  <c r="AF144" i="10"/>
  <c r="AF140" i="10"/>
  <c r="AF132" i="10"/>
  <c r="AF114" i="10"/>
  <c r="AF110" i="10"/>
  <c r="AF100" i="10"/>
  <c r="AF98" i="10"/>
  <c r="AF151" i="11"/>
  <c r="AF117" i="11"/>
  <c r="AF194" i="11"/>
  <c r="AG194" i="11" s="1"/>
  <c r="AG188" i="11"/>
  <c r="AF144" i="11"/>
  <c r="AF125" i="11"/>
  <c r="AF131" i="12"/>
  <c r="AF101" i="12"/>
  <c r="AF92" i="12"/>
  <c r="AF153" i="13"/>
  <c r="AF148" i="13"/>
  <c r="AF125" i="13"/>
  <c r="AF114" i="13"/>
  <c r="AF196" i="13"/>
  <c r="AG196" i="13"/>
  <c r="AF176" i="14"/>
  <c r="AG176" i="14" s="1"/>
  <c r="AF181" i="14"/>
  <c r="AG181" i="14" s="1"/>
  <c r="AF101" i="14"/>
  <c r="E287" i="6"/>
  <c r="AF159" i="11"/>
  <c r="AF126" i="11"/>
  <c r="AF193" i="11"/>
  <c r="AG193" i="11" s="1"/>
  <c r="AF150" i="12"/>
  <c r="AF146" i="12"/>
  <c r="AF193" i="12"/>
  <c r="AG193" i="12" s="1"/>
  <c r="AF185" i="12"/>
  <c r="AG185" i="12" s="1"/>
  <c r="AF163" i="12"/>
  <c r="AF182" i="13"/>
  <c r="AF163" i="13"/>
  <c r="AF117" i="13"/>
  <c r="AF172" i="14"/>
  <c r="AG172" i="14" s="1"/>
  <c r="AF154" i="14"/>
  <c r="AF150" i="14"/>
  <c r="AF138" i="14"/>
  <c r="AF134" i="14"/>
  <c r="AF120" i="14"/>
  <c r="AF174" i="14"/>
  <c r="AG174" i="14" s="1"/>
  <c r="AF170" i="14"/>
  <c r="AG170" i="14" s="1"/>
  <c r="AF144" i="14"/>
  <c r="AF122" i="14"/>
  <c r="E209" i="3"/>
  <c r="E216" i="3" s="1"/>
  <c r="A1" i="38"/>
  <c r="AF179" i="13"/>
  <c r="AF186" i="13"/>
  <c r="AF171" i="13"/>
  <c r="AG171" i="13" s="1"/>
  <c r="AF167" i="13"/>
  <c r="AG167" i="13" s="1"/>
  <c r="AF140" i="13"/>
  <c r="AF193" i="13"/>
  <c r="AG193" i="13" s="1"/>
  <c r="AF189" i="13"/>
  <c r="AF185" i="13"/>
  <c r="AF174" i="13"/>
  <c r="AG174" i="13" s="1"/>
  <c r="AF135" i="13"/>
  <c r="AF169" i="13"/>
  <c r="AG169" i="13" s="1"/>
  <c r="AF165" i="13"/>
  <c r="AF146" i="13"/>
  <c r="AF142" i="13"/>
  <c r="AF138" i="13"/>
  <c r="AF134" i="13"/>
  <c r="AF116" i="13"/>
  <c r="AF112" i="13"/>
  <c r="AF183" i="13"/>
  <c r="AF156" i="13"/>
  <c r="AF149" i="13"/>
  <c r="AF141" i="13"/>
  <c r="AF133" i="13"/>
  <c r="AF123" i="13"/>
  <c r="AF108" i="13"/>
  <c r="AF171" i="14"/>
  <c r="AG171" i="14" s="1"/>
  <c r="AF140" i="14"/>
  <c r="AF137" i="14"/>
  <c r="AF119" i="14"/>
  <c r="AF185" i="14"/>
  <c r="AF143" i="14"/>
  <c r="AF132" i="14"/>
  <c r="AF168" i="14"/>
  <c r="AG168" i="14" s="1"/>
  <c r="AF130" i="14"/>
  <c r="AF119" i="12"/>
  <c r="AF188" i="12"/>
  <c r="AG188" i="12" s="1"/>
  <c r="AF110" i="12"/>
  <c r="AF177" i="12"/>
  <c r="AG177" i="12" s="1"/>
  <c r="AF184" i="12"/>
  <c r="AG184" i="12" s="1"/>
  <c r="AF165" i="12"/>
  <c r="AF180" i="12"/>
  <c r="AG180" i="12" s="1"/>
  <c r="AF176" i="12"/>
  <c r="AF138" i="12"/>
  <c r="AF125" i="12"/>
  <c r="AF117" i="12"/>
  <c r="AF190" i="12"/>
  <c r="AG190" i="12" s="1"/>
  <c r="AF152" i="12"/>
  <c r="AF196" i="12"/>
  <c r="AG196" i="12" s="1"/>
  <c r="AF158" i="11"/>
  <c r="AF137" i="11"/>
  <c r="AF130" i="11"/>
  <c r="AF109" i="11"/>
  <c r="AF183" i="11"/>
  <c r="AF147" i="11"/>
  <c r="AF129" i="11"/>
  <c r="AF114" i="11"/>
  <c r="AF111" i="11"/>
  <c r="AF184" i="11"/>
  <c r="G43" i="15"/>
  <c r="AF182" i="11"/>
  <c r="AF173" i="11"/>
  <c r="AF165" i="11"/>
  <c r="AG165" i="11" s="1"/>
  <c r="AF155" i="11"/>
  <c r="AF146" i="11"/>
  <c r="AF113" i="11"/>
  <c r="AF189" i="11"/>
  <c r="AG189" i="11" s="1"/>
  <c r="AF181" i="11"/>
  <c r="AF176" i="11"/>
  <c r="AF172" i="11"/>
  <c r="AF164" i="11"/>
  <c r="AG164" i="11" s="1"/>
  <c r="AF156" i="11"/>
  <c r="AF122" i="11"/>
  <c r="AF112" i="11"/>
  <c r="M43" i="15"/>
  <c r="AF192" i="10"/>
  <c r="AG192" i="10" s="1"/>
  <c r="AF172" i="10"/>
  <c r="AF147" i="10"/>
  <c r="AF181" i="10"/>
  <c r="AG181" i="10" s="1"/>
  <c r="AF195" i="10"/>
  <c r="AG195" i="10" s="1"/>
  <c r="AF175" i="10"/>
  <c r="AF171" i="10"/>
  <c r="AF164" i="10"/>
  <c r="AG164" i="10" s="1"/>
  <c r="AF146" i="10"/>
  <c r="AF139" i="10"/>
  <c r="AF113" i="10"/>
  <c r="AF187" i="10"/>
  <c r="AF166" i="10"/>
  <c r="AG166" i="10" s="1"/>
  <c r="AF162" i="10"/>
  <c r="AG162" i="10" s="1"/>
  <c r="AF141" i="10"/>
  <c r="AF127" i="10"/>
  <c r="AF122" i="10"/>
  <c r="AF119" i="10"/>
  <c r="AF111" i="10"/>
  <c r="AF185" i="9"/>
  <c r="AF177" i="9"/>
  <c r="AF175" i="9"/>
  <c r="AF170" i="9"/>
  <c r="AF168" i="9"/>
  <c r="AG168" i="9" s="1"/>
  <c r="AF153" i="9"/>
  <c r="AF145" i="9"/>
  <c r="AF136" i="9"/>
  <c r="AF150" i="9"/>
  <c r="AF179" i="9"/>
  <c r="AF174" i="9"/>
  <c r="AF157" i="9"/>
  <c r="AF155" i="9"/>
  <c r="AF149" i="9"/>
  <c r="AF142" i="9"/>
  <c r="AF191" i="9"/>
  <c r="AG191" i="9" s="1"/>
  <c r="AF178" i="9"/>
  <c r="AF159" i="9"/>
  <c r="AG159" i="9" s="1"/>
  <c r="AF146" i="9"/>
  <c r="AF137" i="9"/>
  <c r="AF129" i="9"/>
  <c r="AF127" i="9"/>
  <c r="AF118" i="9"/>
  <c r="AF109" i="9"/>
  <c r="AF167" i="9"/>
  <c r="AG167" i="9" s="1"/>
  <c r="AF135" i="9"/>
  <c r="AF188" i="8"/>
  <c r="AG188" i="8" s="1"/>
  <c r="AF175" i="8"/>
  <c r="AF162" i="8"/>
  <c r="AF116" i="8"/>
  <c r="AF191" i="8"/>
  <c r="AG191" i="8" s="1"/>
  <c r="AF183" i="8"/>
  <c r="AF145" i="8"/>
  <c r="AG145" i="8" s="1"/>
  <c r="AF129" i="8"/>
  <c r="AF112" i="8"/>
  <c r="AF148" i="8"/>
  <c r="AF142" i="8"/>
  <c r="AG142" i="8" s="1"/>
  <c r="AF196" i="8"/>
  <c r="AG196" i="8" s="1"/>
  <c r="AF173" i="8"/>
  <c r="AF143" i="8"/>
  <c r="AG143" i="8" s="1"/>
  <c r="AF139" i="8"/>
  <c r="AG139" i="8" s="1"/>
  <c r="AF128" i="8"/>
  <c r="AF123" i="8"/>
  <c r="AF156" i="8"/>
  <c r="AF130" i="8"/>
  <c r="AF134" i="7"/>
  <c r="AF138" i="7"/>
  <c r="AF191" i="7"/>
  <c r="AG191" i="7" s="1"/>
  <c r="AF159" i="7"/>
  <c r="AF119" i="7"/>
  <c r="AM197" i="7"/>
  <c r="AH197" i="7"/>
  <c r="AF153" i="7"/>
  <c r="AF148" i="7"/>
  <c r="AF128" i="7"/>
  <c r="AF181" i="7"/>
  <c r="AG181" i="7" s="1"/>
  <c r="AF136" i="7"/>
  <c r="AF195" i="7"/>
  <c r="AG195" i="7" s="1"/>
  <c r="AF115" i="7"/>
  <c r="AF151" i="7"/>
  <c r="AF111" i="7"/>
  <c r="AF178" i="7"/>
  <c r="AF157" i="7"/>
  <c r="AF146" i="7"/>
  <c r="AF112" i="7"/>
  <c r="AF164" i="6"/>
  <c r="AF160" i="6"/>
  <c r="AF181" i="6"/>
  <c r="AG181" i="6" s="1"/>
  <c r="AF178" i="6"/>
  <c r="AF190" i="5"/>
  <c r="AF138" i="5"/>
  <c r="AF134" i="5"/>
  <c r="AF130" i="5"/>
  <c r="AF126" i="5"/>
  <c r="AF144" i="5"/>
  <c r="AF137" i="5"/>
  <c r="AF129" i="5"/>
  <c r="AF185" i="5"/>
  <c r="AF117" i="5"/>
  <c r="AF183" i="5"/>
  <c r="AF179" i="5"/>
  <c r="AF171" i="5"/>
  <c r="AF167" i="5"/>
  <c r="AF163" i="5"/>
  <c r="AF141" i="5"/>
  <c r="AF191" i="5"/>
  <c r="AG191" i="5" s="1"/>
  <c r="AF183" i="4"/>
  <c r="AG183" i="4" s="1"/>
  <c r="AF120" i="4"/>
  <c r="AF193" i="4"/>
  <c r="AG193" i="4" s="1"/>
  <c r="AF176" i="4"/>
  <c r="AF172" i="4"/>
  <c r="AF168" i="4"/>
  <c r="AF164" i="4"/>
  <c r="AF160" i="4"/>
  <c r="AF156" i="4"/>
  <c r="AF133" i="4"/>
  <c r="AF129" i="4"/>
  <c r="AF125" i="4"/>
  <c r="AF121" i="4"/>
  <c r="AF117" i="4"/>
  <c r="AF113" i="4"/>
  <c r="AF178" i="4"/>
  <c r="AG178" i="4" s="1"/>
  <c r="AF170" i="4"/>
  <c r="AF138" i="4"/>
  <c r="AF134" i="4"/>
  <c r="AF130" i="4"/>
  <c r="AF118" i="4"/>
  <c r="AF108" i="4"/>
  <c r="AF178" i="3"/>
  <c r="AG178" i="3" s="1"/>
  <c r="AF169" i="3"/>
  <c r="AG169" i="3" s="1"/>
  <c r="AF194" i="3"/>
  <c r="AG194" i="3" s="1"/>
  <c r="AF190" i="3"/>
  <c r="AG190" i="3" s="1"/>
  <c r="AF145" i="3"/>
  <c r="AF127" i="3"/>
  <c r="AF121" i="3"/>
  <c r="AF115" i="3"/>
  <c r="AF146" i="3"/>
  <c r="AF129" i="3"/>
  <c r="AF125" i="3"/>
  <c r="AF183" i="3"/>
  <c r="AG183" i="3" s="1"/>
  <c r="AF164" i="14"/>
  <c r="AG164" i="14" s="1"/>
  <c r="AF193" i="14"/>
  <c r="AG193" i="14" s="1"/>
  <c r="AF178" i="14"/>
  <c r="AG178" i="14" s="1"/>
  <c r="AF136" i="14"/>
  <c r="AF189" i="14"/>
  <c r="AG189" i="14" s="1"/>
  <c r="AF195" i="14"/>
  <c r="AG195" i="14"/>
  <c r="AF187" i="14"/>
  <c r="AF183" i="14"/>
  <c r="AG183" i="14" s="1"/>
  <c r="AF128" i="14"/>
  <c r="AF124" i="14"/>
  <c r="AF188" i="14"/>
  <c r="AG188" i="14" s="1"/>
  <c r="AF179" i="14"/>
  <c r="AG179" i="14" s="1"/>
  <c r="AF173" i="14"/>
  <c r="AG173" i="14"/>
  <c r="AF158" i="14"/>
  <c r="AF126" i="14"/>
  <c r="AF118" i="14"/>
  <c r="AF161" i="14"/>
  <c r="AF142" i="14"/>
  <c r="AF123" i="14"/>
  <c r="AF116" i="14"/>
  <c r="AF119" i="13"/>
  <c r="AF195" i="13"/>
  <c r="AG195" i="13" s="1"/>
  <c r="AF190" i="13"/>
  <c r="AG190" i="13" s="1"/>
  <c r="AF180" i="13"/>
  <c r="AF168" i="13"/>
  <c r="AG168" i="13"/>
  <c r="AF160" i="13"/>
  <c r="AF144" i="13"/>
  <c r="AF178" i="13"/>
  <c r="AF170" i="13"/>
  <c r="AG170" i="13" s="1"/>
  <c r="AF166" i="13"/>
  <c r="AG166" i="13" s="1"/>
  <c r="AF158" i="13"/>
  <c r="AF127" i="13"/>
  <c r="AF121" i="13"/>
  <c r="AF115" i="13"/>
  <c r="AF159" i="13"/>
  <c r="AF109" i="13"/>
  <c r="AF192" i="13"/>
  <c r="AG192" i="13" s="1"/>
  <c r="AF184" i="13"/>
  <c r="AF149" i="12"/>
  <c r="AF134" i="12"/>
  <c r="AF172" i="12"/>
  <c r="AF153" i="12"/>
  <c r="AF182" i="12"/>
  <c r="AG182" i="12" s="1"/>
  <c r="AF159" i="12"/>
  <c r="AG159" i="12" s="1"/>
  <c r="AF112" i="12"/>
  <c r="AF191" i="12"/>
  <c r="AG191" i="12" s="1"/>
  <c r="AF187" i="12"/>
  <c r="AG187" i="12" s="1"/>
  <c r="AF185" i="11"/>
  <c r="D43" i="15"/>
  <c r="AF138" i="11"/>
  <c r="AF127" i="11"/>
  <c r="AF110" i="11"/>
  <c r="AF177" i="11"/>
  <c r="AF121" i="11"/>
  <c r="AF115" i="11"/>
  <c r="AF136" i="11"/>
  <c r="AF166" i="11"/>
  <c r="AG166" i="11"/>
  <c r="AF157" i="11"/>
  <c r="AF131" i="11"/>
  <c r="AF132" i="11"/>
  <c r="AF152" i="11"/>
  <c r="AF128" i="10"/>
  <c r="AF117" i="10"/>
  <c r="AF178" i="10"/>
  <c r="AF151" i="10"/>
  <c r="AF135" i="10"/>
  <c r="AF109" i="10"/>
  <c r="P42" i="15"/>
  <c r="AF191" i="10"/>
  <c r="AG191" i="10" s="1"/>
  <c r="AF160" i="10"/>
  <c r="AG160" i="10" s="1"/>
  <c r="AF145" i="10"/>
  <c r="AF137" i="10"/>
  <c r="AF133" i="10"/>
  <c r="AF129" i="10"/>
  <c r="AF196" i="10"/>
  <c r="AG196" i="10" s="1"/>
  <c r="AF131" i="9"/>
  <c r="AF113" i="9"/>
  <c r="AF189" i="9"/>
  <c r="AG189" i="9" s="1"/>
  <c r="AF184" i="9"/>
  <c r="AF117" i="9"/>
  <c r="AF120" i="9"/>
  <c r="AF138" i="8"/>
  <c r="AF131" i="8"/>
  <c r="AF161" i="8"/>
  <c r="AF150" i="8"/>
  <c r="AF137" i="8"/>
  <c r="AF194" i="8"/>
  <c r="AG194" i="8" s="1"/>
  <c r="AF186" i="8"/>
  <c r="AG186" i="8" s="1"/>
  <c r="AF182" i="8"/>
  <c r="AF155" i="8"/>
  <c r="AF125" i="8"/>
  <c r="AF121" i="8"/>
  <c r="AF172" i="8"/>
  <c r="AF135" i="8"/>
  <c r="AF126" i="8"/>
  <c r="BA197" i="7"/>
  <c r="AT197" i="7"/>
  <c r="AF133" i="7"/>
  <c r="AF190" i="7"/>
  <c r="AG190" i="7"/>
  <c r="AF186" i="7"/>
  <c r="AG186" i="7" s="1"/>
  <c r="AF180" i="7"/>
  <c r="AG180" i="7" s="1"/>
  <c r="AF166" i="7"/>
  <c r="AG166" i="7" s="1"/>
  <c r="AF145" i="7"/>
  <c r="AF140" i="7"/>
  <c r="AF132" i="7"/>
  <c r="AF113" i="7"/>
  <c r="AF196" i="7"/>
  <c r="AG196" i="7"/>
  <c r="AF163" i="7"/>
  <c r="AG163" i="7" s="1"/>
  <c r="AA39" i="15"/>
  <c r="AF194" i="7"/>
  <c r="AG194" i="7" s="1"/>
  <c r="AF125" i="7"/>
  <c r="AO197" i="7"/>
  <c r="AF170" i="7"/>
  <c r="AF114" i="7"/>
  <c r="AF116" i="6"/>
  <c r="AF190" i="6"/>
  <c r="AG190" i="6" s="1"/>
  <c r="AF156" i="6"/>
  <c r="AF152" i="6"/>
  <c r="AF124" i="6"/>
  <c r="AF193" i="6"/>
  <c r="AG193" i="6"/>
  <c r="AF186" i="6"/>
  <c r="AG186" i="6" s="1"/>
  <c r="AF167" i="6"/>
  <c r="AF155" i="6"/>
  <c r="AF151" i="6"/>
  <c r="AF147" i="6"/>
  <c r="AF143" i="6"/>
  <c r="AF139" i="6"/>
  <c r="AF188" i="6"/>
  <c r="AG188" i="6" s="1"/>
  <c r="AF176" i="6"/>
  <c r="AF189" i="6"/>
  <c r="AG189" i="6" s="1"/>
  <c r="AF158" i="6"/>
  <c r="AF154" i="6"/>
  <c r="AF146" i="6"/>
  <c r="AF142" i="6"/>
  <c r="AF138" i="6"/>
  <c r="AF131" i="6"/>
  <c r="AF112" i="6"/>
  <c r="AF183" i="6"/>
  <c r="AG183" i="6" s="1"/>
  <c r="AF194" i="5"/>
  <c r="AG194" i="5"/>
  <c r="AF170" i="5"/>
  <c r="AF162" i="5"/>
  <c r="AF113" i="5"/>
  <c r="AF140" i="5"/>
  <c r="AF118" i="5"/>
  <c r="AF114" i="5"/>
  <c r="N37" i="15"/>
  <c r="AF150" i="5"/>
  <c r="AF146" i="5"/>
  <c r="AF142" i="5"/>
  <c r="AF182" i="5"/>
  <c r="AF152" i="5"/>
  <c r="AF119" i="5"/>
  <c r="AF192" i="5"/>
  <c r="AG192" i="5" s="1"/>
  <c r="AF140" i="4"/>
  <c r="AF136" i="4"/>
  <c r="AF132" i="4"/>
  <c r="AF128" i="4"/>
  <c r="AF116" i="4"/>
  <c r="AF112" i="4"/>
  <c r="AF191" i="4"/>
  <c r="AG191" i="4" s="1"/>
  <c r="AF141" i="4"/>
  <c r="AF166" i="4"/>
  <c r="AF154" i="4"/>
  <c r="AF188" i="4"/>
  <c r="AG188" i="4" s="1"/>
  <c r="AF173" i="4"/>
  <c r="AF165" i="4"/>
  <c r="AF161" i="4"/>
  <c r="AF157" i="4"/>
  <c r="AF146" i="4"/>
  <c r="AF192" i="4"/>
  <c r="AG192" i="4" s="1"/>
  <c r="AF142" i="4"/>
  <c r="AF109" i="4"/>
  <c r="AF149" i="4"/>
  <c r="AF145" i="4"/>
  <c r="AV197" i="4"/>
  <c r="AF194" i="4"/>
  <c r="AG194" i="4" s="1"/>
  <c r="AF174" i="4"/>
  <c r="AF148" i="4"/>
  <c r="AG148" i="4" s="1"/>
  <c r="AF144" i="4"/>
  <c r="AF126" i="4"/>
  <c r="AF114" i="4"/>
  <c r="AF110" i="4"/>
  <c r="AF179" i="4"/>
  <c r="AG179" i="4" s="1"/>
  <c r="AF167" i="4"/>
  <c r="AF155" i="4"/>
  <c r="AF135" i="4"/>
  <c r="AF184" i="4"/>
  <c r="AG184" i="4" s="1"/>
  <c r="AF180" i="4"/>
  <c r="AG180" i="4" s="1"/>
  <c r="AF127" i="4"/>
  <c r="AF177" i="4"/>
  <c r="AG177" i="4" s="1"/>
  <c r="AF189" i="4"/>
  <c r="AG189" i="4" s="1"/>
  <c r="AF185" i="4"/>
  <c r="AG185" i="4" s="1"/>
  <c r="AF181" i="4"/>
  <c r="AG181" i="4" s="1"/>
  <c r="AF158" i="4"/>
  <c r="AF150" i="4"/>
  <c r="AF165" i="3"/>
  <c r="AA35" i="15"/>
  <c r="AN197" i="3"/>
  <c r="AF193" i="3"/>
  <c r="AG193" i="3" s="1"/>
  <c r="AF185" i="3"/>
  <c r="AG185" i="3" s="1"/>
  <c r="N35" i="15"/>
  <c r="M35" i="15"/>
  <c r="AT197" i="3"/>
  <c r="AF110" i="3"/>
  <c r="G35" i="15"/>
  <c r="AF188" i="3"/>
  <c r="AG188" i="3" s="1"/>
  <c r="AF184" i="3"/>
  <c r="AG184" i="3" s="1"/>
  <c r="AF144" i="3"/>
  <c r="AF130" i="3"/>
  <c r="AF126" i="3"/>
  <c r="AF152" i="3"/>
  <c r="AF149" i="3"/>
  <c r="AU197" i="3"/>
  <c r="AF195" i="3"/>
  <c r="AG195" i="3" s="1"/>
  <c r="AF191" i="3"/>
  <c r="AG191" i="3" s="1"/>
  <c r="AF187" i="3"/>
  <c r="AG187" i="3" s="1"/>
  <c r="AF180" i="3"/>
  <c r="AG180" i="3" s="1"/>
  <c r="AF153" i="3"/>
  <c r="AF112" i="3"/>
  <c r="AF173" i="3"/>
  <c r="AG173" i="3" s="1"/>
  <c r="AF166" i="3"/>
  <c r="AF162" i="3"/>
  <c r="AF154" i="3"/>
  <c r="AF151" i="3"/>
  <c r="AF116" i="3"/>
  <c r="A1" i="37"/>
  <c r="A1" i="34"/>
  <c r="A1" i="28"/>
  <c r="AL79" i="3"/>
  <c r="AJ79" i="3"/>
  <c r="AR79" i="3"/>
  <c r="AW79" i="3"/>
  <c r="AI79" i="3"/>
  <c r="AU79" i="3"/>
  <c r="C34" i="15"/>
  <c r="AP79" i="3"/>
  <c r="AS79" i="3"/>
  <c r="E198" i="3"/>
  <c r="AY198" i="3" s="1"/>
  <c r="BD79" i="3"/>
  <c r="AM79" i="3"/>
  <c r="AN79" i="3"/>
  <c r="AZ79" i="3"/>
  <c r="AY79" i="3"/>
  <c r="BA79" i="3"/>
  <c r="AT79" i="3"/>
  <c r="AX79" i="3"/>
  <c r="AK79" i="3"/>
  <c r="BC79" i="3"/>
  <c r="AO79" i="3"/>
  <c r="O198" i="6"/>
  <c r="O79" i="7" s="1"/>
  <c r="O198" i="7" s="1"/>
  <c r="O79" i="8" s="1"/>
  <c r="O198" i="8" s="1"/>
  <c r="O79" i="9" s="1"/>
  <c r="S198" i="6"/>
  <c r="S79" i="7" s="1"/>
  <c r="S198" i="7" s="1"/>
  <c r="S79" i="8" s="1"/>
  <c r="S198" i="8" s="1"/>
  <c r="S79" i="9" s="1"/>
  <c r="S198" i="9" s="1"/>
  <c r="S79" i="10" s="1"/>
  <c r="S198" i="10" s="1"/>
  <c r="S79" i="11" s="1"/>
  <c r="S198" i="11" s="1"/>
  <c r="M16" i="5"/>
  <c r="M54" i="5" s="1"/>
  <c r="V43" i="15"/>
  <c r="AB198" i="4"/>
  <c r="AB79" i="5" s="1"/>
  <c r="AB198" i="5" s="1"/>
  <c r="AB79" i="6" s="1"/>
  <c r="AB198" i="6" s="1"/>
  <c r="AB79" i="7" s="1"/>
  <c r="H36" i="15"/>
  <c r="D39" i="15"/>
  <c r="E202" i="7"/>
  <c r="V44" i="15"/>
  <c r="T79" i="4"/>
  <c r="T198" i="4" s="1"/>
  <c r="M79" i="7"/>
  <c r="M198" i="7" s="1"/>
  <c r="B40" i="15"/>
  <c r="D49" i="38"/>
  <c r="J79" i="4"/>
  <c r="C32" i="37"/>
  <c r="AF173" i="6"/>
  <c r="AG173" i="6" s="1"/>
  <c r="AF121" i="6"/>
  <c r="C37" i="15"/>
  <c r="AC37" i="15" s="1"/>
  <c r="V39" i="15"/>
  <c r="AZ197" i="7"/>
  <c r="AX197" i="7"/>
  <c r="AC79" i="4"/>
  <c r="AC198" i="4" s="1"/>
  <c r="AC79" i="5" s="1"/>
  <c r="W79" i="5"/>
  <c r="W198" i="5" s="1"/>
  <c r="W79" i="6" s="1"/>
  <c r="W198" i="6" s="1"/>
  <c r="AF139" i="3"/>
  <c r="AF135" i="3"/>
  <c r="AF195" i="12"/>
  <c r="AG195" i="12" s="1"/>
  <c r="Z42" i="15"/>
  <c r="G71" i="38"/>
  <c r="AF180" i="6"/>
  <c r="AF170" i="6"/>
  <c r="AG170" i="6" s="1"/>
  <c r="AF108" i="7"/>
  <c r="E18" i="37"/>
  <c r="I14" i="37"/>
  <c r="E61" i="5"/>
  <c r="G61" i="5" s="1"/>
  <c r="F61" i="5" s="1"/>
  <c r="H43" i="15"/>
  <c r="D18" i="4"/>
  <c r="D52" i="4"/>
  <c r="D46" i="4"/>
  <c r="D40" i="4"/>
  <c r="D21" i="4"/>
  <c r="D51" i="4"/>
  <c r="D20" i="4"/>
  <c r="D22" i="4"/>
  <c r="D27" i="4"/>
  <c r="D37" i="4"/>
  <c r="F9" i="4"/>
  <c r="D38" i="4"/>
  <c r="D25" i="4"/>
  <c r="D17" i="4"/>
  <c r="D29" i="4"/>
  <c r="D47" i="4"/>
  <c r="D34" i="4"/>
  <c r="D50" i="4"/>
  <c r="B41" i="4"/>
  <c r="D45" i="4"/>
  <c r="AF158" i="3"/>
  <c r="AF103" i="4"/>
  <c r="AF81" i="4"/>
  <c r="AG81" i="4" s="1"/>
  <c r="AF122" i="5"/>
  <c r="AF154" i="7"/>
  <c r="AF101" i="9"/>
  <c r="AF106" i="10"/>
  <c r="B35" i="15"/>
  <c r="I52" i="38"/>
  <c r="I54" i="38"/>
  <c r="L54" i="38" s="1"/>
  <c r="D52" i="38"/>
  <c r="AZ197" i="4"/>
  <c r="R198" i="4"/>
  <c r="R79" i="5" s="1"/>
  <c r="R198" i="5" s="1"/>
  <c r="R79" i="6" s="1"/>
  <c r="R198" i="6" s="1"/>
  <c r="AF177" i="3"/>
  <c r="AG177" i="3" s="1"/>
  <c r="AF161" i="3"/>
  <c r="AF117" i="3"/>
  <c r="AF132" i="3"/>
  <c r="AF86" i="4"/>
  <c r="AG86" i="4"/>
  <c r="AF85" i="5"/>
  <c r="AG85" i="5" s="1"/>
  <c r="AF175" i="6"/>
  <c r="AF172" i="9"/>
  <c r="D16" i="38"/>
  <c r="E17" i="38"/>
  <c r="G31" i="4"/>
  <c r="E31" i="4" s="1"/>
  <c r="AD198" i="3"/>
  <c r="AF95" i="4"/>
  <c r="AF105" i="5"/>
  <c r="AF86" i="5"/>
  <c r="AG86" i="5"/>
  <c r="AF115" i="6"/>
  <c r="AF169" i="6"/>
  <c r="AG169" i="6" s="1"/>
  <c r="AF165" i="8"/>
  <c r="AF176" i="9"/>
  <c r="AF111" i="9"/>
  <c r="AF96" i="10"/>
  <c r="AF90" i="11"/>
  <c r="E287" i="5"/>
  <c r="E287" i="13"/>
  <c r="E28" i="4"/>
  <c r="AF170" i="3"/>
  <c r="AG170" i="3" s="1"/>
  <c r="AF118" i="3"/>
  <c r="AF195" i="4"/>
  <c r="AF85" i="4"/>
  <c r="AG85" i="4" s="1"/>
  <c r="AF118" i="6"/>
  <c r="AF137" i="7"/>
  <c r="AF143" i="7"/>
  <c r="AF122" i="8"/>
  <c r="AF115" i="8"/>
  <c r="AF152" i="8"/>
  <c r="AF165" i="9"/>
  <c r="AG165" i="9" s="1"/>
  <c r="AF154" i="13"/>
  <c r="AF175" i="7"/>
  <c r="AF187" i="8"/>
  <c r="AG187" i="8" s="1"/>
  <c r="AF169" i="9"/>
  <c r="AG169" i="9" s="1"/>
  <c r="AF156" i="9"/>
  <c r="AF118" i="10"/>
  <c r="AF99" i="10"/>
  <c r="AF167" i="11"/>
  <c r="AG167" i="11" s="1"/>
  <c r="AF104" i="11"/>
  <c r="AF156" i="14"/>
  <c r="AF146" i="14"/>
  <c r="E287" i="14"/>
  <c r="AF86" i="7"/>
  <c r="AF177" i="8"/>
  <c r="AF109" i="8"/>
  <c r="AF171" i="9"/>
  <c r="AF160" i="9"/>
  <c r="AG160" i="9" s="1"/>
  <c r="AF167" i="10"/>
  <c r="AG167" i="10" s="1"/>
  <c r="AF103" i="10"/>
  <c r="AF149" i="11"/>
  <c r="AF134" i="11"/>
  <c r="AF145" i="11"/>
  <c r="AF178" i="12"/>
  <c r="AG178" i="12" s="1"/>
  <c r="AF126" i="12"/>
  <c r="AF188" i="13"/>
  <c r="AF151" i="13"/>
  <c r="AF83" i="13"/>
  <c r="AF182" i="14"/>
  <c r="AG182" i="14" s="1"/>
  <c r="AF148" i="14"/>
  <c r="AF169" i="14"/>
  <c r="AG169" i="14" s="1"/>
  <c r="F47" i="37"/>
  <c r="F51" i="37" s="1"/>
  <c r="E26" i="37" s="1"/>
  <c r="E28" i="37" s="1"/>
  <c r="D51" i="37"/>
  <c r="G47" i="5"/>
  <c r="G25" i="4"/>
  <c r="E25" i="4" s="1"/>
  <c r="G24" i="4"/>
  <c r="G35" i="4"/>
  <c r="E35" i="4" s="1"/>
  <c r="G43" i="4"/>
  <c r="E43" i="4" s="1"/>
  <c r="G39" i="4"/>
  <c r="E39" i="4" s="1"/>
  <c r="G47" i="4"/>
  <c r="E47" i="4" s="1"/>
  <c r="G52" i="4"/>
  <c r="E52" i="4" s="1"/>
  <c r="G42" i="4"/>
  <c r="E42" i="4" s="1"/>
  <c r="G50" i="4"/>
  <c r="E50" i="4" s="1"/>
  <c r="G29" i="4"/>
  <c r="E29" i="4" s="1"/>
  <c r="G44" i="4"/>
  <c r="E44" i="4" s="1"/>
  <c r="G49" i="4"/>
  <c r="E49" i="4" s="1"/>
  <c r="G23" i="4"/>
  <c r="E23" i="4" s="1"/>
  <c r="G37" i="4"/>
  <c r="E37" i="4" s="1"/>
  <c r="D12" i="15"/>
  <c r="F35" i="15"/>
  <c r="F16" i="4"/>
  <c r="F54" i="4" s="1"/>
  <c r="F16" i="5" s="1"/>
  <c r="F54" i="5" s="1"/>
  <c r="F16" i="6" s="1"/>
  <c r="F54" i="6" s="1"/>
  <c r="F16" i="7" s="1"/>
  <c r="F54" i="7" s="1"/>
  <c r="F16" i="8" s="1"/>
  <c r="F54" i="8" s="1"/>
  <c r="F16" i="9" s="1"/>
  <c r="F54" i="9" s="1"/>
  <c r="F16" i="10" s="1"/>
  <c r="F54" i="10" s="1"/>
  <c r="F16" i="11" s="1"/>
  <c r="F54" i="11" s="1"/>
  <c r="F16" i="12" s="1"/>
  <c r="F54" i="12" s="1"/>
  <c r="F16" i="13" s="1"/>
  <c r="F54" i="13" s="1"/>
  <c r="F16" i="14" s="1"/>
  <c r="F54" i="14" s="1"/>
  <c r="E61" i="8"/>
  <c r="G61" i="8" s="1"/>
  <c r="D54" i="3"/>
  <c r="D16" i="4" s="1"/>
  <c r="G54" i="3"/>
  <c r="G16" i="4"/>
  <c r="D53" i="3"/>
  <c r="E59" i="3" s="1"/>
  <c r="G34" i="5"/>
  <c r="G52" i="5"/>
  <c r="G46" i="5"/>
  <c r="G45" i="5"/>
  <c r="G53" i="3"/>
  <c r="E17" i="4"/>
  <c r="D22" i="15"/>
  <c r="C12" i="26"/>
  <c r="F61" i="3"/>
  <c r="C4" i="5"/>
  <c r="F14" i="15" s="1"/>
  <c r="A13" i="15"/>
  <c r="A35" i="26"/>
  <c r="A36" i="15"/>
  <c r="A13" i="26"/>
  <c r="Q13" i="15"/>
  <c r="D134" i="22"/>
  <c r="E134" i="22" s="1"/>
  <c r="AT198" i="3"/>
  <c r="BB198" i="3"/>
  <c r="AZ198" i="3"/>
  <c r="AV198" i="3"/>
  <c r="I18" i="37"/>
  <c r="G62" i="3"/>
  <c r="R12" i="15" s="1"/>
  <c r="C4" i="6"/>
  <c r="A38" i="15" s="1"/>
  <c r="G62" i="9"/>
  <c r="R18" i="15" s="1"/>
  <c r="E27" i="38" l="1"/>
  <c r="AF94" i="13"/>
  <c r="M30" i="18"/>
  <c r="M41" i="18" s="1"/>
  <c r="AJ197" i="3"/>
  <c r="E40" i="18"/>
  <c r="C41" i="18"/>
  <c r="B41" i="18"/>
  <c r="E39" i="18"/>
  <c r="AF94" i="7"/>
  <c r="E53" i="3"/>
  <c r="E54" i="3"/>
  <c r="E16" i="4" s="1"/>
  <c r="G28" i="5"/>
  <c r="G44" i="5"/>
  <c r="G31" i="5"/>
  <c r="E32" i="37"/>
  <c r="G23" i="5"/>
  <c r="BB197" i="4"/>
  <c r="AF80" i="4"/>
  <c r="AG80" i="4" s="1"/>
  <c r="AV197" i="6"/>
  <c r="AL197" i="7"/>
  <c r="AF138" i="3"/>
  <c r="AF175" i="5"/>
  <c r="AF172" i="5"/>
  <c r="AF148" i="5"/>
  <c r="AF165" i="6"/>
  <c r="AF153" i="6"/>
  <c r="AF141" i="6"/>
  <c r="AF185" i="8"/>
  <c r="AF140" i="12"/>
  <c r="AF133" i="12"/>
  <c r="G18" i="5"/>
  <c r="AP198" i="3"/>
  <c r="AU198" i="3"/>
  <c r="G24" i="5"/>
  <c r="G30" i="5"/>
  <c r="G54" i="4"/>
  <c r="G16" i="5" s="1"/>
  <c r="G41" i="5"/>
  <c r="BC100" i="22"/>
  <c r="AN198" i="3"/>
  <c r="G21" i="5"/>
  <c r="G27" i="5"/>
  <c r="AH197" i="3"/>
  <c r="D15" i="15"/>
  <c r="G35" i="5"/>
  <c r="AF98" i="22"/>
  <c r="AJ98" i="22" s="1"/>
  <c r="AF93" i="22"/>
  <c r="AJ93" i="22" s="1"/>
  <c r="AY197" i="11"/>
  <c r="AF84" i="3"/>
  <c r="AF182" i="4"/>
  <c r="AG182" i="4" s="1"/>
  <c r="AF111" i="4"/>
  <c r="AF174" i="5"/>
  <c r="AF188" i="5"/>
  <c r="AF98" i="5"/>
  <c r="AF81" i="5"/>
  <c r="AG81" i="5" s="1"/>
  <c r="AF98" i="7"/>
  <c r="AF103" i="8"/>
  <c r="AF154" i="11"/>
  <c r="AF145" i="13"/>
  <c r="AF139" i="13"/>
  <c r="AF120" i="13"/>
  <c r="G34" i="37"/>
  <c r="H202" i="10"/>
  <c r="AF136" i="3"/>
  <c r="AF169" i="4"/>
  <c r="AF92" i="4"/>
  <c r="AF176" i="5"/>
  <c r="AG176" i="5" s="1"/>
  <c r="AF119" i="6"/>
  <c r="AF122" i="6"/>
  <c r="AF113" i="6"/>
  <c r="AF106" i="6"/>
  <c r="AF94" i="6"/>
  <c r="AF183" i="7"/>
  <c r="AG183" i="7" s="1"/>
  <c r="AF97" i="7"/>
  <c r="AF108" i="8"/>
  <c r="AF84" i="8"/>
  <c r="AF165" i="10"/>
  <c r="AG165" i="10" s="1"/>
  <c r="AF101" i="10"/>
  <c r="AF153" i="11"/>
  <c r="AF180" i="11"/>
  <c r="AF140" i="11"/>
  <c r="AF99" i="11"/>
  <c r="AF93" i="11"/>
  <c r="AF194" i="12"/>
  <c r="AG194" i="12" s="1"/>
  <c r="AF169" i="12"/>
  <c r="AF106" i="12"/>
  <c r="AF94" i="12"/>
  <c r="AF175" i="13"/>
  <c r="AF92" i="14"/>
  <c r="E287" i="3"/>
  <c r="AF80" i="12"/>
  <c r="AG80" i="12" s="1"/>
  <c r="K27" i="28"/>
  <c r="BB101" i="22"/>
  <c r="AL101" i="22"/>
  <c r="AF96" i="22"/>
  <c r="AJ96" i="22" s="1"/>
  <c r="AF84" i="22"/>
  <c r="AJ84" i="22" s="1"/>
  <c r="AF94" i="4"/>
  <c r="AF149" i="6"/>
  <c r="AF176" i="10"/>
  <c r="AF190" i="11"/>
  <c r="AG190" i="11" s="1"/>
  <c r="AF196" i="11"/>
  <c r="AG196" i="11" s="1"/>
  <c r="AF107" i="11"/>
  <c r="AF129" i="14"/>
  <c r="G50" i="5"/>
  <c r="G38" i="5"/>
  <c r="AY100" i="22"/>
  <c r="AF89" i="22"/>
  <c r="AJ89" i="22" s="1"/>
  <c r="F16" i="28"/>
  <c r="AF142" i="3"/>
  <c r="AF171" i="4"/>
  <c r="AF139" i="5"/>
  <c r="AF116" i="5"/>
  <c r="AF102" i="5"/>
  <c r="AF96" i="5"/>
  <c r="AF81" i="6"/>
  <c r="AG81" i="6" s="1"/>
  <c r="AF126" i="7"/>
  <c r="AF109" i="7"/>
  <c r="AF102" i="7"/>
  <c r="AF190" i="8"/>
  <c r="AG190" i="8" s="1"/>
  <c r="AF184" i="8"/>
  <c r="AF176" i="8"/>
  <c r="AF142" i="11"/>
  <c r="AF106" i="11"/>
  <c r="AF160" i="12"/>
  <c r="AG160" i="12" s="1"/>
  <c r="AF147" i="12"/>
  <c r="AF141" i="12"/>
  <c r="AF127" i="12"/>
  <c r="AF109" i="12"/>
  <c r="AF99" i="12"/>
  <c r="AF87" i="12"/>
  <c r="AF172" i="13"/>
  <c r="AG172" i="13" s="1"/>
  <c r="AF122" i="13"/>
  <c r="AF160" i="14"/>
  <c r="AF153" i="14"/>
  <c r="AF147" i="14"/>
  <c r="AF141" i="14"/>
  <c r="AF121" i="14"/>
  <c r="L16" i="5"/>
  <c r="L54" i="5" s="1"/>
  <c r="L16" i="6" s="1"/>
  <c r="L54" i="6" s="1"/>
  <c r="L16" i="7" s="1"/>
  <c r="L54" i="7" s="1"/>
  <c r="L16" i="8" s="1"/>
  <c r="L54" i="8" s="1"/>
  <c r="L16" i="9" s="1"/>
  <c r="L54" i="9" s="1"/>
  <c r="L16" i="10" s="1"/>
  <c r="L54" i="10" s="1"/>
  <c r="L16" i="11" s="1"/>
  <c r="L54" i="11" s="1"/>
  <c r="L16" i="12" s="1"/>
  <c r="L54" i="12" s="1"/>
  <c r="L16" i="13" s="1"/>
  <c r="L54" i="13" s="1"/>
  <c r="L16" i="14" s="1"/>
  <c r="L54" i="14" s="1"/>
  <c r="E209" i="4"/>
  <c r="E216" i="4" s="1"/>
  <c r="R39" i="15"/>
  <c r="AV197" i="7"/>
  <c r="G42" i="37"/>
  <c r="H42" i="37" s="1"/>
  <c r="G62" i="6"/>
  <c r="R15" i="15" s="1"/>
  <c r="D12" i="26"/>
  <c r="A36" i="26"/>
  <c r="B12" i="15"/>
  <c r="G47" i="37"/>
  <c r="BA198" i="3"/>
  <c r="BD198" i="3"/>
  <c r="D13" i="15"/>
  <c r="AR101" i="22"/>
  <c r="AH197" i="4"/>
  <c r="AS197" i="8"/>
  <c r="AY197" i="6"/>
  <c r="E202" i="11"/>
  <c r="AV197" i="3"/>
  <c r="G22" i="5"/>
  <c r="G32" i="5"/>
  <c r="AF87" i="22"/>
  <c r="AJ87" i="22" s="1"/>
  <c r="AF83" i="22"/>
  <c r="AJ83" i="22" s="1"/>
  <c r="Q15" i="15"/>
  <c r="A37" i="15"/>
  <c r="BC198" i="3"/>
  <c r="AW198" i="3"/>
  <c r="AM198" i="3"/>
  <c r="G43" i="5"/>
  <c r="G33" i="5"/>
  <c r="G36" i="5"/>
  <c r="G37" i="5"/>
  <c r="G51" i="5"/>
  <c r="H202" i="4"/>
  <c r="D202" i="4" s="1"/>
  <c r="D203" i="4" s="1"/>
  <c r="E38" i="15"/>
  <c r="AL197" i="4"/>
  <c r="AQ197" i="11"/>
  <c r="BA197" i="3"/>
  <c r="M16" i="28"/>
  <c r="G26" i="5"/>
  <c r="C4" i="7"/>
  <c r="C4" i="8" s="1"/>
  <c r="C4" i="9" s="1"/>
  <c r="C14" i="26"/>
  <c r="AB36" i="15"/>
  <c r="C18" i="26"/>
  <c r="A149" i="22"/>
  <c r="D149" i="22" s="1"/>
  <c r="E149" i="22" s="1"/>
  <c r="E147" i="22"/>
  <c r="AZ101" i="22"/>
  <c r="AV101" i="22"/>
  <c r="AP101" i="22"/>
  <c r="AQ101" i="22"/>
  <c r="AO101" i="22"/>
  <c r="AW100" i="22"/>
  <c r="AR100" i="22"/>
  <c r="AF92" i="22"/>
  <c r="AJ92" i="22" s="1"/>
  <c r="AF78" i="22"/>
  <c r="AF76" i="22"/>
  <c r="AF70" i="22"/>
  <c r="F27" i="28"/>
  <c r="E79" i="4"/>
  <c r="AI79" i="4" s="1"/>
  <c r="AJ198" i="3"/>
  <c r="AO197" i="4"/>
  <c r="AY197" i="3"/>
  <c r="I59" i="38"/>
  <c r="L59" i="38" s="1"/>
  <c r="AF91" i="22"/>
  <c r="AJ91" i="22" s="1"/>
  <c r="AW101" i="22"/>
  <c r="AF80" i="8"/>
  <c r="AG80" i="8" s="1"/>
  <c r="AF153" i="4"/>
  <c r="AF149" i="5"/>
  <c r="AF145" i="5"/>
  <c r="AF169" i="8"/>
  <c r="AF190" i="10"/>
  <c r="AG190" i="10" s="1"/>
  <c r="AF182" i="10"/>
  <c r="AG182" i="10" s="1"/>
  <c r="AF152" i="10"/>
  <c r="AF148" i="10"/>
  <c r="AF108" i="10"/>
  <c r="AF102" i="10"/>
  <c r="G62" i="11"/>
  <c r="R20" i="15" s="1"/>
  <c r="E12" i="38"/>
  <c r="AF81" i="22"/>
  <c r="AJ81" i="22" s="1"/>
  <c r="AY197" i="5"/>
  <c r="AW197" i="7"/>
  <c r="AF159" i="3"/>
  <c r="AF113" i="3"/>
  <c r="AF105" i="3"/>
  <c r="AF127" i="5"/>
  <c r="AF164" i="7"/>
  <c r="AG164" i="7" s="1"/>
  <c r="AF158" i="7"/>
  <c r="AF142" i="7"/>
  <c r="AF80" i="7"/>
  <c r="AF88" i="7"/>
  <c r="AF84" i="7"/>
  <c r="AG84" i="7" s="1"/>
  <c r="AF178" i="8"/>
  <c r="AF151" i="9"/>
  <c r="AF169" i="10"/>
  <c r="AG169" i="10" s="1"/>
  <c r="AF98" i="13"/>
  <c r="AF96" i="13"/>
  <c r="AF92" i="13"/>
  <c r="AF163" i="14"/>
  <c r="AF102" i="6"/>
  <c r="AF100" i="6"/>
  <c r="AF143" i="3"/>
  <c r="AF107" i="4"/>
  <c r="AF187" i="5"/>
  <c r="AF120" i="5"/>
  <c r="AF191" i="6"/>
  <c r="AG191" i="6" s="1"/>
  <c r="AF187" i="6"/>
  <c r="AG187" i="6" s="1"/>
  <c r="AF179" i="6"/>
  <c r="AF161" i="6"/>
  <c r="AF157" i="6"/>
  <c r="AF145" i="6"/>
  <c r="AF173" i="7"/>
  <c r="AF157" i="8"/>
  <c r="AF181" i="9"/>
  <c r="AG181" i="9" s="1"/>
  <c r="AF140" i="9"/>
  <c r="AF92" i="10"/>
  <c r="AF192" i="12"/>
  <c r="AG192" i="12" s="1"/>
  <c r="AF171" i="12"/>
  <c r="AF167" i="12"/>
  <c r="AF98" i="12"/>
  <c r="AF90" i="12"/>
  <c r="AF88" i="12"/>
  <c r="AF86" i="12"/>
  <c r="AF82" i="12"/>
  <c r="G41" i="18"/>
  <c r="BE101" i="22"/>
  <c r="F209" i="3"/>
  <c r="F216" i="3" s="1"/>
  <c r="BB197" i="6"/>
  <c r="AF179" i="3"/>
  <c r="AG179" i="3" s="1"/>
  <c r="AF150" i="3"/>
  <c r="AF99" i="3"/>
  <c r="AF190" i="4"/>
  <c r="AG190" i="4" s="1"/>
  <c r="AF159" i="4"/>
  <c r="AF151" i="4"/>
  <c r="AF147" i="4"/>
  <c r="AF100" i="4"/>
  <c r="AF98" i="4"/>
  <c r="AF135" i="5"/>
  <c r="AF168" i="6"/>
  <c r="AG168" i="6" s="1"/>
  <c r="AF137" i="6"/>
  <c r="AF133" i="6"/>
  <c r="AF129" i="6"/>
  <c r="AF125" i="6"/>
  <c r="AF184" i="6"/>
  <c r="AG184" i="6" s="1"/>
  <c r="AF166" i="6"/>
  <c r="AG166" i="6" s="1"/>
  <c r="AF150" i="6"/>
  <c r="AF87" i="8"/>
  <c r="AF85" i="8"/>
  <c r="AF83" i="8"/>
  <c r="AF187" i="9"/>
  <c r="AG187" i="9" s="1"/>
  <c r="AF158" i="9"/>
  <c r="AG158" i="9" s="1"/>
  <c r="AF124" i="9"/>
  <c r="AF122" i="9"/>
  <c r="AF115" i="9"/>
  <c r="AF112" i="9"/>
  <c r="AF108" i="9"/>
  <c r="AF106" i="9"/>
  <c r="AF100" i="9"/>
  <c r="AF98" i="9"/>
  <c r="AF120" i="10"/>
  <c r="AF116" i="10"/>
  <c r="AF183" i="10"/>
  <c r="AG183" i="10" s="1"/>
  <c r="AF157" i="10"/>
  <c r="AF134" i="10"/>
  <c r="AF107" i="10"/>
  <c r="AF170" i="11"/>
  <c r="AF123" i="11"/>
  <c r="AF91" i="11"/>
  <c r="AF170" i="12"/>
  <c r="AF166" i="12"/>
  <c r="AF150" i="13"/>
  <c r="AF101" i="13"/>
  <c r="AF97" i="13"/>
  <c r="AF89" i="13"/>
  <c r="AF85" i="13"/>
  <c r="AF184" i="14"/>
  <c r="AG184" i="14" s="1"/>
  <c r="AF167" i="14"/>
  <c r="AG167" i="14" s="1"/>
  <c r="AF157" i="14"/>
  <c r="AF152" i="14"/>
  <c r="AF114" i="14"/>
  <c r="D41" i="18"/>
  <c r="F61" i="4"/>
  <c r="C13" i="26"/>
  <c r="AC198" i="5"/>
  <c r="AC79" i="6" s="1"/>
  <c r="D18" i="26"/>
  <c r="B18" i="26" s="1"/>
  <c r="A16" i="15"/>
  <c r="A15" i="26"/>
  <c r="A14" i="26"/>
  <c r="AS198" i="3"/>
  <c r="AI198" i="3"/>
  <c r="AX198" i="3"/>
  <c r="AQ198" i="3"/>
  <c r="H202" i="3"/>
  <c r="AK197" i="4"/>
  <c r="AT197" i="4"/>
  <c r="BB197" i="3"/>
  <c r="E202" i="4"/>
  <c r="AR197" i="4"/>
  <c r="AU197" i="4"/>
  <c r="BA197" i="4"/>
  <c r="BB197" i="7"/>
  <c r="I64" i="38"/>
  <c r="L64" i="38" s="1"/>
  <c r="E105" i="22"/>
  <c r="D26" i="38"/>
  <c r="I26" i="38" s="1"/>
  <c r="K26" i="38" s="1"/>
  <c r="A15" i="15"/>
  <c r="B12" i="26"/>
  <c r="AS197" i="3"/>
  <c r="AI197" i="4"/>
  <c r="AS197" i="4"/>
  <c r="C15" i="26"/>
  <c r="F61" i="6"/>
  <c r="BC197" i="3"/>
  <c r="AK197" i="3"/>
  <c r="AN197" i="4"/>
  <c r="D11" i="38"/>
  <c r="M27" i="28"/>
  <c r="G20" i="5"/>
  <c r="G48" i="5"/>
  <c r="G19" i="5"/>
  <c r="E11" i="6"/>
  <c r="G20" i="6" s="1"/>
  <c r="G40" i="5"/>
  <c r="G29" i="5"/>
  <c r="G17" i="5"/>
  <c r="G49" i="5"/>
  <c r="G42" i="5"/>
  <c r="G39" i="5"/>
  <c r="E35" i="15"/>
  <c r="AQ197" i="3"/>
  <c r="AZ197" i="3"/>
  <c r="AP197" i="3"/>
  <c r="AF80" i="3"/>
  <c r="AG80" i="3" s="1"/>
  <c r="AE198" i="3"/>
  <c r="B36" i="15"/>
  <c r="AC36" i="15" s="1"/>
  <c r="AD36" i="15" s="1"/>
  <c r="AE36" i="15" s="1"/>
  <c r="AW197" i="4"/>
  <c r="AJ197" i="4"/>
  <c r="BC197" i="4"/>
  <c r="AY197" i="4"/>
  <c r="AM197" i="4"/>
  <c r="AY197" i="7"/>
  <c r="AP197" i="7"/>
  <c r="BC197" i="7"/>
  <c r="BD197" i="7"/>
  <c r="C39" i="15"/>
  <c r="AQ197" i="4"/>
  <c r="AP197" i="4"/>
  <c r="BD197" i="4"/>
  <c r="AL198" i="3"/>
  <c r="AR198" i="3"/>
  <c r="AK198" i="3"/>
  <c r="AO198" i="3"/>
  <c r="AR197" i="3"/>
  <c r="AT100" i="22"/>
  <c r="AK100" i="22"/>
  <c r="AF85" i="22"/>
  <c r="AJ85" i="22" s="1"/>
  <c r="E61" i="10"/>
  <c r="G61" i="10" s="1"/>
  <c r="F61" i="10" s="1"/>
  <c r="D19" i="15"/>
  <c r="D36" i="4"/>
  <c r="D24" i="4"/>
  <c r="D31" i="4"/>
  <c r="D35" i="4"/>
  <c r="D44" i="4"/>
  <c r="E40" i="4"/>
  <c r="E32" i="4"/>
  <c r="E36" i="4"/>
  <c r="E51" i="4"/>
  <c r="E20" i="4"/>
  <c r="E46" i="4"/>
  <c r="E19" i="4"/>
  <c r="E34" i="4"/>
  <c r="D32" i="4"/>
  <c r="D33" i="4"/>
  <c r="E9" i="5"/>
  <c r="D31" i="5" s="1"/>
  <c r="E38" i="4"/>
  <c r="E21" i="4"/>
  <c r="E30" i="4"/>
  <c r="E41" i="4"/>
  <c r="E48" i="4"/>
  <c r="E18" i="4"/>
  <c r="D43" i="4"/>
  <c r="D39" i="4"/>
  <c r="D49" i="4"/>
  <c r="D19" i="4"/>
  <c r="D30" i="4"/>
  <c r="D54" i="38"/>
  <c r="F20" i="17"/>
  <c r="F27" i="17" s="1"/>
  <c r="D27" i="17"/>
  <c r="G40" i="37"/>
  <c r="E34" i="37"/>
  <c r="I22" i="37"/>
  <c r="F45" i="39"/>
  <c r="F54" i="39" s="1"/>
  <c r="D54" i="39"/>
  <c r="AX197" i="4"/>
  <c r="AQ197" i="7"/>
  <c r="AF80" i="11"/>
  <c r="AG80" i="11" s="1"/>
  <c r="AF167" i="3"/>
  <c r="AG167" i="3" s="1"/>
  <c r="AF85" i="3"/>
  <c r="AF90" i="4"/>
  <c r="AG90" i="4" s="1"/>
  <c r="AF99" i="6"/>
  <c r="AF193" i="8"/>
  <c r="AG193" i="8" s="1"/>
  <c r="AF189" i="8"/>
  <c r="AG189" i="8" s="1"/>
  <c r="AF174" i="8"/>
  <c r="AF158" i="10"/>
  <c r="AG158" i="10" s="1"/>
  <c r="AF153" i="10"/>
  <c r="AF75" i="22"/>
  <c r="AF155" i="3"/>
  <c r="AF174" i="3"/>
  <c r="AG174" i="3" s="1"/>
  <c r="AF114" i="3"/>
  <c r="AF103" i="3"/>
  <c r="AF124" i="5"/>
  <c r="AF112" i="5"/>
  <c r="AF83" i="5"/>
  <c r="AG83" i="5" s="1"/>
  <c r="AF110" i="7"/>
  <c r="AF122" i="7"/>
  <c r="AF117" i="7"/>
  <c r="AF166" i="9"/>
  <c r="AG166" i="9" s="1"/>
  <c r="AF193" i="10"/>
  <c r="AG193" i="10" s="1"/>
  <c r="AF185" i="10"/>
  <c r="AF169" i="11"/>
  <c r="AF171" i="11"/>
  <c r="AF143" i="11"/>
  <c r="AF144" i="12"/>
  <c r="BD101" i="22"/>
  <c r="BF100" i="22"/>
  <c r="AL100" i="22"/>
  <c r="AF99" i="22"/>
  <c r="AJ99" i="22" s="1"/>
  <c r="AF74" i="22"/>
  <c r="AF72" i="22"/>
  <c r="F112" i="22"/>
  <c r="F119" i="22" s="1"/>
  <c r="AF80" i="13"/>
  <c r="AG80" i="13" s="1"/>
  <c r="D27" i="28"/>
  <c r="AF100" i="3"/>
  <c r="AF152" i="4"/>
  <c r="AF89" i="4"/>
  <c r="AG89" i="4" s="1"/>
  <c r="AF155" i="5"/>
  <c r="AG155" i="5" s="1"/>
  <c r="AF147" i="5"/>
  <c r="AF103" i="5"/>
  <c r="AF192" i="6"/>
  <c r="AG192" i="6" s="1"/>
  <c r="AF120" i="6"/>
  <c r="AF196" i="6"/>
  <c r="AG196" i="6" s="1"/>
  <c r="AF167" i="8"/>
  <c r="AF113" i="14"/>
  <c r="E287" i="4"/>
  <c r="AF127" i="6"/>
  <c r="AF97" i="6"/>
  <c r="AF89" i="6"/>
  <c r="AF161" i="7"/>
  <c r="AG161" i="7" s="1"/>
  <c r="AF99" i="7"/>
  <c r="AF96" i="7"/>
  <c r="AF146" i="8"/>
  <c r="AG146" i="8" s="1"/>
  <c r="AF168" i="8"/>
  <c r="AF127" i="8"/>
  <c r="AF120" i="8"/>
  <c r="AF110" i="8"/>
  <c r="AF107" i="8"/>
  <c r="AF105" i="8"/>
  <c r="AF82" i="8"/>
  <c r="AF126" i="9"/>
  <c r="AF195" i="9"/>
  <c r="AG195" i="9" s="1"/>
  <c r="AF193" i="9"/>
  <c r="AG193" i="9" s="1"/>
  <c r="AF139" i="9"/>
  <c r="AF123" i="9"/>
  <c r="AF173" i="10"/>
  <c r="AF149" i="10"/>
  <c r="AF195" i="11"/>
  <c r="AG195" i="11" s="1"/>
  <c r="AF162" i="11"/>
  <c r="AF87" i="11"/>
  <c r="AF194" i="13"/>
  <c r="AG194" i="13" s="1"/>
  <c r="AF127" i="14"/>
  <c r="AF174" i="6"/>
  <c r="AF105" i="6"/>
  <c r="AF103" i="6"/>
  <c r="AF101" i="6"/>
  <c r="AF90" i="6"/>
  <c r="AF88" i="6"/>
  <c r="AF84" i="6"/>
  <c r="AG84" i="6" s="1"/>
  <c r="AF176" i="7"/>
  <c r="AF121" i="7"/>
  <c r="AF116" i="7"/>
  <c r="AF100" i="7"/>
  <c r="AF104" i="8"/>
  <c r="AF102" i="8"/>
  <c r="AF91" i="8"/>
  <c r="AF89" i="8"/>
  <c r="AF192" i="9"/>
  <c r="AG192" i="9" s="1"/>
  <c r="AF147" i="9"/>
  <c r="AF138" i="9"/>
  <c r="AF125" i="9"/>
  <c r="AF189" i="10"/>
  <c r="AG189" i="10" s="1"/>
  <c r="AF179" i="10"/>
  <c r="AF138" i="10"/>
  <c r="AF126" i="10"/>
  <c r="AF194" i="10"/>
  <c r="AG194" i="10" s="1"/>
  <c r="AF170" i="10"/>
  <c r="AG170" i="10" s="1"/>
  <c r="AF163" i="10"/>
  <c r="AG163" i="10" s="1"/>
  <c r="AF159" i="10"/>
  <c r="AG159" i="10" s="1"/>
  <c r="AF87" i="10"/>
  <c r="AF83" i="10"/>
  <c r="AG83" i="10" s="1"/>
  <c r="AF191" i="11"/>
  <c r="AG191" i="11" s="1"/>
  <c r="AF179" i="11"/>
  <c r="AF88" i="11"/>
  <c r="AF181" i="12"/>
  <c r="AG181" i="12" s="1"/>
  <c r="AF158" i="12"/>
  <c r="AF121" i="12"/>
  <c r="AF110" i="13"/>
  <c r="AF90" i="13"/>
  <c r="AF175" i="14"/>
  <c r="AG175" i="14" s="1"/>
  <c r="AF125" i="14"/>
  <c r="AF109" i="14"/>
  <c r="H41" i="18"/>
  <c r="D51" i="17" s="1"/>
  <c r="F209" i="4"/>
  <c r="F216" i="4" s="1"/>
  <c r="E12" i="15"/>
  <c r="E62" i="3"/>
  <c r="F62" i="3" s="1"/>
  <c r="U79" i="5"/>
  <c r="J22" i="18"/>
  <c r="F40" i="18"/>
  <c r="J21" i="18"/>
  <c r="F39" i="18"/>
  <c r="Y198" i="6"/>
  <c r="A39" i="15"/>
  <c r="G62" i="4"/>
  <c r="L12" i="15"/>
  <c r="M12" i="15"/>
  <c r="F34" i="26" s="1"/>
  <c r="N12" i="15"/>
  <c r="O12" i="15" s="1"/>
  <c r="G30" i="6"/>
  <c r="G18" i="6"/>
  <c r="G37" i="6"/>
  <c r="E11" i="7"/>
  <c r="G17" i="6"/>
  <c r="G35" i="6"/>
  <c r="G22" i="6"/>
  <c r="G52" i="6"/>
  <c r="G42" i="6"/>
  <c r="G49" i="6"/>
  <c r="G41" i="6"/>
  <c r="G39" i="6"/>
  <c r="G36" i="6"/>
  <c r="G31" i="6"/>
  <c r="G50" i="6"/>
  <c r="D17" i="38"/>
  <c r="I16" i="38"/>
  <c r="K16" i="38" s="1"/>
  <c r="AW197" i="5"/>
  <c r="AN197" i="5"/>
  <c r="C226" i="3"/>
  <c r="D227" i="3" s="1"/>
  <c r="E34" i="26" s="1"/>
  <c r="D34" i="26" s="1"/>
  <c r="C271" i="3"/>
  <c r="D272" i="3" s="1"/>
  <c r="E277" i="3" s="1"/>
  <c r="E288" i="3" s="1"/>
  <c r="C248" i="3"/>
  <c r="D249" i="3" s="1"/>
  <c r="D247" i="3" s="1"/>
  <c r="D46" i="5"/>
  <c r="D21" i="5"/>
  <c r="E22" i="5"/>
  <c r="D30" i="5"/>
  <c r="E40" i="5"/>
  <c r="E49" i="5"/>
  <c r="E42" i="5"/>
  <c r="E28" i="5"/>
  <c r="D33" i="5"/>
  <c r="D29" i="5"/>
  <c r="D49" i="5"/>
  <c r="D27" i="5"/>
  <c r="E36" i="5"/>
  <c r="E32" i="5"/>
  <c r="D44" i="5"/>
  <c r="E35" i="5"/>
  <c r="D43" i="5"/>
  <c r="D48" i="5"/>
  <c r="E19" i="5"/>
  <c r="E46" i="5"/>
  <c r="AA198" i="4"/>
  <c r="D79" i="6"/>
  <c r="E24" i="4"/>
  <c r="G53" i="4"/>
  <c r="Z198" i="5"/>
  <c r="C20" i="26"/>
  <c r="F61" i="11"/>
  <c r="E37" i="15"/>
  <c r="AB37" i="15" s="1"/>
  <c r="AD37" i="15" s="1"/>
  <c r="AE37" i="15" s="1"/>
  <c r="H202" i="5"/>
  <c r="AU197" i="5"/>
  <c r="BC197" i="5"/>
  <c r="AT197" i="5"/>
  <c r="AI197" i="5"/>
  <c r="AX197" i="5"/>
  <c r="AR197" i="5"/>
  <c r="AO197" i="5"/>
  <c r="AV197" i="5"/>
  <c r="BA197" i="5"/>
  <c r="AP197" i="5"/>
  <c r="AH197" i="5"/>
  <c r="AJ197" i="5"/>
  <c r="AZ197" i="5"/>
  <c r="BD197" i="5"/>
  <c r="BB197" i="5"/>
  <c r="AS197" i="5"/>
  <c r="AL197" i="5"/>
  <c r="AK197" i="5"/>
  <c r="A38" i="26"/>
  <c r="T79" i="5"/>
  <c r="AQ197" i="5"/>
  <c r="J198" i="4"/>
  <c r="AM197" i="5"/>
  <c r="K30" i="38"/>
  <c r="K32" i="38" s="1"/>
  <c r="N32" i="38" s="1"/>
  <c r="I32" i="38"/>
  <c r="I24" i="38"/>
  <c r="K24" i="38" s="1"/>
  <c r="E24" i="22"/>
  <c r="G42" i="22"/>
  <c r="G62" i="5"/>
  <c r="Q14" i="15"/>
  <c r="BA101" i="22"/>
  <c r="AT101" i="22"/>
  <c r="AU100" i="22"/>
  <c r="BD100" i="22"/>
  <c r="BE100" i="22"/>
  <c r="AY101" i="22"/>
  <c r="I49" i="38"/>
  <c r="BF101" i="22"/>
  <c r="AU101" i="22"/>
  <c r="AN101" i="22"/>
  <c r="AS101" i="22"/>
  <c r="AM101" i="22"/>
  <c r="AV100" i="22"/>
  <c r="AP100" i="22"/>
  <c r="AX100" i="22"/>
  <c r="D42" i="22"/>
  <c r="G43" i="22"/>
  <c r="AB35" i="15"/>
  <c r="A14" i="15"/>
  <c r="H79" i="5"/>
  <c r="H73" i="17"/>
  <c r="D202" i="5"/>
  <c r="D203" i="5" s="1"/>
  <c r="D136" i="22"/>
  <c r="E136" i="22" s="1"/>
  <c r="D131" i="22"/>
  <c r="E131" i="22" s="1"/>
  <c r="D138" i="22"/>
  <c r="E138" i="22" s="1"/>
  <c r="D69" i="38"/>
  <c r="AO100" i="22"/>
  <c r="AN100" i="22"/>
  <c r="BB100" i="22"/>
  <c r="AQ100" i="22"/>
  <c r="BI100" i="22"/>
  <c r="AM100" i="22"/>
  <c r="AF69" i="22"/>
  <c r="F15" i="15"/>
  <c r="A37" i="26"/>
  <c r="D59" i="38"/>
  <c r="V198" i="4"/>
  <c r="AX79" i="4"/>
  <c r="BC101" i="22"/>
  <c r="AX101" i="22"/>
  <c r="H105" i="22"/>
  <c r="D105" i="22" s="1"/>
  <c r="D106" i="22" s="1"/>
  <c r="D35" i="15"/>
  <c r="AC35" i="15" s="1"/>
  <c r="E202" i="3"/>
  <c r="D202" i="3" s="1"/>
  <c r="D203" i="3" s="1"/>
  <c r="E71" i="38"/>
  <c r="D152" i="22"/>
  <c r="E152" i="22" s="1"/>
  <c r="AS100" i="22"/>
  <c r="AF97" i="22"/>
  <c r="AJ97" i="22" s="1"/>
  <c r="AF88" i="22"/>
  <c r="AJ88" i="22" s="1"/>
  <c r="AL197" i="3"/>
  <c r="BD197" i="3"/>
  <c r="AX197" i="3"/>
  <c r="AW197" i="3"/>
  <c r="AO197" i="3"/>
  <c r="AM197" i="3"/>
  <c r="J39" i="15"/>
  <c r="AN197" i="7"/>
  <c r="F39" i="15"/>
  <c r="F47" i="15" s="1"/>
  <c r="D21" i="30" s="1"/>
  <c r="AJ197" i="7"/>
  <c r="P43" i="15"/>
  <c r="P47" i="15" s="1"/>
  <c r="D31" i="30" s="1"/>
  <c r="AR197" i="11"/>
  <c r="F198" i="3"/>
  <c r="D34" i="15"/>
  <c r="AH79" i="3"/>
  <c r="AF128" i="3"/>
  <c r="AF77" i="22"/>
  <c r="E112" i="22"/>
  <c r="E119" i="22" s="1"/>
  <c r="D23" i="15"/>
  <c r="E61" i="14"/>
  <c r="G61" i="14" s="1"/>
  <c r="C23" i="26" s="1"/>
  <c r="D28" i="34"/>
  <c r="D42" i="4"/>
  <c r="E33" i="4"/>
  <c r="D48" i="4"/>
  <c r="D41" i="4"/>
  <c r="C58" i="4"/>
  <c r="E22" i="4"/>
  <c r="E45" i="4"/>
  <c r="AF126" i="6"/>
  <c r="AU197" i="11"/>
  <c r="AF113" i="8"/>
  <c r="AF163" i="11"/>
  <c r="AG163" i="11" s="1"/>
  <c r="AF119" i="11"/>
  <c r="D19" i="38"/>
  <c r="E22" i="38"/>
  <c r="D29" i="38"/>
  <c r="D32" i="38" s="1"/>
  <c r="E32" i="38"/>
  <c r="AF80" i="6"/>
  <c r="AG80" i="6" s="1"/>
  <c r="AF130" i="6"/>
  <c r="AF124" i="8"/>
  <c r="AF80" i="9"/>
  <c r="AG80" i="9" s="1"/>
  <c r="BC197" i="13"/>
  <c r="AF124" i="4"/>
  <c r="AF104" i="6"/>
  <c r="AF172" i="7"/>
  <c r="AF90" i="7"/>
  <c r="AF141" i="8"/>
  <c r="AG141" i="8" s="1"/>
  <c r="AF81" i="8"/>
  <c r="AF141" i="9"/>
  <c r="AF134" i="9"/>
  <c r="AF136" i="10"/>
  <c r="AF148" i="12"/>
  <c r="AF112" i="14"/>
  <c r="AF82" i="14"/>
  <c r="AG82" i="14" s="1"/>
  <c r="AF142" i="10"/>
  <c r="AF161" i="13"/>
  <c r="AF187" i="4"/>
  <c r="AG187" i="4" s="1"/>
  <c r="AF109" i="5"/>
  <c r="AF93" i="6"/>
  <c r="AF91" i="6"/>
  <c r="AF117" i="8"/>
  <c r="AF95" i="8"/>
  <c r="AO197" i="11"/>
  <c r="AF123" i="6"/>
  <c r="AF107" i="6"/>
  <c r="AF151" i="8"/>
  <c r="AF94" i="9"/>
  <c r="AF130" i="10"/>
  <c r="AF89" i="10"/>
  <c r="AF85" i="10"/>
  <c r="AG85" i="10" s="1"/>
  <c r="AF81" i="10"/>
  <c r="AG81" i="10" s="1"/>
  <c r="AF160" i="11"/>
  <c r="AF102" i="11"/>
  <c r="AF92" i="11"/>
  <c r="AF155" i="12"/>
  <c r="AF149" i="14"/>
  <c r="AF93" i="14"/>
  <c r="AF87" i="14"/>
  <c r="AF85" i="14"/>
  <c r="AF86" i="6"/>
  <c r="AG86" i="6" s="1"/>
  <c r="AF87" i="7"/>
  <c r="AF85" i="7"/>
  <c r="AF81" i="7"/>
  <c r="AF90" i="8"/>
  <c r="AF86" i="8"/>
  <c r="AF89" i="9"/>
  <c r="AF85" i="9"/>
  <c r="AG85" i="9" s="1"/>
  <c r="AF83" i="9"/>
  <c r="AG83" i="9" s="1"/>
  <c r="AF81" i="9"/>
  <c r="AG81" i="9" s="1"/>
  <c r="AF90" i="10"/>
  <c r="AF88" i="10"/>
  <c r="AF86" i="10"/>
  <c r="AF82" i="10"/>
  <c r="AG82" i="10" s="1"/>
  <c r="AF89" i="11"/>
  <c r="AF86" i="11"/>
  <c r="AF129" i="12"/>
  <c r="AF124" i="12"/>
  <c r="AF151" i="12"/>
  <c r="AF136" i="12"/>
  <c r="AF128" i="12"/>
  <c r="AF113" i="12"/>
  <c r="AF108" i="12"/>
  <c r="AF100" i="12"/>
  <c r="AF164" i="13"/>
  <c r="AF87" i="13"/>
  <c r="AF85" i="11"/>
  <c r="AF189" i="12"/>
  <c r="AG189" i="12" s="1"/>
  <c r="AF161" i="12"/>
  <c r="AF142" i="12"/>
  <c r="AF139" i="12"/>
  <c r="AF186" i="12"/>
  <c r="AG186" i="12" s="1"/>
  <c r="AF164" i="12"/>
  <c r="AF93" i="13"/>
  <c r="AF86" i="13"/>
  <c r="AF82" i="13"/>
  <c r="AF83" i="14"/>
  <c r="AH197" i="8"/>
  <c r="BA197" i="8"/>
  <c r="AV197" i="8"/>
  <c r="AR197" i="8"/>
  <c r="AP197" i="8"/>
  <c r="E209" i="5"/>
  <c r="E216" i="5" s="1"/>
  <c r="M16" i="6"/>
  <c r="M54" i="6" s="1"/>
  <c r="M16" i="7" s="1"/>
  <c r="M54" i="7" s="1"/>
  <c r="M16" i="8" s="1"/>
  <c r="M54" i="8" s="1"/>
  <c r="M16" i="9" s="1"/>
  <c r="M54" i="9" s="1"/>
  <c r="M16" i="10" s="1"/>
  <c r="M54" i="10" s="1"/>
  <c r="M16" i="11" s="1"/>
  <c r="M54" i="11" s="1"/>
  <c r="M16" i="12" s="1"/>
  <c r="M54" i="12" s="1"/>
  <c r="M16" i="13" s="1"/>
  <c r="M54" i="13" s="1"/>
  <c r="M16" i="14" s="1"/>
  <c r="M54" i="14" s="1"/>
  <c r="F209" i="5"/>
  <c r="F216" i="5" s="1"/>
  <c r="P16" i="6"/>
  <c r="P54" i="6" s="1"/>
  <c r="AF93" i="12"/>
  <c r="H202" i="12"/>
  <c r="AF81" i="14"/>
  <c r="AG81" i="14" s="1"/>
  <c r="BA197" i="13"/>
  <c r="AF81" i="13"/>
  <c r="AG81" i="13" s="1"/>
  <c r="BD197" i="13"/>
  <c r="H202" i="13"/>
  <c r="AZ197" i="13"/>
  <c r="AF81" i="12"/>
  <c r="AF88" i="14"/>
  <c r="AF84" i="14"/>
  <c r="AF80" i="14"/>
  <c r="AG80" i="14" s="1"/>
  <c r="AF91" i="14"/>
  <c r="AC46" i="15"/>
  <c r="H202" i="14"/>
  <c r="AF86" i="14"/>
  <c r="AF89" i="14"/>
  <c r="E202" i="14"/>
  <c r="AR197" i="13"/>
  <c r="AM197" i="13"/>
  <c r="AB46" i="15"/>
  <c r="AB45" i="15"/>
  <c r="AQ197" i="13"/>
  <c r="AL197" i="13"/>
  <c r="AW197" i="13"/>
  <c r="BB197" i="13"/>
  <c r="AT197" i="13"/>
  <c r="AH197" i="13"/>
  <c r="AU197" i="13"/>
  <c r="AO197" i="13"/>
  <c r="E202" i="13"/>
  <c r="AN197" i="13"/>
  <c r="AX197" i="13"/>
  <c r="AJ197" i="13"/>
  <c r="AV197" i="13"/>
  <c r="AY197" i="13"/>
  <c r="C45" i="15"/>
  <c r="AC45" i="15" s="1"/>
  <c r="AP197" i="13"/>
  <c r="AI197" i="13"/>
  <c r="AS197" i="13"/>
  <c r="AK197" i="13"/>
  <c r="E287" i="12"/>
  <c r="J24" i="15"/>
  <c r="D13" i="30" s="1"/>
  <c r="G44" i="15"/>
  <c r="AB44" i="15" s="1"/>
  <c r="AF89" i="12"/>
  <c r="AF85" i="12"/>
  <c r="AF95" i="12"/>
  <c r="AF83" i="12"/>
  <c r="C22" i="26"/>
  <c r="G62" i="13"/>
  <c r="R22" i="15" s="1"/>
  <c r="F61" i="13"/>
  <c r="C21" i="26"/>
  <c r="F61" i="12"/>
  <c r="G62" i="12"/>
  <c r="AN197" i="12"/>
  <c r="AQ197" i="12"/>
  <c r="AW197" i="12"/>
  <c r="AX197" i="12"/>
  <c r="AO197" i="12"/>
  <c r="BD197" i="12"/>
  <c r="AK197" i="12"/>
  <c r="AV197" i="12"/>
  <c r="AI197" i="12"/>
  <c r="C44" i="15"/>
  <c r="AC44" i="15" s="1"/>
  <c r="AZ197" i="12"/>
  <c r="AL197" i="12"/>
  <c r="AS197" i="12"/>
  <c r="AP197" i="12"/>
  <c r="E202" i="12"/>
  <c r="AR197" i="12"/>
  <c r="AH197" i="12"/>
  <c r="BC197" i="12"/>
  <c r="BB197" i="12"/>
  <c r="AM197" i="12"/>
  <c r="AT197" i="12"/>
  <c r="BA197" i="12"/>
  <c r="AU197" i="12"/>
  <c r="AY197" i="12"/>
  <c r="AJ197" i="12"/>
  <c r="AT197" i="11"/>
  <c r="BD197" i="11"/>
  <c r="AK197" i="11"/>
  <c r="AP197" i="11"/>
  <c r="AW197" i="11"/>
  <c r="C43" i="15"/>
  <c r="AC43" i="15" s="1"/>
  <c r="AS197" i="11"/>
  <c r="D20" i="26"/>
  <c r="AL197" i="11"/>
  <c r="BB197" i="11"/>
  <c r="AN197" i="11"/>
  <c r="AD197" i="11"/>
  <c r="S43" i="15"/>
  <c r="H202" i="11"/>
  <c r="D202" i="11" s="1"/>
  <c r="D203" i="11" s="1"/>
  <c r="BA197" i="11"/>
  <c r="BC197" i="11"/>
  <c r="AH197" i="11"/>
  <c r="AV197" i="11"/>
  <c r="AM197" i="11"/>
  <c r="AI197" i="11"/>
  <c r="AX197" i="11"/>
  <c r="AE197" i="11"/>
  <c r="AZ197" i="11"/>
  <c r="AF80" i="10"/>
  <c r="AG80" i="10" s="1"/>
  <c r="AN197" i="10"/>
  <c r="E202" i="10"/>
  <c r="D202" i="10" s="1"/>
  <c r="D203" i="10" s="1"/>
  <c r="AK197" i="10"/>
  <c r="AI197" i="10"/>
  <c r="AO197" i="10"/>
  <c r="BB197" i="10"/>
  <c r="AF94" i="10"/>
  <c r="AS197" i="10"/>
  <c r="AL197" i="10"/>
  <c r="AW197" i="10"/>
  <c r="C42" i="15"/>
  <c r="AC42" i="15" s="1"/>
  <c r="BA197" i="10"/>
  <c r="BC197" i="10"/>
  <c r="AA47" i="15"/>
  <c r="D42" i="30" s="1"/>
  <c r="AR197" i="10"/>
  <c r="AT197" i="10"/>
  <c r="AB42" i="15"/>
  <c r="AH197" i="10"/>
  <c r="AQ197" i="10"/>
  <c r="AU197" i="10"/>
  <c r="AZ197" i="10"/>
  <c r="AY197" i="10"/>
  <c r="AV197" i="10"/>
  <c r="BD197" i="10"/>
  <c r="AX197" i="10"/>
  <c r="AJ197" i="10"/>
  <c r="AP197" i="10"/>
  <c r="AM197" i="10"/>
  <c r="I24" i="15"/>
  <c r="H24" i="15"/>
  <c r="K24" i="15"/>
  <c r="D35" i="16" s="1"/>
  <c r="H202" i="9"/>
  <c r="V47" i="15"/>
  <c r="D37" i="30" s="1"/>
  <c r="AQ197" i="8"/>
  <c r="AJ197" i="8"/>
  <c r="AN197" i="9"/>
  <c r="L47" i="15"/>
  <c r="D27" i="30" s="1"/>
  <c r="E202" i="9"/>
  <c r="AP197" i="9"/>
  <c r="AL197" i="9"/>
  <c r="AQ197" i="9"/>
  <c r="BD197" i="9"/>
  <c r="AJ197" i="9"/>
  <c r="AI197" i="9"/>
  <c r="B41" i="15"/>
  <c r="AC41" i="15" s="1"/>
  <c r="AX197" i="9"/>
  <c r="AS197" i="9"/>
  <c r="AZ197" i="9"/>
  <c r="AU197" i="9"/>
  <c r="AV197" i="9"/>
  <c r="BB197" i="9"/>
  <c r="AM197" i="9"/>
  <c r="BA197" i="9"/>
  <c r="AR197" i="9"/>
  <c r="AY197" i="9"/>
  <c r="AK197" i="9"/>
  <c r="E41" i="15"/>
  <c r="AB41" i="15" s="1"/>
  <c r="AO197" i="9"/>
  <c r="AT197" i="9"/>
  <c r="AW197" i="9"/>
  <c r="BC197" i="9"/>
  <c r="AH197" i="9"/>
  <c r="G62" i="10"/>
  <c r="C19" i="26"/>
  <c r="AF92" i="6"/>
  <c r="AF93" i="7"/>
  <c r="AK197" i="8"/>
  <c r="AI197" i="8"/>
  <c r="AF94" i="8"/>
  <c r="AC40" i="15"/>
  <c r="E202" i="8"/>
  <c r="AL197" i="8"/>
  <c r="AY197" i="8"/>
  <c r="AU197" i="8"/>
  <c r="AX197" i="8"/>
  <c r="BC197" i="8"/>
  <c r="W40" i="15"/>
  <c r="AZ197" i="8"/>
  <c r="AO197" i="8"/>
  <c r="AM197" i="8"/>
  <c r="X47" i="15"/>
  <c r="D39" i="30" s="1"/>
  <c r="BB197" i="8"/>
  <c r="BD197" i="8"/>
  <c r="S40" i="15"/>
  <c r="AN197" i="8"/>
  <c r="AW197" i="8"/>
  <c r="H202" i="8"/>
  <c r="J40" i="15"/>
  <c r="AT197" i="8"/>
  <c r="G24" i="15"/>
  <c r="D11" i="16" s="1"/>
  <c r="AF92" i="7"/>
  <c r="AC39" i="15"/>
  <c r="AU197" i="7"/>
  <c r="AI197" i="7"/>
  <c r="K47" i="15"/>
  <c r="D47" i="15"/>
  <c r="E18" i="30" s="1"/>
  <c r="R47" i="15"/>
  <c r="D33" i="30" s="1"/>
  <c r="H202" i="7"/>
  <c r="D202" i="7" s="1"/>
  <c r="D203" i="7" s="1"/>
  <c r="AS197" i="7"/>
  <c r="AK197" i="7"/>
  <c r="T47" i="15"/>
  <c r="D35" i="30" s="1"/>
  <c r="M47" i="15"/>
  <c r="D28" i="30" s="1"/>
  <c r="Q39" i="15"/>
  <c r="Q47" i="15" s="1"/>
  <c r="D32" i="30" s="1"/>
  <c r="H47" i="15"/>
  <c r="D23" i="30" s="1"/>
  <c r="Z47" i="15"/>
  <c r="D41" i="30" s="1"/>
  <c r="I47" i="15"/>
  <c r="D24" i="30" s="1"/>
  <c r="N47" i="15"/>
  <c r="D29" i="30" s="1"/>
  <c r="Y47" i="15"/>
  <c r="D40" i="30" s="1"/>
  <c r="AJ197" i="6"/>
  <c r="AP197" i="6"/>
  <c r="AU197" i="6"/>
  <c r="N79" i="7"/>
  <c r="AB198" i="7"/>
  <c r="Q79" i="7"/>
  <c r="I79" i="8"/>
  <c r="G79" i="12"/>
  <c r="G198" i="12" s="1"/>
  <c r="G79" i="13" s="1"/>
  <c r="G198" i="13" s="1"/>
  <c r="G79" i="14" s="1"/>
  <c r="G198" i="14" s="1"/>
  <c r="S79" i="12"/>
  <c r="Y79" i="7"/>
  <c r="AS197" i="6"/>
  <c r="BC197" i="6"/>
  <c r="BD197" i="6"/>
  <c r="AR197" i="6"/>
  <c r="B38" i="15"/>
  <c r="AM197" i="6"/>
  <c r="AZ197" i="6"/>
  <c r="BA197" i="6"/>
  <c r="AH197" i="6"/>
  <c r="AT197" i="6"/>
  <c r="AN197" i="6"/>
  <c r="AK197" i="6"/>
  <c r="AL197" i="6"/>
  <c r="AO197" i="6"/>
  <c r="AX197" i="6"/>
  <c r="R79" i="7"/>
  <c r="L198" i="9"/>
  <c r="W79" i="7"/>
  <c r="G38" i="15"/>
  <c r="AI197" i="6"/>
  <c r="H202" i="6"/>
  <c r="O198" i="9"/>
  <c r="P79" i="9"/>
  <c r="O38" i="15"/>
  <c r="O47" i="15" s="1"/>
  <c r="D30" i="30" s="1"/>
  <c r="AQ197" i="6"/>
  <c r="AW197" i="6"/>
  <c r="U38" i="15"/>
  <c r="U47" i="15" s="1"/>
  <c r="D36" i="30" s="1"/>
  <c r="M79" i="8"/>
  <c r="E202" i="6"/>
  <c r="S38" i="15"/>
  <c r="X198" i="7"/>
  <c r="K79" i="7"/>
  <c r="G62" i="8"/>
  <c r="F61" i="8"/>
  <c r="C17" i="26"/>
  <c r="E61" i="7"/>
  <c r="G61" i="7" s="1"/>
  <c r="H50" i="17" l="1"/>
  <c r="D47" i="30" s="1"/>
  <c r="G53" i="15"/>
  <c r="E41" i="18"/>
  <c r="G54" i="15" s="1"/>
  <c r="D26" i="30"/>
  <c r="D50" i="17"/>
  <c r="E49" i="30" s="1"/>
  <c r="I34" i="37"/>
  <c r="AS79" i="4"/>
  <c r="AN79" i="4"/>
  <c r="BC79" i="4"/>
  <c r="AY79" i="4"/>
  <c r="AJ79" i="4"/>
  <c r="BA79" i="4"/>
  <c r="AW79" i="4"/>
  <c r="E47" i="5"/>
  <c r="E51" i="5"/>
  <c r="E34" i="5"/>
  <c r="D23" i="5"/>
  <c r="D47" i="5"/>
  <c r="AZ79" i="4"/>
  <c r="E34" i="38"/>
  <c r="AR79" i="4"/>
  <c r="AQ79" i="4"/>
  <c r="E31" i="5"/>
  <c r="C59" i="5"/>
  <c r="C248" i="5" s="1"/>
  <c r="D249" i="5" s="1"/>
  <c r="D247" i="5" s="1"/>
  <c r="D17" i="5"/>
  <c r="E24" i="5"/>
  <c r="D52" i="5"/>
  <c r="E39" i="5"/>
  <c r="BB79" i="4"/>
  <c r="E48" i="5"/>
  <c r="E60" i="3"/>
  <c r="C12" i="15"/>
  <c r="E14" i="30"/>
  <c r="G14" i="30" s="1"/>
  <c r="D71" i="38"/>
  <c r="D73" i="17"/>
  <c r="F73" i="17" s="1"/>
  <c r="F61" i="14"/>
  <c r="H56" i="17"/>
  <c r="E37" i="5"/>
  <c r="D26" i="5"/>
  <c r="E45" i="5"/>
  <c r="D38" i="5"/>
  <c r="C58" i="5"/>
  <c r="E41" i="5"/>
  <c r="D24" i="5"/>
  <c r="D32" i="5"/>
  <c r="E17" i="5"/>
  <c r="E43" i="5"/>
  <c r="E44" i="5"/>
  <c r="B41" i="5"/>
  <c r="D18" i="5"/>
  <c r="E9" i="6"/>
  <c r="D38" i="6" s="1"/>
  <c r="D45" i="5"/>
  <c r="G32" i="6"/>
  <c r="G23" i="6"/>
  <c r="G38" i="6"/>
  <c r="G45" i="6"/>
  <c r="G40" i="6"/>
  <c r="G46" i="6"/>
  <c r="G29" i="6"/>
  <c r="D15" i="26"/>
  <c r="B15" i="26" s="1"/>
  <c r="G54" i="5"/>
  <c r="G16" i="6" s="1"/>
  <c r="AK79" i="4"/>
  <c r="AP79" i="4"/>
  <c r="AM79" i="4"/>
  <c r="AT79" i="4"/>
  <c r="G53" i="5"/>
  <c r="D156" i="22"/>
  <c r="E156" i="22" s="1"/>
  <c r="D154" i="22"/>
  <c r="E154" i="22" s="1"/>
  <c r="D151" i="22"/>
  <c r="E151" i="22" s="1"/>
  <c r="E159" i="22" s="1"/>
  <c r="G51" i="37"/>
  <c r="H47" i="37"/>
  <c r="H51" i="37" s="1"/>
  <c r="E53" i="4"/>
  <c r="C13" i="15" s="1"/>
  <c r="D24" i="15"/>
  <c r="D35" i="17" s="1"/>
  <c r="D41" i="17" s="1"/>
  <c r="D27" i="38"/>
  <c r="E23" i="5"/>
  <c r="D20" i="5"/>
  <c r="E20" i="5"/>
  <c r="D42" i="5"/>
  <c r="E50" i="5"/>
  <c r="E18" i="5"/>
  <c r="D40" i="5"/>
  <c r="D37" i="5"/>
  <c r="D34" i="5"/>
  <c r="E33" i="5"/>
  <c r="E30" i="5"/>
  <c r="D25" i="5"/>
  <c r="D50" i="5"/>
  <c r="D36" i="5"/>
  <c r="G34" i="6"/>
  <c r="G51" i="6"/>
  <c r="G19" i="6"/>
  <c r="G24" i="6"/>
  <c r="G27" i="6"/>
  <c r="G26" i="6"/>
  <c r="G21" i="6"/>
  <c r="F43" i="37"/>
  <c r="G26" i="37" s="1"/>
  <c r="G28" i="37" s="1"/>
  <c r="I28" i="37" s="1"/>
  <c r="AV79" i="4"/>
  <c r="AO79" i="4"/>
  <c r="E198" i="4"/>
  <c r="AP198" i="4" s="1"/>
  <c r="BD79" i="4"/>
  <c r="AL79" i="4"/>
  <c r="F16" i="15"/>
  <c r="Q16" i="15"/>
  <c r="A16" i="26"/>
  <c r="AU79" i="4"/>
  <c r="D202" i="12"/>
  <c r="D203" i="12" s="1"/>
  <c r="E141" i="22"/>
  <c r="G43" i="37"/>
  <c r="H40" i="37"/>
  <c r="H43" i="37" s="1"/>
  <c r="A17" i="15"/>
  <c r="A40" i="15"/>
  <c r="F17" i="15"/>
  <c r="D54" i="4"/>
  <c r="D16" i="5" s="1"/>
  <c r="A17" i="26"/>
  <c r="F41" i="18"/>
  <c r="D28" i="5"/>
  <c r="D39" i="5"/>
  <c r="E52" i="5"/>
  <c r="E21" i="5"/>
  <c r="E26" i="5"/>
  <c r="D41" i="5"/>
  <c r="D22" i="5"/>
  <c r="D19" i="5"/>
  <c r="E29" i="5"/>
  <c r="E38" i="5"/>
  <c r="D51" i="5"/>
  <c r="E25" i="5"/>
  <c r="D35" i="5"/>
  <c r="E27" i="5"/>
  <c r="G48" i="6"/>
  <c r="E48" i="6" s="1"/>
  <c r="G28" i="6"/>
  <c r="G25" i="6"/>
  <c r="E25" i="6" s="1"/>
  <c r="G44" i="6"/>
  <c r="G33" i="6"/>
  <c r="E33" i="6" s="1"/>
  <c r="G47" i="6"/>
  <c r="G43" i="6"/>
  <c r="E43" i="6" s="1"/>
  <c r="G47" i="15"/>
  <c r="D22" i="30" s="1"/>
  <c r="B20" i="26"/>
  <c r="D225" i="3"/>
  <c r="C228" i="3" s="1"/>
  <c r="D229" i="3" s="1"/>
  <c r="A39" i="26"/>
  <c r="Q17" i="15"/>
  <c r="D12" i="38"/>
  <c r="I11" i="38"/>
  <c r="K11" i="38" s="1"/>
  <c r="C256" i="3"/>
  <c r="D256" i="3" s="1"/>
  <c r="C261" i="3"/>
  <c r="D262" i="3" s="1"/>
  <c r="C257" i="3"/>
  <c r="D258" i="3" s="1"/>
  <c r="C259" i="3"/>
  <c r="D260" i="3" s="1"/>
  <c r="C250" i="3"/>
  <c r="D251" i="3" s="1"/>
  <c r="C252" i="3"/>
  <c r="D253" i="3" s="1"/>
  <c r="E60" i="4"/>
  <c r="H34" i="16"/>
  <c r="H40" i="16" s="1"/>
  <c r="AB43" i="15"/>
  <c r="H198" i="5"/>
  <c r="AD35" i="15"/>
  <c r="AE35" i="15" s="1"/>
  <c r="D53" i="4"/>
  <c r="Z79" i="6"/>
  <c r="E54" i="4"/>
  <c r="E16" i="5" s="1"/>
  <c r="D198" i="6"/>
  <c r="E209" i="6" s="1"/>
  <c r="E216" i="6" s="1"/>
  <c r="K17" i="38"/>
  <c r="I17" i="38"/>
  <c r="V79" i="5"/>
  <c r="T198" i="5"/>
  <c r="G43" i="7"/>
  <c r="G27" i="7"/>
  <c r="E11" i="8"/>
  <c r="G49" i="7"/>
  <c r="G42" i="7"/>
  <c r="G23" i="7"/>
  <c r="G29" i="7"/>
  <c r="G35" i="7"/>
  <c r="G39" i="7"/>
  <c r="G34" i="7"/>
  <c r="G31" i="7"/>
  <c r="G50" i="7"/>
  <c r="G30" i="7"/>
  <c r="G37" i="7"/>
  <c r="G47" i="7"/>
  <c r="G52" i="7"/>
  <c r="G19" i="7"/>
  <c r="G25" i="7"/>
  <c r="G44" i="7"/>
  <c r="G36" i="7"/>
  <c r="G18" i="7"/>
  <c r="G46" i="7"/>
  <c r="G26" i="7"/>
  <c r="G45" i="7"/>
  <c r="G40" i="7"/>
  <c r="G24" i="7"/>
  <c r="G21" i="7"/>
  <c r="G51" i="7"/>
  <c r="G22" i="7"/>
  <c r="G28" i="7"/>
  <c r="G48" i="7"/>
  <c r="G33" i="7"/>
  <c r="G20" i="7"/>
  <c r="G38" i="7"/>
  <c r="G32" i="7"/>
  <c r="G41" i="7"/>
  <c r="G17" i="7"/>
  <c r="E62" i="5"/>
  <c r="F62" i="5" s="1"/>
  <c r="E14" i="15"/>
  <c r="A40" i="26"/>
  <c r="A18" i="26"/>
  <c r="A41" i="15"/>
  <c r="A18" i="15"/>
  <c r="C4" i="10"/>
  <c r="F18" i="15"/>
  <c r="Q18" i="15"/>
  <c r="AC198" i="6"/>
  <c r="E47" i="15"/>
  <c r="D10" i="17" s="1"/>
  <c r="I19" i="38"/>
  <c r="K19" i="38" s="1"/>
  <c r="D22" i="38"/>
  <c r="C226" i="4"/>
  <c r="D227" i="4" s="1"/>
  <c r="E35" i="26" s="1"/>
  <c r="C248" i="4"/>
  <c r="D249" i="4" s="1"/>
  <c r="D247" i="4" s="1"/>
  <c r="B35" i="26"/>
  <c r="C271" i="4"/>
  <c r="D272" i="4" s="1"/>
  <c r="E277" i="4" s="1"/>
  <c r="E288" i="4" s="1"/>
  <c r="R14" i="15"/>
  <c r="D14" i="26"/>
  <c r="B14" i="26" s="1"/>
  <c r="E13" i="15"/>
  <c r="E62" i="4"/>
  <c r="AA79" i="5"/>
  <c r="C226" i="5"/>
  <c r="D227" i="5" s="1"/>
  <c r="E36" i="26" s="1"/>
  <c r="C271" i="5"/>
  <c r="D272" i="5" s="1"/>
  <c r="E277" i="5" s="1"/>
  <c r="E288" i="5" s="1"/>
  <c r="B36" i="26"/>
  <c r="C234" i="3"/>
  <c r="D234" i="3" s="1"/>
  <c r="C230" i="3"/>
  <c r="D231" i="3" s="1"/>
  <c r="J41" i="18"/>
  <c r="U198" i="5"/>
  <c r="I27" i="38"/>
  <c r="K27" i="38"/>
  <c r="N27" i="38" s="1"/>
  <c r="F79" i="4"/>
  <c r="AH198" i="3"/>
  <c r="L49" i="38"/>
  <c r="L71" i="38" s="1"/>
  <c r="I71" i="38"/>
  <c r="E42" i="22"/>
  <c r="E43" i="22"/>
  <c r="J79" i="5"/>
  <c r="D41" i="6"/>
  <c r="D43" i="6"/>
  <c r="D44" i="6"/>
  <c r="D20" i="6"/>
  <c r="D35" i="6"/>
  <c r="D29" i="6"/>
  <c r="D21" i="6"/>
  <c r="D45" i="6"/>
  <c r="D33" i="6"/>
  <c r="E38" i="6"/>
  <c r="E17" i="6"/>
  <c r="E47" i="6"/>
  <c r="E42" i="6"/>
  <c r="E35" i="6"/>
  <c r="E44" i="6"/>
  <c r="E31" i="6"/>
  <c r="D42" i="6"/>
  <c r="D51" i="6"/>
  <c r="D25" i="6"/>
  <c r="E23" i="6"/>
  <c r="E51" i="6"/>
  <c r="E32" i="6"/>
  <c r="D26" i="6"/>
  <c r="D49" i="6"/>
  <c r="B41" i="6"/>
  <c r="D31" i="6"/>
  <c r="E30" i="6"/>
  <c r="E46" i="6"/>
  <c r="E21" i="6"/>
  <c r="E26" i="6"/>
  <c r="E22" i="6"/>
  <c r="D28" i="6"/>
  <c r="C59" i="6"/>
  <c r="D48" i="6"/>
  <c r="D34" i="6"/>
  <c r="D24" i="6"/>
  <c r="E18" i="6"/>
  <c r="E28" i="6"/>
  <c r="D50" i="6"/>
  <c r="E20" i="6"/>
  <c r="E41" i="6"/>
  <c r="D18" i="6"/>
  <c r="D36" i="6"/>
  <c r="E45" i="6"/>
  <c r="D39" i="6"/>
  <c r="E9" i="7"/>
  <c r="E29" i="6"/>
  <c r="D270" i="3"/>
  <c r="F62" i="4"/>
  <c r="D13" i="26"/>
  <c r="B13" i="26" s="1"/>
  <c r="R13" i="15"/>
  <c r="D202" i="9"/>
  <c r="D203" i="9" s="1"/>
  <c r="P16" i="7"/>
  <c r="P54" i="7" s="1"/>
  <c r="P16" i="8" s="1"/>
  <c r="P54" i="8" s="1"/>
  <c r="P16" i="9" s="1"/>
  <c r="P54" i="9" s="1"/>
  <c r="P16" i="10" s="1"/>
  <c r="P54" i="10" s="1"/>
  <c r="P16" i="11" s="1"/>
  <c r="P54" i="11" s="1"/>
  <c r="P16" i="12" s="1"/>
  <c r="P54" i="12" s="1"/>
  <c r="P16" i="13" s="1"/>
  <c r="P54" i="13" s="1"/>
  <c r="P16" i="14" s="1"/>
  <c r="P54" i="14" s="1"/>
  <c r="F209" i="6"/>
  <c r="F216" i="6" s="1"/>
  <c r="AD44" i="15"/>
  <c r="AE44" i="15" s="1"/>
  <c r="D34" i="16"/>
  <c r="D40" i="16" s="1"/>
  <c r="D202" i="13"/>
  <c r="D203" i="13" s="1"/>
  <c r="AD46" i="15"/>
  <c r="AE46" i="15" s="1"/>
  <c r="D202" i="14"/>
  <c r="D203" i="14" s="1"/>
  <c r="AD45" i="15"/>
  <c r="AE45" i="15" s="1"/>
  <c r="D22" i="26"/>
  <c r="B22" i="26" s="1"/>
  <c r="D14" i="16"/>
  <c r="D21" i="26"/>
  <c r="B21" i="26" s="1"/>
  <c r="R21" i="15"/>
  <c r="D5" i="30"/>
  <c r="AD43" i="15"/>
  <c r="AE43" i="15" s="1"/>
  <c r="AF197" i="11"/>
  <c r="C47" i="15"/>
  <c r="R3" i="15" s="1"/>
  <c r="AD42" i="15"/>
  <c r="AE42" i="15" s="1"/>
  <c r="E11" i="30"/>
  <c r="D13" i="16"/>
  <c r="E9" i="30"/>
  <c r="D8" i="30"/>
  <c r="D12" i="16"/>
  <c r="E10" i="30"/>
  <c r="H35" i="17"/>
  <c r="H41" i="17" s="1"/>
  <c r="F41" i="17" s="1"/>
  <c r="AB40" i="15"/>
  <c r="AD40" i="15" s="1"/>
  <c r="AE40" i="15" s="1"/>
  <c r="S47" i="15"/>
  <c r="D34" i="30" s="1"/>
  <c r="AD41" i="15"/>
  <c r="AE41" i="15" s="1"/>
  <c r="D19" i="26"/>
  <c r="B19" i="26" s="1"/>
  <c r="R19" i="15"/>
  <c r="D36" i="38"/>
  <c r="D73" i="38"/>
  <c r="D75" i="38" s="1"/>
  <c r="D202" i="8"/>
  <c r="D203" i="8" s="1"/>
  <c r="J47" i="15"/>
  <c r="S17" i="15"/>
  <c r="S24" i="15" s="1"/>
  <c r="D11" i="17" s="1"/>
  <c r="W47" i="15"/>
  <c r="D38" i="30" s="1"/>
  <c r="AB39" i="15"/>
  <c r="AD39" i="15" s="1"/>
  <c r="AE39" i="15" s="1"/>
  <c r="N198" i="7"/>
  <c r="S198" i="12"/>
  <c r="Q198" i="7"/>
  <c r="L79" i="10"/>
  <c r="B47" i="15"/>
  <c r="AC38" i="15"/>
  <c r="P198" i="9"/>
  <c r="R198" i="7"/>
  <c r="AB38" i="15"/>
  <c r="AB79" i="8"/>
  <c r="K198" i="7"/>
  <c r="D20" i="30"/>
  <c r="G73" i="38"/>
  <c r="G75" i="38" s="1"/>
  <c r="M198" i="8"/>
  <c r="W198" i="7"/>
  <c r="I198" i="8"/>
  <c r="Y198" i="7"/>
  <c r="X79" i="8"/>
  <c r="D202" i="6"/>
  <c r="D203" i="6" s="1"/>
  <c r="O79" i="10"/>
  <c r="D17" i="26"/>
  <c r="B17" i="26" s="1"/>
  <c r="R17" i="15"/>
  <c r="F61" i="7"/>
  <c r="C16" i="26"/>
  <c r="G62" i="7"/>
  <c r="G49" i="30" l="1"/>
  <c r="AZ198" i="4"/>
  <c r="AJ198" i="4"/>
  <c r="AO198" i="4"/>
  <c r="AR198" i="4"/>
  <c r="BB198" i="4"/>
  <c r="E79" i="5"/>
  <c r="AW79" i="5" s="1"/>
  <c r="AL198" i="4"/>
  <c r="BA198" i="4"/>
  <c r="AV198" i="4"/>
  <c r="AM198" i="4"/>
  <c r="F40" i="16"/>
  <c r="D34" i="38"/>
  <c r="D38" i="38" s="1"/>
  <c r="E37" i="6"/>
  <c r="D19" i="6"/>
  <c r="D22" i="6"/>
  <c r="D47" i="6"/>
  <c r="D40" i="6"/>
  <c r="E50" i="6"/>
  <c r="D17" i="6"/>
  <c r="E19" i="6"/>
  <c r="E49" i="6"/>
  <c r="E39" i="6"/>
  <c r="D23" i="6"/>
  <c r="D27" i="6"/>
  <c r="I26" i="37"/>
  <c r="E34" i="6"/>
  <c r="G60" i="3"/>
  <c r="F60" i="3" s="1"/>
  <c r="G59" i="3"/>
  <c r="F59" i="3" s="1"/>
  <c r="D46" i="6"/>
  <c r="E24" i="6"/>
  <c r="D32" i="6"/>
  <c r="D37" i="6"/>
  <c r="E40" i="6"/>
  <c r="D52" i="6"/>
  <c r="F9" i="6"/>
  <c r="C58" i="6"/>
  <c r="E36" i="6"/>
  <c r="E52" i="6"/>
  <c r="D30" i="6"/>
  <c r="E27" i="6"/>
  <c r="E53" i="5"/>
  <c r="D53" i="5"/>
  <c r="AT198" i="4"/>
  <c r="AN198" i="4"/>
  <c r="AI198" i="4"/>
  <c r="AY198" i="4"/>
  <c r="BD198" i="4"/>
  <c r="AK198" i="4"/>
  <c r="AQ198" i="4"/>
  <c r="AS198" i="4"/>
  <c r="AW198" i="4"/>
  <c r="AU198" i="4"/>
  <c r="AX198" i="4"/>
  <c r="G32" i="37"/>
  <c r="I32" i="37" s="1"/>
  <c r="BC198" i="4"/>
  <c r="E54" i="5"/>
  <c r="E16" i="6" s="1"/>
  <c r="C237" i="3"/>
  <c r="D238" i="3" s="1"/>
  <c r="D225" i="4"/>
  <c r="C235" i="4" s="1"/>
  <c r="D236" i="4" s="1"/>
  <c r="E254" i="3"/>
  <c r="E264" i="3"/>
  <c r="I12" i="38"/>
  <c r="K12" i="38"/>
  <c r="D54" i="5"/>
  <c r="D16" i="6" s="1"/>
  <c r="B37" i="26"/>
  <c r="N15" i="15" s="1"/>
  <c r="O15" i="15" s="1"/>
  <c r="C235" i="3"/>
  <c r="D236" i="3" s="1"/>
  <c r="C239" i="3"/>
  <c r="D240" i="3" s="1"/>
  <c r="AR79" i="5"/>
  <c r="BB79" i="5"/>
  <c r="AM79" i="5"/>
  <c r="G54" i="6"/>
  <c r="G16" i="7" s="1"/>
  <c r="G54" i="7" s="1"/>
  <c r="G16" i="8" s="1"/>
  <c r="G53" i="6"/>
  <c r="E15" i="15" s="1"/>
  <c r="C259" i="5"/>
  <c r="D260" i="5" s="1"/>
  <c r="C256" i="5"/>
  <c r="D256" i="5" s="1"/>
  <c r="C252" i="5"/>
  <c r="D253" i="5" s="1"/>
  <c r="C257" i="5"/>
  <c r="D258" i="5" s="1"/>
  <c r="C250" i="5"/>
  <c r="D251" i="5" s="1"/>
  <c r="C261" i="5"/>
  <c r="D262" i="5" s="1"/>
  <c r="U79" i="6"/>
  <c r="D270" i="5"/>
  <c r="A19" i="15"/>
  <c r="A19" i="26"/>
  <c r="Q19" i="15"/>
  <c r="A41" i="26"/>
  <c r="C4" i="11"/>
  <c r="A42" i="15"/>
  <c r="F19" i="15"/>
  <c r="F209" i="7"/>
  <c r="F216" i="7" s="1"/>
  <c r="D25" i="16"/>
  <c r="D53" i="6"/>
  <c r="C226" i="6"/>
  <c r="D227" i="6" s="1"/>
  <c r="C271" i="6"/>
  <c r="D272" i="6" s="1"/>
  <c r="E277" i="6" s="1"/>
  <c r="E288" i="6" s="1"/>
  <c r="C248" i="6"/>
  <c r="D249" i="6" s="1"/>
  <c r="D247" i="6" s="1"/>
  <c r="E53" i="6"/>
  <c r="E232" i="3"/>
  <c r="D225" i="5"/>
  <c r="AA198" i="5"/>
  <c r="BA79" i="5"/>
  <c r="D270" i="4"/>
  <c r="E17" i="7"/>
  <c r="G53" i="7"/>
  <c r="V198" i="5"/>
  <c r="D54" i="6"/>
  <c r="D16" i="7" s="1"/>
  <c r="C230" i="4"/>
  <c r="D231" i="4" s="1"/>
  <c r="C237" i="4"/>
  <c r="D238" i="4" s="1"/>
  <c r="AH79" i="4"/>
  <c r="F198" i="4"/>
  <c r="E60" i="5"/>
  <c r="C14" i="15"/>
  <c r="C252" i="4"/>
  <c r="D253" i="4" s="1"/>
  <c r="C261" i="4"/>
  <c r="D262" i="4" s="1"/>
  <c r="C250" i="4"/>
  <c r="D251" i="4" s="1"/>
  <c r="C259" i="4"/>
  <c r="D260" i="4" s="1"/>
  <c r="C256" i="4"/>
  <c r="D256" i="4" s="1"/>
  <c r="C257" i="4"/>
  <c r="D258" i="4" s="1"/>
  <c r="M13" i="15"/>
  <c r="F35" i="26" s="1"/>
  <c r="L13" i="15"/>
  <c r="D35" i="26"/>
  <c r="N13" i="15"/>
  <c r="O13" i="15" s="1"/>
  <c r="AC79" i="7"/>
  <c r="G32" i="8"/>
  <c r="G24" i="8"/>
  <c r="G26" i="8"/>
  <c r="G30" i="8"/>
  <c r="G42" i="8"/>
  <c r="G31" i="8"/>
  <c r="G45" i="8"/>
  <c r="G52" i="8"/>
  <c r="G33" i="8"/>
  <c r="G17" i="8"/>
  <c r="G37" i="8"/>
  <c r="G47" i="8"/>
  <c r="G50" i="8"/>
  <c r="G18" i="8"/>
  <c r="G21" i="8"/>
  <c r="G48" i="8"/>
  <c r="G36" i="8"/>
  <c r="G43" i="8"/>
  <c r="G20" i="8"/>
  <c r="G40" i="8"/>
  <c r="G22" i="8"/>
  <c r="G29" i="8"/>
  <c r="G23" i="8"/>
  <c r="G44" i="8"/>
  <c r="G28" i="8"/>
  <c r="G25" i="8"/>
  <c r="G27" i="8"/>
  <c r="G34" i="8"/>
  <c r="E11" i="9"/>
  <c r="G41" i="8"/>
  <c r="G46" i="8"/>
  <c r="G51" i="8"/>
  <c r="G19" i="8"/>
  <c r="G38" i="8"/>
  <c r="G49" i="8"/>
  <c r="G35" i="8"/>
  <c r="G39" i="8"/>
  <c r="T79" i="6"/>
  <c r="D79" i="7"/>
  <c r="Z198" i="6"/>
  <c r="H79" i="6"/>
  <c r="L15" i="15"/>
  <c r="E59" i="5"/>
  <c r="B14" i="15"/>
  <c r="E265" i="3"/>
  <c r="B41" i="7"/>
  <c r="D51" i="7"/>
  <c r="D46" i="7"/>
  <c r="D36" i="7"/>
  <c r="D20" i="7"/>
  <c r="D28" i="7"/>
  <c r="D50" i="7"/>
  <c r="D23" i="7"/>
  <c r="D29" i="7"/>
  <c r="D33" i="7"/>
  <c r="E20" i="7"/>
  <c r="E30" i="7"/>
  <c r="E35" i="7"/>
  <c r="E18" i="7"/>
  <c r="E41" i="7"/>
  <c r="E47" i="7"/>
  <c r="E34" i="7"/>
  <c r="E26" i="7"/>
  <c r="E22" i="7"/>
  <c r="E19" i="7"/>
  <c r="E21" i="7"/>
  <c r="D47" i="7"/>
  <c r="D32" i="7"/>
  <c r="D25" i="7"/>
  <c r="D39" i="7"/>
  <c r="D21" i="7"/>
  <c r="D34" i="7"/>
  <c r="D49" i="7"/>
  <c r="D52" i="7"/>
  <c r="E44" i="7"/>
  <c r="E36" i="7"/>
  <c r="E46" i="7"/>
  <c r="E45" i="7"/>
  <c r="E40" i="7"/>
  <c r="E23" i="7"/>
  <c r="D19" i="7"/>
  <c r="D24" i="7"/>
  <c r="F9" i="7"/>
  <c r="D17" i="7"/>
  <c r="D37" i="7"/>
  <c r="D41" i="7"/>
  <c r="D44" i="7"/>
  <c r="E9" i="8"/>
  <c r="E27" i="7"/>
  <c r="E29" i="7"/>
  <c r="E39" i="7"/>
  <c r="E31" i="7"/>
  <c r="D22" i="7"/>
  <c r="D35" i="7"/>
  <c r="C59" i="7"/>
  <c r="D18" i="7"/>
  <c r="D45" i="7"/>
  <c r="D38" i="7"/>
  <c r="D42" i="7"/>
  <c r="D27" i="7"/>
  <c r="E28" i="7"/>
  <c r="E32" i="7"/>
  <c r="E38" i="7"/>
  <c r="E48" i="7"/>
  <c r="E51" i="7"/>
  <c r="E24" i="7"/>
  <c r="D48" i="7"/>
  <c r="D30" i="7"/>
  <c r="E43" i="7"/>
  <c r="E37" i="7"/>
  <c r="D31" i="7"/>
  <c r="D43" i="7"/>
  <c r="C58" i="7"/>
  <c r="E50" i="7"/>
  <c r="E25" i="7"/>
  <c r="E49" i="7"/>
  <c r="E33" i="7"/>
  <c r="D26" i="7"/>
  <c r="E52" i="7"/>
  <c r="E42" i="7"/>
  <c r="D40" i="7"/>
  <c r="J198" i="5"/>
  <c r="AJ79" i="5"/>
  <c r="D54" i="17"/>
  <c r="D56" i="17" s="1"/>
  <c r="F56" i="17" s="1"/>
  <c r="K41" i="18"/>
  <c r="N14" i="15"/>
  <c r="O14" i="15" s="1"/>
  <c r="M14" i="15"/>
  <c r="F36" i="26" s="1"/>
  <c r="L14" i="15"/>
  <c r="D36" i="26"/>
  <c r="K22" i="38"/>
  <c r="N22" i="38" s="1"/>
  <c r="I22" i="38"/>
  <c r="N17" i="38"/>
  <c r="E59" i="4"/>
  <c r="B13" i="15"/>
  <c r="E17" i="30"/>
  <c r="G11" i="30"/>
  <c r="D25" i="30"/>
  <c r="E43" i="18"/>
  <c r="E46" i="18" s="1"/>
  <c r="B63" i="15" s="1"/>
  <c r="B64" i="15" s="1"/>
  <c r="AD38" i="15"/>
  <c r="AE38" i="15" s="1"/>
  <c r="O198" i="10"/>
  <c r="M79" i="9"/>
  <c r="L198" i="10"/>
  <c r="R79" i="8"/>
  <c r="S79" i="13"/>
  <c r="I79" i="9"/>
  <c r="Q79" i="8"/>
  <c r="K79" i="8"/>
  <c r="N79" i="8"/>
  <c r="AB198" i="8"/>
  <c r="Y79" i="8"/>
  <c r="P79" i="10"/>
  <c r="W79" i="8"/>
  <c r="X198" i="8"/>
  <c r="E16" i="30"/>
  <c r="H11" i="16"/>
  <c r="H25" i="16" s="1"/>
  <c r="R16" i="15"/>
  <c r="D16" i="26"/>
  <c r="B16" i="26" s="1"/>
  <c r="C24" i="26"/>
  <c r="AL79" i="5" l="1"/>
  <c r="AV79" i="5"/>
  <c r="AK79" i="5"/>
  <c r="BD79" i="5"/>
  <c r="AT79" i="5"/>
  <c r="AZ79" i="5"/>
  <c r="AS79" i="5"/>
  <c r="AX79" i="5"/>
  <c r="BC79" i="5"/>
  <c r="AY79" i="5"/>
  <c r="AO79" i="5"/>
  <c r="AI79" i="5"/>
  <c r="AP79" i="5"/>
  <c r="AU79" i="5"/>
  <c r="AN79" i="5"/>
  <c r="AQ79" i="5"/>
  <c r="E198" i="5"/>
  <c r="AW198" i="5" s="1"/>
  <c r="N12" i="38"/>
  <c r="N34" i="38" s="1"/>
  <c r="D14" i="17" s="1"/>
  <c r="K34" i="38"/>
  <c r="K36" i="38" s="1"/>
  <c r="I34" i="38"/>
  <c r="E54" i="6"/>
  <c r="E16" i="7" s="1"/>
  <c r="E54" i="7" s="1"/>
  <c r="E16" i="8" s="1"/>
  <c r="E242" i="3"/>
  <c r="E243" i="3" s="1"/>
  <c r="C62" i="3" s="1"/>
  <c r="C66" i="3" s="1"/>
  <c r="G42" i="30"/>
  <c r="M15" i="15"/>
  <c r="F37" i="26" s="1"/>
  <c r="E254" i="5"/>
  <c r="F25" i="16"/>
  <c r="C239" i="4"/>
  <c r="D240" i="4" s="1"/>
  <c r="E62" i="6"/>
  <c r="F62" i="6" s="1"/>
  <c r="C234" i="4"/>
  <c r="D234" i="4" s="1"/>
  <c r="E242" i="4" s="1"/>
  <c r="C228" i="4"/>
  <c r="D229" i="4" s="1"/>
  <c r="E232" i="4" s="1"/>
  <c r="C271" i="7"/>
  <c r="D272" i="7" s="1"/>
  <c r="D270" i="7" s="1"/>
  <c r="AR198" i="5"/>
  <c r="AN198" i="5"/>
  <c r="G59" i="5"/>
  <c r="F59" i="5" s="1"/>
  <c r="G60" i="5"/>
  <c r="F60" i="5" s="1"/>
  <c r="T198" i="6"/>
  <c r="G60" i="4"/>
  <c r="F60" i="4" s="1"/>
  <c r="G59" i="4"/>
  <c r="F59" i="4" s="1"/>
  <c r="C248" i="7"/>
  <c r="D249" i="7" s="1"/>
  <c r="D247" i="7" s="1"/>
  <c r="C226" i="7"/>
  <c r="D227" i="7" s="1"/>
  <c r="E38" i="26" s="1"/>
  <c r="B38" i="26"/>
  <c r="N16" i="15" s="1"/>
  <c r="Z79" i="7"/>
  <c r="D198" i="7"/>
  <c r="G28" i="9"/>
  <c r="G37" i="9"/>
  <c r="G50" i="9"/>
  <c r="G26" i="9"/>
  <c r="G29" i="9"/>
  <c r="G44" i="9"/>
  <c r="G43" i="9"/>
  <c r="G18" i="9"/>
  <c r="G31" i="9"/>
  <c r="G35" i="9"/>
  <c r="G32" i="9"/>
  <c r="G34" i="9"/>
  <c r="G36" i="9"/>
  <c r="G19" i="9"/>
  <c r="G49" i="9"/>
  <c r="G24" i="9"/>
  <c r="G22" i="9"/>
  <c r="G25" i="9"/>
  <c r="G47" i="9"/>
  <c r="G42" i="9"/>
  <c r="G20" i="9"/>
  <c r="G27" i="9"/>
  <c r="G41" i="9"/>
  <c r="G40" i="9"/>
  <c r="G45" i="9"/>
  <c r="G38" i="9"/>
  <c r="G46" i="9"/>
  <c r="G48" i="9"/>
  <c r="G21" i="9"/>
  <c r="G17" i="9"/>
  <c r="G39" i="9"/>
  <c r="G30" i="9"/>
  <c r="E11" i="10"/>
  <c r="G23" i="9"/>
  <c r="G52" i="9"/>
  <c r="G51" i="9"/>
  <c r="G33" i="9"/>
  <c r="E254" i="4"/>
  <c r="C230" i="5"/>
  <c r="D231" i="5" s="1"/>
  <c r="C235" i="5"/>
  <c r="D236" i="5" s="1"/>
  <c r="C237" i="5"/>
  <c r="D238" i="5" s="1"/>
  <c r="C228" i="5"/>
  <c r="D229" i="5" s="1"/>
  <c r="C239" i="5"/>
  <c r="D240" i="5" s="1"/>
  <c r="C234" i="5"/>
  <c r="D234" i="5" s="1"/>
  <c r="C250" i="6"/>
  <c r="D251" i="6" s="1"/>
  <c r="C259" i="6"/>
  <c r="D260" i="6" s="1"/>
  <c r="C257" i="6"/>
  <c r="D258" i="6" s="1"/>
  <c r="C256" i="6"/>
  <c r="D256" i="6" s="1"/>
  <c r="C252" i="6"/>
  <c r="D253" i="6" s="1"/>
  <c r="E254" i="6" s="1"/>
  <c r="C261" i="6"/>
  <c r="D262" i="6" s="1"/>
  <c r="D38" i="8"/>
  <c r="D37" i="8"/>
  <c r="D43" i="8"/>
  <c r="D29" i="8"/>
  <c r="D49" i="8"/>
  <c r="D51" i="8"/>
  <c r="D50" i="8"/>
  <c r="C59" i="8"/>
  <c r="D35" i="8"/>
  <c r="D18" i="8"/>
  <c r="E37" i="8"/>
  <c r="E18" i="8"/>
  <c r="E38" i="8"/>
  <c r="E39" i="8"/>
  <c r="E46" i="8"/>
  <c r="E19" i="8"/>
  <c r="E50" i="8"/>
  <c r="E40" i="8"/>
  <c r="D40" i="8"/>
  <c r="D34" i="8"/>
  <c r="D46" i="8"/>
  <c r="D21" i="8"/>
  <c r="C58" i="8"/>
  <c r="D48" i="8"/>
  <c r="D31" i="8"/>
  <c r="E21" i="8"/>
  <c r="E31" i="8"/>
  <c r="E43" i="8"/>
  <c r="D44" i="8"/>
  <c r="D47" i="8"/>
  <c r="D41" i="8"/>
  <c r="D30" i="8"/>
  <c r="D22" i="8"/>
  <c r="D32" i="8"/>
  <c r="D19" i="8"/>
  <c r="D36" i="8"/>
  <c r="D20" i="8"/>
  <c r="D24" i="8"/>
  <c r="B41" i="8"/>
  <c r="D45" i="8"/>
  <c r="D17" i="8"/>
  <c r="D26" i="8"/>
  <c r="E9" i="9"/>
  <c r="D52" i="8"/>
  <c r="E28" i="8"/>
  <c r="E26" i="8"/>
  <c r="E41" i="8"/>
  <c r="E45" i="8"/>
  <c r="E25" i="8"/>
  <c r="E49" i="8"/>
  <c r="F9" i="8"/>
  <c r="E48" i="8"/>
  <c r="E24" i="8"/>
  <c r="E36" i="8"/>
  <c r="E20" i="8"/>
  <c r="D39" i="8"/>
  <c r="D33" i="8"/>
  <c r="E32" i="8"/>
  <c r="D27" i="8"/>
  <c r="D25" i="8"/>
  <c r="E30" i="8"/>
  <c r="D42" i="8"/>
  <c r="D23" i="8"/>
  <c r="E35" i="8"/>
  <c r="E27" i="8"/>
  <c r="E52" i="8"/>
  <c r="E34" i="8"/>
  <c r="E22" i="8"/>
  <c r="E47" i="8"/>
  <c r="E33" i="8"/>
  <c r="E44" i="8"/>
  <c r="E51" i="8"/>
  <c r="D28" i="8"/>
  <c r="E42" i="8"/>
  <c r="E29" i="8"/>
  <c r="E23" i="8"/>
  <c r="D54" i="7"/>
  <c r="D16" i="8" s="1"/>
  <c r="D53" i="7"/>
  <c r="H198" i="6"/>
  <c r="V79" i="6"/>
  <c r="AC198" i="7"/>
  <c r="E62" i="7"/>
  <c r="F62" i="7" s="1"/>
  <c r="E16" i="15"/>
  <c r="C15" i="15"/>
  <c r="E60" i="6"/>
  <c r="E37" i="26"/>
  <c r="D37" i="26" s="1"/>
  <c r="D225" i="6"/>
  <c r="A20" i="26"/>
  <c r="Q20" i="15"/>
  <c r="F20" i="15"/>
  <c r="A42" i="26"/>
  <c r="A43" i="15"/>
  <c r="A20" i="15"/>
  <c r="C4" i="12"/>
  <c r="U198" i="6"/>
  <c r="J79" i="6"/>
  <c r="E17" i="8"/>
  <c r="G53" i="8"/>
  <c r="E264" i="4"/>
  <c r="F79" i="5"/>
  <c r="AH198" i="4"/>
  <c r="G54" i="8"/>
  <c r="G16" i="9" s="1"/>
  <c r="E53" i="7"/>
  <c r="AA79" i="6"/>
  <c r="BC198" i="5"/>
  <c r="B15" i="15"/>
  <c r="E59" i="6"/>
  <c r="D270" i="6"/>
  <c r="E264" i="5"/>
  <c r="E265" i="5" s="1"/>
  <c r="I198" i="9"/>
  <c r="L79" i="11"/>
  <c r="F209" i="8"/>
  <c r="F216" i="8" s="1"/>
  <c r="X79" i="9"/>
  <c r="Y198" i="8"/>
  <c r="N198" i="8"/>
  <c r="R198" i="8"/>
  <c r="W198" i="8"/>
  <c r="AB79" i="9"/>
  <c r="Q198" i="8"/>
  <c r="M198" i="9"/>
  <c r="K198" i="8"/>
  <c r="S198" i="13"/>
  <c r="S79" i="14" s="1"/>
  <c r="P198" i="10"/>
  <c r="O79" i="11"/>
  <c r="D12" i="17" l="1"/>
  <c r="C51" i="15"/>
  <c r="B52" i="15" s="1"/>
  <c r="BD198" i="5"/>
  <c r="AI198" i="5"/>
  <c r="AX198" i="5"/>
  <c r="AY198" i="5"/>
  <c r="AJ198" i="5"/>
  <c r="AO198" i="5"/>
  <c r="BA198" i="5"/>
  <c r="AV198" i="5"/>
  <c r="AZ198" i="5"/>
  <c r="AM198" i="5"/>
  <c r="AT198" i="5"/>
  <c r="E79" i="6"/>
  <c r="E198" i="6" s="1"/>
  <c r="AU198" i="6" s="1"/>
  <c r="AS198" i="5"/>
  <c r="AP198" i="5"/>
  <c r="AL198" i="5"/>
  <c r="BB198" i="5"/>
  <c r="AQ198" i="5"/>
  <c r="AK198" i="5"/>
  <c r="AU198" i="5"/>
  <c r="C34" i="26"/>
  <c r="C69" i="3"/>
  <c r="E243" i="4"/>
  <c r="C62" i="4" s="1"/>
  <c r="C66" i="4" s="1"/>
  <c r="E277" i="7"/>
  <c r="E288" i="7" s="1"/>
  <c r="D54" i="8"/>
  <c r="D16" i="9" s="1"/>
  <c r="AK79" i="6"/>
  <c r="AZ79" i="6"/>
  <c r="S198" i="14"/>
  <c r="C35" i="26"/>
  <c r="C69" i="4"/>
  <c r="G34" i="10"/>
  <c r="G42" i="10"/>
  <c r="G37" i="10"/>
  <c r="G40" i="10"/>
  <c r="G49" i="10"/>
  <c r="G47" i="10"/>
  <c r="G31" i="10"/>
  <c r="G51" i="10"/>
  <c r="G18" i="10"/>
  <c r="G28" i="10"/>
  <c r="E11" i="11"/>
  <c r="G36" i="10"/>
  <c r="G23" i="10"/>
  <c r="G29" i="10"/>
  <c r="G26" i="10"/>
  <c r="G45" i="10"/>
  <c r="G19" i="10"/>
  <c r="G22" i="10"/>
  <c r="G25" i="10"/>
  <c r="G17" i="10"/>
  <c r="G38" i="10"/>
  <c r="G24" i="10"/>
  <c r="G27" i="10"/>
  <c r="G43" i="10"/>
  <c r="G35" i="10"/>
  <c r="G39" i="10"/>
  <c r="G32" i="10"/>
  <c r="G50" i="10"/>
  <c r="G48" i="10"/>
  <c r="G33" i="10"/>
  <c r="G44" i="10"/>
  <c r="G46" i="10"/>
  <c r="G21" i="10"/>
  <c r="G52" i="10"/>
  <c r="G30" i="10"/>
  <c r="G20" i="10"/>
  <c r="G41" i="10"/>
  <c r="G59" i="6"/>
  <c r="F59" i="6" s="1"/>
  <c r="G60" i="6"/>
  <c r="F60" i="6" s="1"/>
  <c r="AA198" i="6"/>
  <c r="E53" i="8"/>
  <c r="U79" i="7"/>
  <c r="C235" i="6"/>
  <c r="D236" i="6" s="1"/>
  <c r="C234" i="6"/>
  <c r="D234" i="6" s="1"/>
  <c r="C228" i="6"/>
  <c r="D229" i="6" s="1"/>
  <c r="C237" i="6"/>
  <c r="D238" i="6" s="1"/>
  <c r="C239" i="6"/>
  <c r="D240" i="6" s="1"/>
  <c r="C230" i="6"/>
  <c r="D231" i="6" s="1"/>
  <c r="V198" i="6"/>
  <c r="H79" i="7"/>
  <c r="D23" i="9"/>
  <c r="D49" i="9"/>
  <c r="D33" i="9"/>
  <c r="D45" i="9"/>
  <c r="D21" i="9"/>
  <c r="D39" i="9"/>
  <c r="F9" i="9"/>
  <c r="D37" i="9"/>
  <c r="D43" i="9"/>
  <c r="D35" i="9"/>
  <c r="E27" i="9"/>
  <c r="E48" i="9"/>
  <c r="E38" i="9"/>
  <c r="E19" i="9"/>
  <c r="E40" i="9"/>
  <c r="D52" i="9"/>
  <c r="E9" i="10"/>
  <c r="D51" i="9"/>
  <c r="D19" i="9"/>
  <c r="D30" i="9"/>
  <c r="D32" i="9"/>
  <c r="D17" i="9"/>
  <c r="D47" i="9"/>
  <c r="E45" i="9"/>
  <c r="E26" i="9"/>
  <c r="E52" i="9"/>
  <c r="E39" i="9"/>
  <c r="E42" i="9"/>
  <c r="D29" i="9"/>
  <c r="E46" i="9"/>
  <c r="E30" i="9"/>
  <c r="E20" i="9"/>
  <c r="E41" i="9"/>
  <c r="D44" i="9"/>
  <c r="C58" i="9"/>
  <c r="E21" i="9"/>
  <c r="E44" i="9"/>
  <c r="E18" i="9"/>
  <c r="E23" i="9"/>
  <c r="D46" i="9"/>
  <c r="D50" i="9"/>
  <c r="D42" i="9"/>
  <c r="D24" i="9"/>
  <c r="D20" i="9"/>
  <c r="E50" i="9"/>
  <c r="E36" i="9"/>
  <c r="E24" i="9"/>
  <c r="E47" i="9"/>
  <c r="D22" i="9"/>
  <c r="D48" i="9"/>
  <c r="D40" i="9"/>
  <c r="D41" i="9"/>
  <c r="C59" i="9"/>
  <c r="E32" i="9"/>
  <c r="E29" i="9"/>
  <c r="E43" i="9"/>
  <c r="E51" i="9"/>
  <c r="E49" i="9"/>
  <c r="E31" i="9"/>
  <c r="E33" i="9"/>
  <c r="E25" i="9"/>
  <c r="D18" i="9"/>
  <c r="B41" i="9"/>
  <c r="D25" i="9"/>
  <c r="D31" i="9"/>
  <c r="D34" i="9"/>
  <c r="E37" i="9"/>
  <c r="E34" i="9"/>
  <c r="E22" i="9"/>
  <c r="D27" i="9"/>
  <c r="D26" i="9"/>
  <c r="D38" i="9"/>
  <c r="D28" i="9"/>
  <c r="E35" i="9"/>
  <c r="D36" i="9"/>
  <c r="E28" i="9"/>
  <c r="E17" i="9"/>
  <c r="B39" i="26"/>
  <c r="C226" i="8"/>
  <c r="D227" i="8" s="1"/>
  <c r="E39" i="26" s="1"/>
  <c r="D39" i="26" s="1"/>
  <c r="C271" i="8"/>
  <c r="D272" i="8" s="1"/>
  <c r="E277" i="8" s="1"/>
  <c r="E288" i="8" s="1"/>
  <c r="C248" i="8"/>
  <c r="D249" i="8" s="1"/>
  <c r="D247" i="8" s="1"/>
  <c r="E264" i="6"/>
  <c r="E265" i="6" s="1"/>
  <c r="C250" i="7"/>
  <c r="D251" i="7" s="1"/>
  <c r="C252" i="7"/>
  <c r="D253" i="7" s="1"/>
  <c r="C261" i="7"/>
  <c r="D262" i="7" s="1"/>
  <c r="C256" i="7"/>
  <c r="D256" i="7" s="1"/>
  <c r="C259" i="7"/>
  <c r="D260" i="7" s="1"/>
  <c r="C257" i="7"/>
  <c r="D258" i="7" s="1"/>
  <c r="E60" i="7"/>
  <c r="C16" i="15"/>
  <c r="F198" i="5"/>
  <c r="AH79" i="5"/>
  <c r="F21" i="15"/>
  <c r="A21" i="26"/>
  <c r="Q21" i="15"/>
  <c r="A44" i="15"/>
  <c r="C4" i="13"/>
  <c r="A21" i="15"/>
  <c r="A43" i="26"/>
  <c r="E59" i="7"/>
  <c r="B16" i="15"/>
  <c r="E265" i="4"/>
  <c r="G53" i="9"/>
  <c r="D225" i="7"/>
  <c r="D53" i="8"/>
  <c r="D79" i="8"/>
  <c r="E209" i="7"/>
  <c r="E216" i="7" s="1"/>
  <c r="D38" i="26"/>
  <c r="M16" i="15"/>
  <c r="F38" i="26" s="1"/>
  <c r="L16" i="15"/>
  <c r="G54" i="9"/>
  <c r="G16" i="10" s="1"/>
  <c r="E17" i="15"/>
  <c r="E62" i="8"/>
  <c r="F62" i="8" s="1"/>
  <c r="J198" i="6"/>
  <c r="AC79" i="8"/>
  <c r="E54" i="8"/>
  <c r="E16" i="9" s="1"/>
  <c r="E242" i="5"/>
  <c r="E232" i="5"/>
  <c r="Z198" i="7"/>
  <c r="T79" i="7"/>
  <c r="K79" i="9"/>
  <c r="W79" i="9"/>
  <c r="P79" i="11"/>
  <c r="AB198" i="9"/>
  <c r="Y79" i="9"/>
  <c r="L198" i="11"/>
  <c r="M79" i="10"/>
  <c r="X198" i="9"/>
  <c r="N79" i="9"/>
  <c r="Q79" i="9"/>
  <c r="O198" i="11"/>
  <c r="I79" i="10"/>
  <c r="R79" i="9"/>
  <c r="O16" i="15"/>
  <c r="AP79" i="6" l="1"/>
  <c r="AY79" i="6"/>
  <c r="AL79" i="6"/>
  <c r="AQ79" i="6"/>
  <c r="AN79" i="6"/>
  <c r="AJ79" i="6"/>
  <c r="AS79" i="6"/>
  <c r="BB79" i="6"/>
  <c r="AM79" i="6"/>
  <c r="BA79" i="6"/>
  <c r="AI79" i="6"/>
  <c r="AV79" i="6"/>
  <c r="AO79" i="6"/>
  <c r="AT79" i="6"/>
  <c r="AU79" i="6"/>
  <c r="AW79" i="6"/>
  <c r="AX79" i="6"/>
  <c r="BC79" i="6"/>
  <c r="AR79" i="6"/>
  <c r="BD79" i="6"/>
  <c r="E232" i="6"/>
  <c r="E79" i="7"/>
  <c r="AW79" i="7" s="1"/>
  <c r="AI198" i="6"/>
  <c r="AY198" i="6"/>
  <c r="AO198" i="6"/>
  <c r="AR198" i="6"/>
  <c r="AQ198" i="6"/>
  <c r="AM198" i="6"/>
  <c r="AN198" i="6"/>
  <c r="AP198" i="6"/>
  <c r="AK198" i="6"/>
  <c r="AS198" i="6"/>
  <c r="BB198" i="6"/>
  <c r="AZ198" i="6"/>
  <c r="BD198" i="6"/>
  <c r="AT198" i="6"/>
  <c r="D270" i="8"/>
  <c r="AW198" i="6"/>
  <c r="D54" i="9"/>
  <c r="D16" i="10" s="1"/>
  <c r="E254" i="7"/>
  <c r="T198" i="7"/>
  <c r="E62" i="9"/>
  <c r="F62" i="9" s="1"/>
  <c r="E18" i="15"/>
  <c r="BA198" i="6"/>
  <c r="AA79" i="7"/>
  <c r="BC198" i="6"/>
  <c r="J79" i="7"/>
  <c r="AJ198" i="6"/>
  <c r="AL198" i="6"/>
  <c r="E59" i="8"/>
  <c r="B17" i="15"/>
  <c r="E53" i="9"/>
  <c r="D21" i="10"/>
  <c r="E21" i="10"/>
  <c r="E52" i="10"/>
  <c r="E47" i="10"/>
  <c r="D43" i="10"/>
  <c r="D26" i="10"/>
  <c r="C59" i="10"/>
  <c r="E35" i="10"/>
  <c r="D35" i="10"/>
  <c r="E41" i="10"/>
  <c r="D29" i="10"/>
  <c r="E26" i="10"/>
  <c r="F9" i="10"/>
  <c r="E36" i="10"/>
  <c r="E31" i="10"/>
  <c r="D23" i="10"/>
  <c r="E48" i="10"/>
  <c r="D30" i="10"/>
  <c r="E38" i="10"/>
  <c r="D36" i="10"/>
  <c r="E37" i="10"/>
  <c r="D24" i="10"/>
  <c r="D19" i="10"/>
  <c r="E24" i="10"/>
  <c r="E18" i="10"/>
  <c r="D51" i="10"/>
  <c r="D22" i="10"/>
  <c r="E30" i="10"/>
  <c r="E51" i="10"/>
  <c r="D37" i="10"/>
  <c r="D48" i="10"/>
  <c r="D28" i="10"/>
  <c r="D45" i="10"/>
  <c r="E27" i="10"/>
  <c r="E45" i="10"/>
  <c r="E43" i="10"/>
  <c r="E22" i="10"/>
  <c r="D46" i="10"/>
  <c r="E39" i="10"/>
  <c r="D31" i="10"/>
  <c r="E20" i="10"/>
  <c r="D34" i="10"/>
  <c r="E19" i="10"/>
  <c r="D18" i="10"/>
  <c r="D32" i="10"/>
  <c r="E23" i="10"/>
  <c r="D40" i="10"/>
  <c r="E29" i="10"/>
  <c r="D44" i="10"/>
  <c r="E34" i="10"/>
  <c r="E33" i="10"/>
  <c r="C58" i="10"/>
  <c r="D25" i="10"/>
  <c r="D17" i="10"/>
  <c r="E17" i="10"/>
  <c r="D20" i="10"/>
  <c r="D50" i="10"/>
  <c r="E25" i="10"/>
  <c r="D39" i="10"/>
  <c r="E46" i="10"/>
  <c r="D27" i="10"/>
  <c r="E32" i="10"/>
  <c r="D52" i="10"/>
  <c r="E42" i="10"/>
  <c r="E44" i="10"/>
  <c r="D38" i="10"/>
  <c r="E50" i="10"/>
  <c r="D49" i="10"/>
  <c r="B41" i="10"/>
  <c r="E28" i="10"/>
  <c r="D41" i="10"/>
  <c r="D47" i="10"/>
  <c r="D42" i="10"/>
  <c r="E40" i="10"/>
  <c r="E9" i="11"/>
  <c r="D33" i="10"/>
  <c r="E49" i="10"/>
  <c r="E243" i="5"/>
  <c r="C62" i="5" s="1"/>
  <c r="C66" i="5" s="1"/>
  <c r="AC198" i="8"/>
  <c r="C237" i="7"/>
  <c r="D238" i="7" s="1"/>
  <c r="C230" i="7"/>
  <c r="D231" i="7" s="1"/>
  <c r="C234" i="7"/>
  <c r="D234" i="7" s="1"/>
  <c r="C239" i="7"/>
  <c r="D240" i="7" s="1"/>
  <c r="C228" i="7"/>
  <c r="D229" i="7" s="1"/>
  <c r="C235" i="7"/>
  <c r="D236" i="7" s="1"/>
  <c r="Q22" i="15"/>
  <c r="C4" i="14"/>
  <c r="A44" i="26"/>
  <c r="A22" i="26"/>
  <c r="F22" i="15"/>
  <c r="A45" i="15"/>
  <c r="A22" i="15"/>
  <c r="E264" i="7"/>
  <c r="D225" i="8"/>
  <c r="V79" i="7"/>
  <c r="AV198" i="6"/>
  <c r="AX198" i="6"/>
  <c r="U198" i="7"/>
  <c r="C226" i="9"/>
  <c r="D227" i="9" s="1"/>
  <c r="E40" i="26" s="1"/>
  <c r="B40" i="26"/>
  <c r="C248" i="9"/>
  <c r="D249" i="9" s="1"/>
  <c r="D247" i="9" s="1"/>
  <c r="C271" i="9"/>
  <c r="D272" i="9" s="1"/>
  <c r="E277" i="9" s="1"/>
  <c r="E288" i="9" s="1"/>
  <c r="G53" i="10"/>
  <c r="Z79" i="8"/>
  <c r="E54" i="9"/>
  <c r="E16" i="10" s="1"/>
  <c r="G54" i="10"/>
  <c r="G16" i="11" s="1"/>
  <c r="D198" i="8"/>
  <c r="F79" i="6"/>
  <c r="AH198" i="5"/>
  <c r="C261" i="8"/>
  <c r="D262" i="8" s="1"/>
  <c r="C250" i="8"/>
  <c r="D251" i="8" s="1"/>
  <c r="C257" i="8"/>
  <c r="D258" i="8" s="1"/>
  <c r="C259" i="8"/>
  <c r="D260" i="8" s="1"/>
  <c r="C252" i="8"/>
  <c r="D253" i="8" s="1"/>
  <c r="C256" i="8"/>
  <c r="D256" i="8" s="1"/>
  <c r="L17" i="15"/>
  <c r="M17" i="15"/>
  <c r="F39" i="26" s="1"/>
  <c r="N17" i="15"/>
  <c r="O17" i="15" s="1"/>
  <c r="D53" i="9"/>
  <c r="E242" i="6"/>
  <c r="E243" i="6" s="1"/>
  <c r="C62" i="6" s="1"/>
  <c r="C66" i="6" s="1"/>
  <c r="E60" i="8"/>
  <c r="G59" i="8" s="1"/>
  <c r="F59" i="8" s="1"/>
  <c r="C17" i="15"/>
  <c r="G27" i="11"/>
  <c r="G49" i="11"/>
  <c r="G42" i="11"/>
  <c r="G29" i="11"/>
  <c r="G28" i="11"/>
  <c r="E11" i="12"/>
  <c r="G19" i="11"/>
  <c r="G24" i="11"/>
  <c r="G35" i="11"/>
  <c r="G18" i="11"/>
  <c r="G26" i="11"/>
  <c r="G34" i="11"/>
  <c r="G38" i="11"/>
  <c r="G47" i="11"/>
  <c r="G48" i="11"/>
  <c r="G39" i="11"/>
  <c r="G21" i="11"/>
  <c r="G17" i="11"/>
  <c r="G51" i="11"/>
  <c r="G25" i="11"/>
  <c r="G50" i="11"/>
  <c r="G37" i="11"/>
  <c r="G43" i="11"/>
  <c r="G45" i="11"/>
  <c r="G30" i="11"/>
  <c r="G23" i="11"/>
  <c r="G20" i="11"/>
  <c r="G46" i="11"/>
  <c r="G40" i="11"/>
  <c r="G52" i="11"/>
  <c r="G41" i="11"/>
  <c r="G31" i="11"/>
  <c r="G44" i="11"/>
  <c r="G36" i="11"/>
  <c r="G33" i="11"/>
  <c r="G32" i="11"/>
  <c r="G22" i="11"/>
  <c r="G59" i="7"/>
  <c r="F59" i="7" s="1"/>
  <c r="G60" i="7"/>
  <c r="F60" i="7" s="1"/>
  <c r="H198" i="7"/>
  <c r="O79" i="12"/>
  <c r="M198" i="10"/>
  <c r="L79" i="12"/>
  <c r="I198" i="10"/>
  <c r="AB79" i="10"/>
  <c r="W198" i="9"/>
  <c r="R198" i="9"/>
  <c r="Y198" i="9"/>
  <c r="P198" i="11"/>
  <c r="N198" i="9"/>
  <c r="F209" i="9"/>
  <c r="F216" i="9" s="1"/>
  <c r="X79" i="10"/>
  <c r="Q198" i="9"/>
  <c r="K198" i="9"/>
  <c r="AT79" i="7" l="1"/>
  <c r="AU79" i="7"/>
  <c r="E242" i="7"/>
  <c r="E254" i="8"/>
  <c r="E265" i="7"/>
  <c r="E198" i="7"/>
  <c r="AW198" i="7" s="1"/>
  <c r="AK79" i="7"/>
  <c r="AQ79" i="7"/>
  <c r="AP79" i="7"/>
  <c r="AO79" i="7"/>
  <c r="AM79" i="7"/>
  <c r="AR79" i="7"/>
  <c r="BD79" i="7"/>
  <c r="AI79" i="7"/>
  <c r="AS79" i="7"/>
  <c r="AN79" i="7"/>
  <c r="AY79" i="7"/>
  <c r="BB79" i="7"/>
  <c r="AZ79" i="7"/>
  <c r="C37" i="26"/>
  <c r="C69" i="6"/>
  <c r="H79" i="8"/>
  <c r="V198" i="7"/>
  <c r="AV79" i="7"/>
  <c r="AX79" i="7"/>
  <c r="B3" i="17"/>
  <c r="B3" i="34" s="1"/>
  <c r="A24" i="34" s="1"/>
  <c r="B3" i="28"/>
  <c r="Q23" i="15"/>
  <c r="B3" i="37"/>
  <c r="B3" i="26"/>
  <c r="B3" i="38"/>
  <c r="F23" i="15"/>
  <c r="B3" i="18"/>
  <c r="A23" i="15"/>
  <c r="C3" i="15"/>
  <c r="A45" i="26"/>
  <c r="A23" i="26"/>
  <c r="A46" i="15"/>
  <c r="B3" i="16"/>
  <c r="B3" i="39"/>
  <c r="B16" i="39" s="1"/>
  <c r="D79" i="9"/>
  <c r="E209" i="8"/>
  <c r="E216" i="8" s="1"/>
  <c r="D270" i="9"/>
  <c r="D225" i="9"/>
  <c r="U79" i="8"/>
  <c r="C235" i="8"/>
  <c r="D236" i="8" s="1"/>
  <c r="C239" i="8"/>
  <c r="D240" i="8" s="1"/>
  <c r="C230" i="8"/>
  <c r="D231" i="8" s="1"/>
  <c r="C234" i="8"/>
  <c r="D234" i="8" s="1"/>
  <c r="C237" i="8"/>
  <c r="D238" i="8" s="1"/>
  <c r="C228" i="8"/>
  <c r="D229" i="8" s="1"/>
  <c r="AC79" i="9"/>
  <c r="D41" i="11"/>
  <c r="D24" i="11"/>
  <c r="E32" i="11"/>
  <c r="D23" i="11"/>
  <c r="D22" i="11"/>
  <c r="E41" i="11"/>
  <c r="E36" i="11"/>
  <c r="E50" i="11"/>
  <c r="D27" i="11"/>
  <c r="F9" i="11"/>
  <c r="D37" i="11"/>
  <c r="D31" i="11"/>
  <c r="E44" i="11"/>
  <c r="E35" i="11"/>
  <c r="C58" i="11"/>
  <c r="E45" i="11"/>
  <c r="E49" i="11"/>
  <c r="E40" i="11"/>
  <c r="D33" i="11"/>
  <c r="E22" i="11"/>
  <c r="E31" i="11"/>
  <c r="E9" i="12"/>
  <c r="D25" i="11"/>
  <c r="C59" i="11"/>
  <c r="E47" i="11"/>
  <c r="D40" i="11"/>
  <c r="D51" i="11"/>
  <c r="D44" i="11"/>
  <c r="E43" i="11"/>
  <c r="E52" i="11"/>
  <c r="D48" i="11"/>
  <c r="D34" i="11"/>
  <c r="D36" i="11"/>
  <c r="D35" i="11"/>
  <c r="E37" i="11"/>
  <c r="E19" i="11"/>
  <c r="D20" i="11"/>
  <c r="D29" i="11"/>
  <c r="D17" i="11"/>
  <c r="B41" i="11"/>
  <c r="E17" i="11"/>
  <c r="E27" i="11"/>
  <c r="D21" i="11"/>
  <c r="E48" i="11"/>
  <c r="E29" i="11"/>
  <c r="E42" i="11"/>
  <c r="D50" i="11"/>
  <c r="D38" i="11"/>
  <c r="E21" i="11"/>
  <c r="E20" i="11"/>
  <c r="D42" i="11"/>
  <c r="D18" i="11"/>
  <c r="E30" i="11"/>
  <c r="D30" i="11"/>
  <c r="E39" i="11"/>
  <c r="E24" i="11"/>
  <c r="D26" i="11"/>
  <c r="D19" i="11"/>
  <c r="D45" i="11"/>
  <c r="D28" i="11"/>
  <c r="D47" i="11"/>
  <c r="E28" i="11"/>
  <c r="D46" i="11"/>
  <c r="E46" i="11"/>
  <c r="E25" i="11"/>
  <c r="E23" i="11"/>
  <c r="D32" i="11"/>
  <c r="E26" i="11"/>
  <c r="E33" i="11"/>
  <c r="D52" i="11"/>
  <c r="D39" i="11"/>
  <c r="E18" i="11"/>
  <c r="E34" i="11"/>
  <c r="D43" i="11"/>
  <c r="E38" i="11"/>
  <c r="D49" i="11"/>
  <c r="E51" i="11"/>
  <c r="E53" i="10"/>
  <c r="J198" i="7"/>
  <c r="AJ79" i="7"/>
  <c r="AL79" i="7"/>
  <c r="T79" i="8"/>
  <c r="G53" i="11"/>
  <c r="G27" i="12"/>
  <c r="G51" i="12"/>
  <c r="G38" i="12"/>
  <c r="G47" i="12"/>
  <c r="G49" i="12"/>
  <c r="G28" i="12"/>
  <c r="G24" i="12"/>
  <c r="G45" i="12"/>
  <c r="G26" i="12"/>
  <c r="G37" i="12"/>
  <c r="G34" i="12"/>
  <c r="G31" i="12"/>
  <c r="G52" i="12"/>
  <c r="G50" i="12"/>
  <c r="G48" i="12"/>
  <c r="G36" i="12"/>
  <c r="G39" i="12"/>
  <c r="G41" i="12"/>
  <c r="G20" i="12"/>
  <c r="G32" i="12"/>
  <c r="G22" i="12"/>
  <c r="G17" i="12"/>
  <c r="G46" i="12"/>
  <c r="G19" i="12"/>
  <c r="G25" i="12"/>
  <c r="G18" i="12"/>
  <c r="G21" i="12"/>
  <c r="G23" i="12"/>
  <c r="E11" i="13"/>
  <c r="G35" i="12"/>
  <c r="G30" i="12"/>
  <c r="G43" i="12"/>
  <c r="G42" i="12"/>
  <c r="G33" i="12"/>
  <c r="G44" i="12"/>
  <c r="G29" i="12"/>
  <c r="G40" i="12"/>
  <c r="F198" i="6"/>
  <c r="AH79" i="6"/>
  <c r="G54" i="11"/>
  <c r="G16" i="12" s="1"/>
  <c r="E19" i="15"/>
  <c r="E62" i="10"/>
  <c r="F62" i="10" s="1"/>
  <c r="E232" i="7"/>
  <c r="E243" i="7" s="1"/>
  <c r="C62" i="7" s="1"/>
  <c r="C66" i="7" s="1"/>
  <c r="C36" i="26"/>
  <c r="C69" i="5"/>
  <c r="D53" i="10"/>
  <c r="G60" i="8"/>
  <c r="F60" i="8" s="1"/>
  <c r="D54" i="10"/>
  <c r="D16" i="11" s="1"/>
  <c r="Z198" i="8"/>
  <c r="D40" i="26"/>
  <c r="N18" i="15"/>
  <c r="O18" i="15" s="1"/>
  <c r="M18" i="15"/>
  <c r="F40" i="26" s="1"/>
  <c r="L18" i="15"/>
  <c r="C271" i="10"/>
  <c r="D272" i="10" s="1"/>
  <c r="E277" i="10" s="1"/>
  <c r="E288" i="10" s="1"/>
  <c r="C248" i="10"/>
  <c r="D249" i="10" s="1"/>
  <c r="D247" i="10" s="1"/>
  <c r="C226" i="10"/>
  <c r="D227" i="10" s="1"/>
  <c r="E41" i="26" s="1"/>
  <c r="B41" i="26"/>
  <c r="C18" i="15"/>
  <c r="E60" i="9"/>
  <c r="E59" i="9"/>
  <c r="B18" i="15"/>
  <c r="E264" i="8"/>
  <c r="E265" i="8" s="1"/>
  <c r="E54" i="10"/>
  <c r="E16" i="11" s="1"/>
  <c r="C256" i="9"/>
  <c r="D256" i="9" s="1"/>
  <c r="C257" i="9"/>
  <c r="D258" i="9" s="1"/>
  <c r="C252" i="9"/>
  <c r="D253" i="9" s="1"/>
  <c r="C250" i="9"/>
  <c r="D251" i="9" s="1"/>
  <c r="C259" i="9"/>
  <c r="D260" i="9" s="1"/>
  <c r="C261" i="9"/>
  <c r="D262" i="9" s="1"/>
  <c r="BA79" i="7"/>
  <c r="AA198" i="7"/>
  <c r="BC79" i="7"/>
  <c r="X198" i="10"/>
  <c r="Y79" i="10"/>
  <c r="L198" i="12"/>
  <c r="K79" i="10"/>
  <c r="AB198" i="10"/>
  <c r="M79" i="11"/>
  <c r="P79" i="12"/>
  <c r="R79" i="10"/>
  <c r="O198" i="12"/>
  <c r="W79" i="10"/>
  <c r="Q79" i="10"/>
  <c r="N79" i="10"/>
  <c r="I79" i="11"/>
  <c r="AT198" i="7" l="1"/>
  <c r="AU198" i="7"/>
  <c r="D54" i="11"/>
  <c r="D16" i="12" s="1"/>
  <c r="G54" i="12"/>
  <c r="G16" i="13" s="1"/>
  <c r="E79" i="8"/>
  <c r="AU79" i="8" s="1"/>
  <c r="AI198" i="7"/>
  <c r="AM198" i="7"/>
  <c r="AN198" i="7"/>
  <c r="BD198" i="7"/>
  <c r="AQ198" i="7"/>
  <c r="AS198" i="7"/>
  <c r="AO198" i="7"/>
  <c r="AP198" i="7"/>
  <c r="AY198" i="7"/>
  <c r="AR198" i="7"/>
  <c r="BB198" i="7"/>
  <c r="AK198" i="7"/>
  <c r="AZ198" i="7"/>
  <c r="E254" i="9"/>
  <c r="E62" i="11"/>
  <c r="F62" i="11" s="1"/>
  <c r="E20" i="15"/>
  <c r="C235" i="9"/>
  <c r="D236" i="9" s="1"/>
  <c r="C239" i="9"/>
  <c r="D240" i="9" s="1"/>
  <c r="C230" i="9"/>
  <c r="D231" i="9" s="1"/>
  <c r="C234" i="9"/>
  <c r="D234" i="9" s="1"/>
  <c r="C237" i="9"/>
  <c r="D238" i="9" s="1"/>
  <c r="C228" i="9"/>
  <c r="D229" i="9" s="1"/>
  <c r="AA79" i="8"/>
  <c r="BA198" i="7"/>
  <c r="BC198" i="7"/>
  <c r="E54" i="11"/>
  <c r="E16" i="12" s="1"/>
  <c r="M19" i="15"/>
  <c r="F41" i="26" s="1"/>
  <c r="N19" i="15"/>
  <c r="O19" i="15" s="1"/>
  <c r="L19" i="15"/>
  <c r="D41" i="26"/>
  <c r="C38" i="26"/>
  <c r="C69" i="7"/>
  <c r="H198" i="8"/>
  <c r="D198" i="9"/>
  <c r="Z79" i="9"/>
  <c r="E59" i="10"/>
  <c r="B19" i="15"/>
  <c r="F79" i="7"/>
  <c r="AH198" i="6"/>
  <c r="G53" i="12"/>
  <c r="J79" i="8"/>
  <c r="AJ198" i="7"/>
  <c r="AL198" i="7"/>
  <c r="D53" i="11"/>
  <c r="C226" i="11"/>
  <c r="D227" i="11" s="1"/>
  <c r="E42" i="26" s="1"/>
  <c r="B42" i="26"/>
  <c r="C248" i="11"/>
  <c r="D249" i="11" s="1"/>
  <c r="D247" i="11" s="1"/>
  <c r="C271" i="11"/>
  <c r="D272" i="11" s="1"/>
  <c r="E277" i="11" s="1"/>
  <c r="E288" i="11" s="1"/>
  <c r="AC198" i="9"/>
  <c r="E232" i="8"/>
  <c r="U198" i="8"/>
  <c r="AW79" i="8"/>
  <c r="G60" i="9"/>
  <c r="F60" i="9" s="1"/>
  <c r="G59" i="9"/>
  <c r="F59" i="9" s="1"/>
  <c r="D270" i="10"/>
  <c r="E53" i="11"/>
  <c r="E264" i="9"/>
  <c r="E265" i="9" s="1"/>
  <c r="D225" i="10"/>
  <c r="C252" i="10"/>
  <c r="D253" i="10" s="1"/>
  <c r="C250" i="10"/>
  <c r="D251" i="10" s="1"/>
  <c r="C257" i="10"/>
  <c r="D258" i="10" s="1"/>
  <c r="C261" i="10"/>
  <c r="D262" i="10" s="1"/>
  <c r="C256" i="10"/>
  <c r="D256" i="10" s="1"/>
  <c r="C259" i="10"/>
  <c r="D260" i="10" s="1"/>
  <c r="E11" i="14"/>
  <c r="G29" i="13"/>
  <c r="G21" i="13"/>
  <c r="G25" i="13"/>
  <c r="G50" i="13"/>
  <c r="G47" i="13"/>
  <c r="G45" i="13"/>
  <c r="G34" i="13"/>
  <c r="G36" i="13"/>
  <c r="G28" i="13"/>
  <c r="G19" i="13"/>
  <c r="G49" i="13"/>
  <c r="G41" i="13"/>
  <c r="G38" i="13"/>
  <c r="G30" i="13"/>
  <c r="G20" i="13"/>
  <c r="G31" i="13"/>
  <c r="G42" i="13"/>
  <c r="G23" i="13"/>
  <c r="G26" i="13"/>
  <c r="G18" i="13"/>
  <c r="G27" i="13"/>
  <c r="G24" i="13"/>
  <c r="G22" i="13"/>
  <c r="G37" i="13"/>
  <c r="G32" i="13"/>
  <c r="G17" i="13"/>
  <c r="G46" i="13"/>
  <c r="G43" i="13"/>
  <c r="G48" i="13"/>
  <c r="G52" i="13"/>
  <c r="G35" i="13"/>
  <c r="G40" i="13"/>
  <c r="G44" i="13"/>
  <c r="G33" i="13"/>
  <c r="G51" i="13"/>
  <c r="G39" i="13"/>
  <c r="T198" i="8"/>
  <c r="AT79" i="8"/>
  <c r="E60" i="10"/>
  <c r="C19" i="15"/>
  <c r="D36" i="12"/>
  <c r="E48" i="12"/>
  <c r="D29" i="12"/>
  <c r="E27" i="12"/>
  <c r="E33" i="12"/>
  <c r="D24" i="12"/>
  <c r="E24" i="12"/>
  <c r="E41" i="12"/>
  <c r="B41" i="12"/>
  <c r="E46" i="12"/>
  <c r="D33" i="12"/>
  <c r="D30" i="12"/>
  <c r="D22" i="12"/>
  <c r="D48" i="12"/>
  <c r="E21" i="12"/>
  <c r="E19" i="12"/>
  <c r="D28" i="12"/>
  <c r="E42" i="12"/>
  <c r="E17" i="12"/>
  <c r="D21" i="12"/>
  <c r="D32" i="12"/>
  <c r="D46" i="12"/>
  <c r="E43" i="12"/>
  <c r="E36" i="12"/>
  <c r="D50" i="12"/>
  <c r="D47" i="12"/>
  <c r="D42" i="12"/>
  <c r="E28" i="12"/>
  <c r="C58" i="12"/>
  <c r="E18" i="12"/>
  <c r="D39" i="12"/>
  <c r="D25" i="12"/>
  <c r="E39" i="12"/>
  <c r="D41" i="12"/>
  <c r="D20" i="12"/>
  <c r="D27" i="12"/>
  <c r="E9" i="13"/>
  <c r="E37" i="12"/>
  <c r="E30" i="12"/>
  <c r="F9" i="12"/>
  <c r="E44" i="12"/>
  <c r="D18" i="12"/>
  <c r="D26" i="12"/>
  <c r="E23" i="12"/>
  <c r="E38" i="12"/>
  <c r="D52" i="12"/>
  <c r="D17" i="12"/>
  <c r="D23" i="12"/>
  <c r="D35" i="12"/>
  <c r="E50" i="12"/>
  <c r="D19" i="12"/>
  <c r="D51" i="12"/>
  <c r="E22" i="12"/>
  <c r="D44" i="12"/>
  <c r="E25" i="12"/>
  <c r="D31" i="12"/>
  <c r="D49" i="12"/>
  <c r="D34" i="12"/>
  <c r="D38" i="12"/>
  <c r="E26" i="12"/>
  <c r="E29" i="12"/>
  <c r="E34" i="12"/>
  <c r="D45" i="12"/>
  <c r="E45" i="12"/>
  <c r="E49" i="12"/>
  <c r="E35" i="12"/>
  <c r="E52" i="12"/>
  <c r="E20" i="12"/>
  <c r="E32" i="12"/>
  <c r="E47" i="12"/>
  <c r="D37" i="12"/>
  <c r="E31" i="12"/>
  <c r="E40" i="12"/>
  <c r="D43" i="12"/>
  <c r="C59" i="12"/>
  <c r="D40" i="12"/>
  <c r="E51" i="12"/>
  <c r="E242" i="8"/>
  <c r="AV198" i="7"/>
  <c r="V79" i="8"/>
  <c r="AX198" i="7"/>
  <c r="O79" i="13"/>
  <c r="F209" i="10"/>
  <c r="F216" i="10" s="1"/>
  <c r="X79" i="11"/>
  <c r="W198" i="10"/>
  <c r="P198" i="12"/>
  <c r="N198" i="10"/>
  <c r="Y198" i="10"/>
  <c r="R198" i="10"/>
  <c r="M198" i="11"/>
  <c r="I198" i="11"/>
  <c r="L79" i="13"/>
  <c r="Q198" i="10"/>
  <c r="AB79" i="11"/>
  <c r="K198" i="10"/>
  <c r="D225" i="11" l="1"/>
  <c r="E264" i="10"/>
  <c r="E265" i="10" s="1"/>
  <c r="E242" i="9"/>
  <c r="E198" i="8"/>
  <c r="AU198" i="8" s="1"/>
  <c r="AY79" i="8"/>
  <c r="AQ79" i="8"/>
  <c r="AN79" i="8"/>
  <c r="AM79" i="8"/>
  <c r="AI79" i="8"/>
  <c r="AK79" i="8"/>
  <c r="AO79" i="8"/>
  <c r="AP79" i="8"/>
  <c r="AS79" i="8"/>
  <c r="AR79" i="8"/>
  <c r="BB79" i="8"/>
  <c r="BD79" i="8"/>
  <c r="AZ79" i="8"/>
  <c r="E243" i="8"/>
  <c r="C62" i="8" s="1"/>
  <c r="C66" i="8" s="1"/>
  <c r="C69" i="8" s="1"/>
  <c r="E254" i="10"/>
  <c r="AV79" i="8"/>
  <c r="V198" i="8"/>
  <c r="AX79" i="8"/>
  <c r="E54" i="12"/>
  <c r="E16" i="13" s="1"/>
  <c r="D53" i="12"/>
  <c r="E53" i="12"/>
  <c r="U79" i="9"/>
  <c r="AC79" i="10"/>
  <c r="C261" i="11"/>
  <c r="D262" i="11" s="1"/>
  <c r="C252" i="11"/>
  <c r="D253" i="11" s="1"/>
  <c r="C257" i="11"/>
  <c r="D258" i="11" s="1"/>
  <c r="C256" i="11"/>
  <c r="D256" i="11" s="1"/>
  <c r="C250" i="11"/>
  <c r="D251" i="11" s="1"/>
  <c r="C259" i="11"/>
  <c r="D260" i="11" s="1"/>
  <c r="Z198" i="9"/>
  <c r="H79" i="9"/>
  <c r="G20" i="14"/>
  <c r="G31" i="14"/>
  <c r="G23" i="14"/>
  <c r="G40" i="14"/>
  <c r="G46" i="14"/>
  <c r="G48" i="14"/>
  <c r="G44" i="14"/>
  <c r="G42" i="14"/>
  <c r="G41" i="14"/>
  <c r="G18" i="14"/>
  <c r="G36" i="14"/>
  <c r="G19" i="14"/>
  <c r="G32" i="14"/>
  <c r="G35" i="14"/>
  <c r="G33" i="14"/>
  <c r="G29" i="14"/>
  <c r="G51" i="14"/>
  <c r="G27" i="14"/>
  <c r="G24" i="14"/>
  <c r="G37" i="14"/>
  <c r="G50" i="14"/>
  <c r="G52" i="14"/>
  <c r="G17" i="14"/>
  <c r="G25" i="14"/>
  <c r="G47" i="14"/>
  <c r="G38" i="14"/>
  <c r="G34" i="14"/>
  <c r="G21" i="14"/>
  <c r="G30" i="14"/>
  <c r="G43" i="14"/>
  <c r="G28" i="14"/>
  <c r="G49" i="14"/>
  <c r="G39" i="14"/>
  <c r="G45" i="14"/>
  <c r="G22" i="14"/>
  <c r="G26" i="14"/>
  <c r="E21" i="15"/>
  <c r="E62" i="12"/>
  <c r="F62" i="12" s="1"/>
  <c r="G54" i="13"/>
  <c r="G16" i="14" s="1"/>
  <c r="G53" i="13"/>
  <c r="C20" i="15"/>
  <c r="E60" i="11"/>
  <c r="D270" i="11"/>
  <c r="L20" i="15"/>
  <c r="M20" i="15"/>
  <c r="N20" i="15"/>
  <c r="O20" i="15" s="1"/>
  <c r="D42" i="26"/>
  <c r="F198" i="7"/>
  <c r="AH79" i="7"/>
  <c r="C235" i="10"/>
  <c r="D236" i="10" s="1"/>
  <c r="C228" i="10"/>
  <c r="D229" i="10" s="1"/>
  <c r="C230" i="10"/>
  <c r="D231" i="10" s="1"/>
  <c r="C234" i="10"/>
  <c r="D234" i="10" s="1"/>
  <c r="C239" i="10"/>
  <c r="D240" i="10" s="1"/>
  <c r="C237" i="10"/>
  <c r="D238" i="10" s="1"/>
  <c r="B20" i="15"/>
  <c r="E59" i="11"/>
  <c r="G60" i="10"/>
  <c r="F60" i="10" s="1"/>
  <c r="G59" i="10"/>
  <c r="F59" i="10" s="1"/>
  <c r="D24" i="13"/>
  <c r="E49" i="13"/>
  <c r="E33" i="13"/>
  <c r="D43" i="13"/>
  <c r="D20" i="13"/>
  <c r="D35" i="13"/>
  <c r="D22" i="13"/>
  <c r="E32" i="13"/>
  <c r="E47" i="13"/>
  <c r="D32" i="13"/>
  <c r="E37" i="13"/>
  <c r="E45" i="13"/>
  <c r="E36" i="13"/>
  <c r="D30" i="13"/>
  <c r="E9" i="14"/>
  <c r="D37" i="13"/>
  <c r="E20" i="13"/>
  <c r="E51" i="13"/>
  <c r="D40" i="13"/>
  <c r="E43" i="13"/>
  <c r="E50" i="13"/>
  <c r="D34" i="13"/>
  <c r="E18" i="13"/>
  <c r="E35" i="13"/>
  <c r="D27" i="13"/>
  <c r="E34" i="13"/>
  <c r="E52" i="13"/>
  <c r="D36" i="13"/>
  <c r="D19" i="13"/>
  <c r="D52" i="13"/>
  <c r="C58" i="13"/>
  <c r="E19" i="13"/>
  <c r="E23" i="13"/>
  <c r="E22" i="13"/>
  <c r="D28" i="13"/>
  <c r="D38" i="13"/>
  <c r="E27" i="13"/>
  <c r="D31" i="13"/>
  <c r="E24" i="13"/>
  <c r="E30" i="13"/>
  <c r="E31" i="13"/>
  <c r="D17" i="13"/>
  <c r="D25" i="13"/>
  <c r="F9" i="13"/>
  <c r="D50" i="13"/>
  <c r="E41" i="13"/>
  <c r="E26" i="13"/>
  <c r="D51" i="13"/>
  <c r="D45" i="13"/>
  <c r="D33" i="13"/>
  <c r="D21" i="13"/>
  <c r="E42" i="13"/>
  <c r="E46" i="13"/>
  <c r="E28" i="13"/>
  <c r="D41" i="13"/>
  <c r="D48" i="13"/>
  <c r="E44" i="13"/>
  <c r="D26" i="13"/>
  <c r="D29" i="13"/>
  <c r="E21" i="13"/>
  <c r="D44" i="13"/>
  <c r="B41" i="13"/>
  <c r="D42" i="13"/>
  <c r="D18" i="13"/>
  <c r="E39" i="13"/>
  <c r="D46" i="13"/>
  <c r="D47" i="13"/>
  <c r="C59" i="13"/>
  <c r="D49" i="13"/>
  <c r="E29" i="13"/>
  <c r="D23" i="13"/>
  <c r="E40" i="13"/>
  <c r="E48" i="13"/>
  <c r="E38" i="13"/>
  <c r="D39" i="13"/>
  <c r="E25" i="13"/>
  <c r="E17" i="13"/>
  <c r="C271" i="12"/>
  <c r="D272" i="12" s="1"/>
  <c r="E277" i="12" s="1"/>
  <c r="E288" i="12" s="1"/>
  <c r="C226" i="12"/>
  <c r="D227" i="12" s="1"/>
  <c r="E43" i="26" s="1"/>
  <c r="C248" i="12"/>
  <c r="D249" i="12" s="1"/>
  <c r="D247" i="12" s="1"/>
  <c r="B43" i="26"/>
  <c r="T79" i="9"/>
  <c r="D54" i="12"/>
  <c r="D16" i="13" s="1"/>
  <c r="C235" i="11"/>
  <c r="D236" i="11" s="1"/>
  <c r="C230" i="11"/>
  <c r="D231" i="11" s="1"/>
  <c r="C234" i="11"/>
  <c r="D234" i="11" s="1"/>
  <c r="C239" i="11"/>
  <c r="D240" i="11" s="1"/>
  <c r="C228" i="11"/>
  <c r="D229" i="11" s="1"/>
  <c r="C237" i="11"/>
  <c r="D238" i="11" s="1"/>
  <c r="AL79" i="8"/>
  <c r="J198" i="8"/>
  <c r="AJ79" i="8"/>
  <c r="E209" i="9"/>
  <c r="E216" i="9" s="1"/>
  <c r="D79" i="10"/>
  <c r="AA198" i="8"/>
  <c r="BA79" i="8"/>
  <c r="BC79" i="8"/>
  <c r="E232" i="9"/>
  <c r="E243" i="9" s="1"/>
  <c r="C62" i="9" s="1"/>
  <c r="C66" i="9" s="1"/>
  <c r="K79" i="11"/>
  <c r="W79" i="11"/>
  <c r="I79" i="12"/>
  <c r="R79" i="11"/>
  <c r="Q79" i="11"/>
  <c r="P79" i="13"/>
  <c r="Y79" i="11"/>
  <c r="N79" i="11"/>
  <c r="O198" i="13"/>
  <c r="O79" i="14" s="1"/>
  <c r="AB198" i="11"/>
  <c r="X198" i="11"/>
  <c r="M79" i="12"/>
  <c r="L198" i="13"/>
  <c r="L79" i="14" s="1"/>
  <c r="AW198" i="8" l="1"/>
  <c r="AT198" i="8"/>
  <c r="C39" i="26"/>
  <c r="E242" i="11"/>
  <c r="D54" i="13"/>
  <c r="D16" i="14" s="1"/>
  <c r="D270" i="12"/>
  <c r="E254" i="11"/>
  <c r="L198" i="14"/>
  <c r="O198" i="14"/>
  <c r="E232" i="10"/>
  <c r="E232" i="11"/>
  <c r="G54" i="14"/>
  <c r="E79" i="9"/>
  <c r="AT79" i="9" s="1"/>
  <c r="AI198" i="8"/>
  <c r="AK198" i="8"/>
  <c r="AY198" i="8"/>
  <c r="AP198" i="8"/>
  <c r="AN198" i="8"/>
  <c r="AO198" i="8"/>
  <c r="AR198" i="8"/>
  <c r="AM198" i="8"/>
  <c r="AS198" i="8"/>
  <c r="AQ198" i="8"/>
  <c r="BD198" i="8"/>
  <c r="AZ198" i="8"/>
  <c r="BB198" i="8"/>
  <c r="E242" i="10"/>
  <c r="C40" i="26"/>
  <c r="C69" i="9"/>
  <c r="D198" i="10"/>
  <c r="AL198" i="8"/>
  <c r="AJ198" i="8"/>
  <c r="J79" i="9"/>
  <c r="B44" i="26"/>
  <c r="C271" i="13"/>
  <c r="D272" i="13" s="1"/>
  <c r="E277" i="13" s="1"/>
  <c r="E288" i="13" s="1"/>
  <c r="C226" i="13"/>
  <c r="D227" i="13" s="1"/>
  <c r="E44" i="26" s="1"/>
  <c r="C248" i="13"/>
  <c r="D249" i="13" s="1"/>
  <c r="D247" i="13" s="1"/>
  <c r="D41" i="14"/>
  <c r="D43" i="14"/>
  <c r="E29" i="14"/>
  <c r="E39" i="14"/>
  <c r="D48" i="14"/>
  <c r="E27" i="14"/>
  <c r="E41" i="14"/>
  <c r="D46" i="14"/>
  <c r="D49" i="14"/>
  <c r="E45" i="14"/>
  <c r="E21" i="14"/>
  <c r="D30" i="14"/>
  <c r="D19" i="14"/>
  <c r="E47" i="14"/>
  <c r="D37" i="14"/>
  <c r="D17" i="14"/>
  <c r="E38" i="14"/>
  <c r="D24" i="14"/>
  <c r="D27" i="14"/>
  <c r="E30" i="14"/>
  <c r="E25" i="14"/>
  <c r="E43" i="14"/>
  <c r="D36" i="14"/>
  <c r="E28" i="14"/>
  <c r="D52" i="14"/>
  <c r="D47" i="14"/>
  <c r="E52" i="14"/>
  <c r="D34" i="14"/>
  <c r="D45" i="14"/>
  <c r="E24" i="14"/>
  <c r="D29" i="14"/>
  <c r="D35" i="14"/>
  <c r="D33" i="14"/>
  <c r="D42" i="14"/>
  <c r="E33" i="14"/>
  <c r="E18" i="14"/>
  <c r="D26" i="14"/>
  <c r="D25" i="14"/>
  <c r="D22" i="14"/>
  <c r="D18" i="14"/>
  <c r="E26" i="14"/>
  <c r="D31" i="14"/>
  <c r="E34" i="14"/>
  <c r="E44" i="14"/>
  <c r="D28" i="14"/>
  <c r="E35" i="14"/>
  <c r="C59" i="14"/>
  <c r="E22" i="14"/>
  <c r="B41" i="14"/>
  <c r="E23" i="14"/>
  <c r="E49" i="14"/>
  <c r="E17" i="14"/>
  <c r="D38" i="14"/>
  <c r="E37" i="14"/>
  <c r="E42" i="14"/>
  <c r="D32" i="14"/>
  <c r="D23" i="14"/>
  <c r="D39" i="14"/>
  <c r="D21" i="14"/>
  <c r="E48" i="14"/>
  <c r="D44" i="14"/>
  <c r="E31" i="14"/>
  <c r="E51" i="14"/>
  <c r="D50" i="14"/>
  <c r="F9" i="14"/>
  <c r="E32" i="14"/>
  <c r="E46" i="14"/>
  <c r="E36" i="14"/>
  <c r="D20" i="14"/>
  <c r="E50" i="14"/>
  <c r="D40" i="14"/>
  <c r="E40" i="14"/>
  <c r="E19" i="14"/>
  <c r="D51" i="14"/>
  <c r="C58" i="14"/>
  <c r="E20" i="14"/>
  <c r="U198" i="9"/>
  <c r="D225" i="12"/>
  <c r="D53" i="13"/>
  <c r="G60" i="11"/>
  <c r="F60" i="11" s="1"/>
  <c r="G59" i="11"/>
  <c r="F59" i="11" s="1"/>
  <c r="Z79" i="10"/>
  <c r="AC198" i="10"/>
  <c r="V79" i="9"/>
  <c r="AV198" i="8"/>
  <c r="AX198" i="8"/>
  <c r="T198" i="9"/>
  <c r="C257" i="12"/>
  <c r="D258" i="12" s="1"/>
  <c r="C261" i="12"/>
  <c r="D262" i="12" s="1"/>
  <c r="C252" i="12"/>
  <c r="D253" i="12" s="1"/>
  <c r="C259" i="12"/>
  <c r="D260" i="12" s="1"/>
  <c r="C256" i="12"/>
  <c r="D256" i="12" s="1"/>
  <c r="C250" i="12"/>
  <c r="D251" i="12" s="1"/>
  <c r="E22" i="15"/>
  <c r="E62" i="13"/>
  <c r="F62" i="13" s="1"/>
  <c r="G53" i="14"/>
  <c r="H198" i="9"/>
  <c r="E264" i="11"/>
  <c r="E265" i="11" s="1"/>
  <c r="E54" i="13"/>
  <c r="E16" i="14" s="1"/>
  <c r="C21" i="15"/>
  <c r="E60" i="12"/>
  <c r="AA79" i="9"/>
  <c r="BA198" i="8"/>
  <c r="BC198" i="8"/>
  <c r="N21" i="15"/>
  <c r="O21" i="15" s="1"/>
  <c r="L21" i="15"/>
  <c r="M21" i="15"/>
  <c r="F43" i="26" s="1"/>
  <c r="D43" i="26"/>
  <c r="E53" i="13"/>
  <c r="E243" i="10"/>
  <c r="C62" i="10" s="1"/>
  <c r="C66" i="10" s="1"/>
  <c r="F79" i="8"/>
  <c r="AH198" i="7"/>
  <c r="F42" i="26"/>
  <c r="B21" i="15"/>
  <c r="E59" i="12"/>
  <c r="AB79" i="12"/>
  <c r="R198" i="11"/>
  <c r="W198" i="11"/>
  <c r="M198" i="12"/>
  <c r="P198" i="13"/>
  <c r="P79" i="14" s="1"/>
  <c r="N198" i="11"/>
  <c r="I198" i="12"/>
  <c r="F209" i="11"/>
  <c r="F216" i="11" s="1"/>
  <c r="X79" i="12"/>
  <c r="Y198" i="11"/>
  <c r="Q198" i="11"/>
  <c r="K198" i="11"/>
  <c r="AU79" i="9" l="1"/>
  <c r="E243" i="11"/>
  <c r="C62" i="11" s="1"/>
  <c r="C66" i="11" s="1"/>
  <c r="D225" i="13"/>
  <c r="E198" i="9"/>
  <c r="AW198" i="9" s="1"/>
  <c r="AO79" i="9"/>
  <c r="AQ79" i="9"/>
  <c r="AP79" i="9"/>
  <c r="AK79" i="9"/>
  <c r="AY79" i="9"/>
  <c r="AI79" i="9"/>
  <c r="AM79" i="9"/>
  <c r="AS79" i="9"/>
  <c r="BD79" i="9"/>
  <c r="AN79" i="9"/>
  <c r="AR79" i="9"/>
  <c r="AZ79" i="9"/>
  <c r="BB79" i="9"/>
  <c r="AW79" i="9"/>
  <c r="D54" i="14"/>
  <c r="P198" i="14"/>
  <c r="C228" i="13"/>
  <c r="D229" i="13" s="1"/>
  <c r="C237" i="13"/>
  <c r="D238" i="13" s="1"/>
  <c r="C235" i="13"/>
  <c r="D236" i="13" s="1"/>
  <c r="C239" i="13"/>
  <c r="D240" i="13" s="1"/>
  <c r="C234" i="13"/>
  <c r="D234" i="13" s="1"/>
  <c r="C230" i="13"/>
  <c r="D231" i="13" s="1"/>
  <c r="F198" i="8"/>
  <c r="AH79" i="8"/>
  <c r="C41" i="26"/>
  <c r="C69" i="10"/>
  <c r="AA198" i="9"/>
  <c r="BA79" i="9"/>
  <c r="BC79" i="9"/>
  <c r="E54" i="14"/>
  <c r="E62" i="14"/>
  <c r="G62" i="14" s="1"/>
  <c r="E23" i="15"/>
  <c r="AC79" i="11"/>
  <c r="C235" i="12"/>
  <c r="D236" i="12" s="1"/>
  <c r="C237" i="12"/>
  <c r="D238" i="12" s="1"/>
  <c r="C239" i="12"/>
  <c r="D240" i="12" s="1"/>
  <c r="C234" i="12"/>
  <c r="D234" i="12" s="1"/>
  <c r="C228" i="12"/>
  <c r="D229" i="12" s="1"/>
  <c r="C230" i="12"/>
  <c r="D231" i="12" s="1"/>
  <c r="E232" i="12" s="1"/>
  <c r="E53" i="14"/>
  <c r="D53" i="14"/>
  <c r="D79" i="11"/>
  <c r="E209" i="10"/>
  <c r="E216" i="10" s="1"/>
  <c r="G60" i="12"/>
  <c r="F60" i="12" s="1"/>
  <c r="G59" i="12"/>
  <c r="F59" i="12" s="1"/>
  <c r="H79" i="10"/>
  <c r="E254" i="12"/>
  <c r="T79" i="10"/>
  <c r="V198" i="9"/>
  <c r="AV79" i="9"/>
  <c r="AX79" i="9"/>
  <c r="U79" i="10"/>
  <c r="D270" i="13"/>
  <c r="L22" i="15"/>
  <c r="D44" i="26"/>
  <c r="M22" i="15"/>
  <c r="F44" i="26" s="1"/>
  <c r="N22" i="15"/>
  <c r="O22" i="15" s="1"/>
  <c r="C22" i="15"/>
  <c r="E60" i="13"/>
  <c r="Z198" i="10"/>
  <c r="C226" i="14"/>
  <c r="D227" i="14" s="1"/>
  <c r="E45" i="26" s="1"/>
  <c r="E46" i="26" s="1"/>
  <c r="C248" i="14"/>
  <c r="D249" i="14" s="1"/>
  <c r="D247" i="14" s="1"/>
  <c r="C271" i="14"/>
  <c r="D272" i="14" s="1"/>
  <c r="E277" i="14" s="1"/>
  <c r="E288" i="14" s="1"/>
  <c r="B45" i="26"/>
  <c r="B46" i="26" s="1"/>
  <c r="E264" i="12"/>
  <c r="C42" i="26"/>
  <c r="C69" i="11"/>
  <c r="B22" i="15"/>
  <c r="E59" i="13"/>
  <c r="C257" i="13"/>
  <c r="D258" i="13" s="1"/>
  <c r="C259" i="13"/>
  <c r="D260" i="13" s="1"/>
  <c r="C261" i="13"/>
  <c r="D262" i="13" s="1"/>
  <c r="C250" i="13"/>
  <c r="D251" i="13" s="1"/>
  <c r="C256" i="13"/>
  <c r="D256" i="13" s="1"/>
  <c r="C252" i="13"/>
  <c r="D253" i="13" s="1"/>
  <c r="E254" i="13" s="1"/>
  <c r="AL79" i="9"/>
  <c r="AJ79" i="9"/>
  <c r="J198" i="9"/>
  <c r="X198" i="12"/>
  <c r="W79" i="12"/>
  <c r="K79" i="12"/>
  <c r="R79" i="12"/>
  <c r="I79" i="13"/>
  <c r="AB198" i="12"/>
  <c r="N79" i="12"/>
  <c r="M79" i="13"/>
  <c r="Y79" i="12"/>
  <c r="Q79" i="12"/>
  <c r="D225" i="14" l="1"/>
  <c r="C230" i="14" s="1"/>
  <c r="D231" i="14" s="1"/>
  <c r="AU198" i="9"/>
  <c r="AT198" i="9"/>
  <c r="E79" i="10"/>
  <c r="AU79" i="10" s="1"/>
  <c r="BD198" i="9"/>
  <c r="AI198" i="9"/>
  <c r="AM198" i="9"/>
  <c r="AP198" i="9"/>
  <c r="AO198" i="9"/>
  <c r="AR198" i="9"/>
  <c r="AS198" i="9"/>
  <c r="AQ198" i="9"/>
  <c r="AY198" i="9"/>
  <c r="AN198" i="9"/>
  <c r="AK198" i="9"/>
  <c r="BB198" i="9"/>
  <c r="AZ198" i="9"/>
  <c r="E232" i="13"/>
  <c r="E264" i="13"/>
  <c r="E265" i="13" s="1"/>
  <c r="G60" i="13"/>
  <c r="F60" i="13" s="1"/>
  <c r="Z79" i="11"/>
  <c r="R23" i="15"/>
  <c r="E24" i="15"/>
  <c r="C252" i="14"/>
  <c r="D253" i="14" s="1"/>
  <c r="C256" i="14"/>
  <c r="D256" i="14" s="1"/>
  <c r="C259" i="14"/>
  <c r="D260" i="14" s="1"/>
  <c r="C250" i="14"/>
  <c r="D251" i="14" s="1"/>
  <c r="C257" i="14"/>
  <c r="D258" i="14" s="1"/>
  <c r="C261" i="14"/>
  <c r="D262" i="14" s="1"/>
  <c r="G59" i="13"/>
  <c r="F59" i="13" s="1"/>
  <c r="D45" i="26"/>
  <c r="D46" i="26" s="1"/>
  <c r="M23" i="15"/>
  <c r="L23" i="15"/>
  <c r="L24" i="15" s="1"/>
  <c r="H198" i="10"/>
  <c r="C23" i="15"/>
  <c r="C24" i="15" s="1"/>
  <c r="E60" i="14"/>
  <c r="E242" i="12"/>
  <c r="E243" i="12" s="1"/>
  <c r="C62" i="12" s="1"/>
  <c r="C66" i="12" s="1"/>
  <c r="AC198" i="11"/>
  <c r="C228" i="14"/>
  <c r="D229" i="14" s="1"/>
  <c r="C235" i="14"/>
  <c r="D236" i="14" s="1"/>
  <c r="C239" i="14"/>
  <c r="D240" i="14" s="1"/>
  <c r="E265" i="12"/>
  <c r="D198" i="11"/>
  <c r="F62" i="14"/>
  <c r="D23" i="26"/>
  <c r="AA79" i="10"/>
  <c r="BA198" i="9"/>
  <c r="BC198" i="9"/>
  <c r="T198" i="10"/>
  <c r="AL198" i="9"/>
  <c r="AJ198" i="9"/>
  <c r="J79" i="10"/>
  <c r="D270" i="14"/>
  <c r="U198" i="10"/>
  <c r="AV198" i="9"/>
  <c r="V79" i="10"/>
  <c r="AX198" i="9"/>
  <c r="E59" i="14"/>
  <c r="B23" i="15"/>
  <c r="B24" i="15" s="1"/>
  <c r="F79" i="9"/>
  <c r="AH198" i="8"/>
  <c r="E242" i="13"/>
  <c r="I198" i="13"/>
  <c r="I79" i="14" s="1"/>
  <c r="W198" i="12"/>
  <c r="AB79" i="13"/>
  <c r="R198" i="12"/>
  <c r="K198" i="12"/>
  <c r="Q198" i="12"/>
  <c r="M198" i="13"/>
  <c r="M79" i="14" s="1"/>
  <c r="Y198" i="12"/>
  <c r="N198" i="12"/>
  <c r="F209" i="12"/>
  <c r="F216" i="12" s="1"/>
  <c r="X79" i="13"/>
  <c r="AW79" i="10" l="1"/>
  <c r="AT79" i="10"/>
  <c r="C237" i="14"/>
  <c r="D238" i="14" s="1"/>
  <c r="C234" i="14"/>
  <c r="D234" i="14" s="1"/>
  <c r="E242" i="14" s="1"/>
  <c r="R24" i="15"/>
  <c r="I198" i="14"/>
  <c r="E243" i="13"/>
  <c r="C62" i="13" s="1"/>
  <c r="C66" i="13" s="1"/>
  <c r="C44" i="26" s="1"/>
  <c r="E232" i="14"/>
  <c r="E264" i="14"/>
  <c r="M198" i="14"/>
  <c r="E198" i="10"/>
  <c r="AU198" i="10" s="1"/>
  <c r="AM79" i="10"/>
  <c r="AN79" i="10"/>
  <c r="AI79" i="10"/>
  <c r="AK79" i="10"/>
  <c r="AS79" i="10"/>
  <c r="AQ79" i="10"/>
  <c r="AO79" i="10"/>
  <c r="AP79" i="10"/>
  <c r="AY79" i="10"/>
  <c r="AR79" i="10"/>
  <c r="BD79" i="10"/>
  <c r="BB79" i="10"/>
  <c r="AZ79" i="10"/>
  <c r="J198" i="10"/>
  <c r="AJ79" i="10"/>
  <c r="AL79" i="10"/>
  <c r="C43" i="26"/>
  <c r="C69" i="12"/>
  <c r="V198" i="10"/>
  <c r="AV79" i="10"/>
  <c r="AX79" i="10"/>
  <c r="C73" i="38"/>
  <c r="C75" i="38" s="1"/>
  <c r="C36" i="38"/>
  <c r="C38" i="38" s="1"/>
  <c r="AC79" i="12"/>
  <c r="F45" i="26"/>
  <c r="F46" i="26" s="1"/>
  <c r="M24" i="15"/>
  <c r="H79" i="11"/>
  <c r="F198" i="9"/>
  <c r="AH79" i="9"/>
  <c r="U79" i="11"/>
  <c r="AA198" i="10"/>
  <c r="BA79" i="10"/>
  <c r="BC79" i="10"/>
  <c r="E209" i="11"/>
  <c r="E216" i="11" s="1"/>
  <c r="D79" i="12"/>
  <c r="E254" i="14"/>
  <c r="E265" i="14" s="1"/>
  <c r="Z198" i="11"/>
  <c r="G59" i="14"/>
  <c r="F59" i="14" s="1"/>
  <c r="G60" i="14"/>
  <c r="F60" i="14" s="1"/>
  <c r="T79" i="11"/>
  <c r="B23" i="26"/>
  <c r="D24" i="26"/>
  <c r="E4" i="30"/>
  <c r="H10" i="17"/>
  <c r="H16" i="17" s="1"/>
  <c r="E36" i="38"/>
  <c r="E38" i="38" s="1"/>
  <c r="E73" i="38"/>
  <c r="E75" i="38" s="1"/>
  <c r="E6" i="30"/>
  <c r="AB198" i="13"/>
  <c r="AB79" i="14" s="1"/>
  <c r="Q79" i="13"/>
  <c r="K79" i="13"/>
  <c r="W79" i="13"/>
  <c r="N79" i="13"/>
  <c r="X198" i="13"/>
  <c r="X79" i="14" s="1"/>
  <c r="Y79" i="13"/>
  <c r="R79" i="13"/>
  <c r="AW198" i="10" l="1"/>
  <c r="AT198" i="10"/>
  <c r="C69" i="13"/>
  <c r="E243" i="14"/>
  <c r="C62" i="14" s="1"/>
  <c r="C66" i="14" s="1"/>
  <c r="C45" i="26" s="1"/>
  <c r="C46" i="26" s="1"/>
  <c r="X198" i="14"/>
  <c r="F209" i="14" s="1"/>
  <c r="F216" i="14" s="1"/>
  <c r="C69" i="14"/>
  <c r="AB198" i="14"/>
  <c r="E79" i="11"/>
  <c r="AI198" i="10"/>
  <c r="AN198" i="10"/>
  <c r="AS198" i="10"/>
  <c r="AO198" i="10"/>
  <c r="AY198" i="10"/>
  <c r="AP198" i="10"/>
  <c r="AM198" i="10"/>
  <c r="AK198" i="10"/>
  <c r="AR198" i="10"/>
  <c r="AQ198" i="10"/>
  <c r="BB198" i="10"/>
  <c r="AZ198" i="10"/>
  <c r="BD198" i="10"/>
  <c r="Z79" i="12"/>
  <c r="AJ198" i="10"/>
  <c r="J79" i="11"/>
  <c r="AL198" i="10"/>
  <c r="G6" i="30"/>
  <c r="T198" i="11"/>
  <c r="B24" i="26"/>
  <c r="N23" i="15"/>
  <c r="N24" i="15" s="1"/>
  <c r="G3" i="15" s="1"/>
  <c r="AA79" i="11"/>
  <c r="BA198" i="10"/>
  <c r="BC198" i="10"/>
  <c r="V79" i="11"/>
  <c r="AV198" i="10"/>
  <c r="AX198" i="10"/>
  <c r="H198" i="11"/>
  <c r="F79" i="10"/>
  <c r="AH198" i="9"/>
  <c r="D44" i="30"/>
  <c r="D16" i="17"/>
  <c r="F16" i="17" s="1"/>
  <c r="E45" i="30"/>
  <c r="D198" i="12"/>
  <c r="U198" i="11"/>
  <c r="AC198" i="12"/>
  <c r="R198" i="13"/>
  <c r="R79" i="14" s="1"/>
  <c r="K198" i="13"/>
  <c r="K79" i="14" s="1"/>
  <c r="F209" i="13"/>
  <c r="F216" i="13" s="1"/>
  <c r="Q198" i="13"/>
  <c r="Q79" i="14" s="1"/>
  <c r="Y198" i="13"/>
  <c r="Y79" i="14" s="1"/>
  <c r="N198" i="13"/>
  <c r="N79" i="14" s="1"/>
  <c r="W198" i="13"/>
  <c r="W79" i="14" s="1"/>
  <c r="W198" i="14" l="1"/>
  <c r="Y198" i="14"/>
  <c r="R198" i="14"/>
  <c r="E198" i="11"/>
  <c r="AU198" i="11" s="1"/>
  <c r="AM79" i="11"/>
  <c r="AP79" i="11"/>
  <c r="AO79" i="11"/>
  <c r="AN79" i="11"/>
  <c r="BD79" i="11"/>
  <c r="AR79" i="11"/>
  <c r="AK79" i="11"/>
  <c r="AQ79" i="11"/>
  <c r="AI79" i="11"/>
  <c r="AY79" i="11"/>
  <c r="AS79" i="11"/>
  <c r="AZ79" i="11"/>
  <c r="BB79" i="11"/>
  <c r="Q198" i="14"/>
  <c r="AU79" i="11"/>
  <c r="AT79" i="11"/>
  <c r="N198" i="14"/>
  <c r="K198" i="14"/>
  <c r="AW79" i="11"/>
  <c r="O23" i="15"/>
  <c r="O24" i="15" s="1"/>
  <c r="M3" i="15" s="1"/>
  <c r="U79" i="12"/>
  <c r="AC79" i="13"/>
  <c r="AA198" i="11"/>
  <c r="BA79" i="11"/>
  <c r="BC79" i="11"/>
  <c r="AJ79" i="11"/>
  <c r="J198" i="11"/>
  <c r="AL79" i="11"/>
  <c r="D79" i="13"/>
  <c r="E209" i="12"/>
  <c r="E216" i="12" s="1"/>
  <c r="H79" i="12"/>
  <c r="V198" i="11"/>
  <c r="AV79" i="11"/>
  <c r="AX79" i="11"/>
  <c r="T79" i="12"/>
  <c r="AT198" i="11"/>
  <c r="G45" i="30"/>
  <c r="F198" i="10"/>
  <c r="AH79" i="10"/>
  <c r="Z198" i="12"/>
  <c r="AW198" i="11" l="1"/>
  <c r="AD198" i="11"/>
  <c r="E79" i="12"/>
  <c r="AW79" i="12" s="1"/>
  <c r="AI198" i="11"/>
  <c r="AS198" i="11"/>
  <c r="AM198" i="11"/>
  <c r="AO198" i="11"/>
  <c r="AK198" i="11"/>
  <c r="AN198" i="11"/>
  <c r="AQ198" i="11"/>
  <c r="AR198" i="11"/>
  <c r="AP198" i="11"/>
  <c r="AY198" i="11"/>
  <c r="AZ198" i="11"/>
  <c r="BD198" i="11"/>
  <c r="BB198" i="11"/>
  <c r="F79" i="11"/>
  <c r="AH198" i="10"/>
  <c r="Z79" i="13"/>
  <c r="H198" i="12"/>
  <c r="D198" i="13"/>
  <c r="D79" i="14" s="1"/>
  <c r="AC198" i="13"/>
  <c r="AC79" i="14" s="1"/>
  <c r="T198" i="12"/>
  <c r="J79" i="12"/>
  <c r="AJ198" i="11"/>
  <c r="AL198" i="11"/>
  <c r="AA79" i="12"/>
  <c r="BA198" i="11"/>
  <c r="BC198" i="11"/>
  <c r="V79" i="12"/>
  <c r="AV198" i="11"/>
  <c r="AX198" i="11"/>
  <c r="U198" i="12"/>
  <c r="AC198" i="14" l="1"/>
  <c r="D198" i="14"/>
  <c r="E198" i="12"/>
  <c r="AW198" i="12" s="1"/>
  <c r="AI79" i="12"/>
  <c r="AR79" i="12"/>
  <c r="AQ79" i="12"/>
  <c r="AO79" i="12"/>
  <c r="AK79" i="12"/>
  <c r="AM79" i="12"/>
  <c r="AS79" i="12"/>
  <c r="AY79" i="12"/>
  <c r="BD79" i="12"/>
  <c r="AN79" i="12"/>
  <c r="AP79" i="12"/>
  <c r="AZ79" i="12"/>
  <c r="BB79" i="12"/>
  <c r="AU79" i="12"/>
  <c r="AT79" i="12"/>
  <c r="AA198" i="12"/>
  <c r="BA79" i="12"/>
  <c r="BC79" i="12"/>
  <c r="H79" i="13"/>
  <c r="U79" i="13"/>
  <c r="AU198" i="12"/>
  <c r="V198" i="12"/>
  <c r="AV79" i="12"/>
  <c r="AX79" i="12"/>
  <c r="T79" i="13"/>
  <c r="AT198" i="12"/>
  <c r="F198" i="11"/>
  <c r="AH79" i="11"/>
  <c r="AL79" i="12"/>
  <c r="J198" i="12"/>
  <c r="AJ79" i="12"/>
  <c r="Z198" i="13"/>
  <c r="Z79" i="14" s="1"/>
  <c r="E209" i="13"/>
  <c r="E216" i="13" s="1"/>
  <c r="E209" i="14" l="1"/>
  <c r="E216" i="14" s="1"/>
  <c r="Z198" i="14"/>
  <c r="E79" i="13"/>
  <c r="AW79" i="13" s="1"/>
  <c r="AM198" i="12"/>
  <c r="AK198" i="12"/>
  <c r="AO198" i="12"/>
  <c r="AN198" i="12"/>
  <c r="AS198" i="12"/>
  <c r="AQ198" i="12"/>
  <c r="AP198" i="12"/>
  <c r="AI198" i="12"/>
  <c r="AR198" i="12"/>
  <c r="AY198" i="12"/>
  <c r="AZ198" i="12"/>
  <c r="BD198" i="12"/>
  <c r="BB198" i="12"/>
  <c r="AL198" i="12"/>
  <c r="AJ198" i="12"/>
  <c r="J79" i="13"/>
  <c r="H198" i="13"/>
  <c r="H79" i="14" s="1"/>
  <c r="F79" i="12"/>
  <c r="AE198" i="11"/>
  <c r="AF198" i="11" s="1"/>
  <c r="AH198" i="11"/>
  <c r="AU79" i="13"/>
  <c r="U198" i="13"/>
  <c r="U79" i="14" s="1"/>
  <c r="V79" i="13"/>
  <c r="AV198" i="12"/>
  <c r="AX198" i="12"/>
  <c r="BA198" i="12"/>
  <c r="AA79" i="13"/>
  <c r="BC198" i="12"/>
  <c r="T198" i="13"/>
  <c r="AT79" i="13" l="1"/>
  <c r="H198" i="14"/>
  <c r="T79" i="14"/>
  <c r="U198" i="14"/>
  <c r="E198" i="13"/>
  <c r="AU198" i="13" s="1"/>
  <c r="AI79" i="13"/>
  <c r="AM79" i="13"/>
  <c r="AN79" i="13"/>
  <c r="AK79" i="13"/>
  <c r="AS79" i="13"/>
  <c r="AO79" i="13"/>
  <c r="AR79" i="13"/>
  <c r="AY79" i="13"/>
  <c r="AP79" i="13"/>
  <c r="AQ79" i="13"/>
  <c r="BD79" i="13"/>
  <c r="BB79" i="13"/>
  <c r="AZ79" i="13"/>
  <c r="BA79" i="13"/>
  <c r="AA198" i="13"/>
  <c r="AA79" i="14" s="1"/>
  <c r="BC79" i="13"/>
  <c r="AV79" i="13"/>
  <c r="V198" i="13"/>
  <c r="V79" i="14" s="1"/>
  <c r="AX79" i="13"/>
  <c r="F198" i="12"/>
  <c r="AH79" i="12"/>
  <c r="J198" i="13"/>
  <c r="J79" i="14" s="1"/>
  <c r="AJ79" i="13"/>
  <c r="AL79" i="13"/>
  <c r="E79" i="14" l="1"/>
  <c r="AS198" i="13"/>
  <c r="AN198" i="13"/>
  <c r="AR198" i="13"/>
  <c r="AI198" i="13"/>
  <c r="AK198" i="13"/>
  <c r="AP198" i="13"/>
  <c r="AY198" i="13"/>
  <c r="AM198" i="13"/>
  <c r="AO198" i="13"/>
  <c r="AQ198" i="13"/>
  <c r="BD198" i="13"/>
  <c r="AZ198" i="13"/>
  <c r="BB198" i="13"/>
  <c r="BA79" i="14"/>
  <c r="AA198" i="14"/>
  <c r="AW198" i="13"/>
  <c r="AT79" i="14"/>
  <c r="T198" i="14"/>
  <c r="J198" i="14"/>
  <c r="AT198" i="13"/>
  <c r="V198" i="14"/>
  <c r="BA198" i="13"/>
  <c r="BC198" i="13"/>
  <c r="F79" i="13"/>
  <c r="AH198" i="12"/>
  <c r="AV198" i="13"/>
  <c r="AX198" i="13"/>
  <c r="AJ198" i="13"/>
  <c r="AL198" i="13"/>
  <c r="AD198" i="14" l="1"/>
  <c r="E198" i="14"/>
  <c r="BD79" i="14"/>
  <c r="AS79" i="14"/>
  <c r="AI79" i="14"/>
  <c r="AR79" i="14"/>
  <c r="AK79" i="14"/>
  <c r="AN79" i="14"/>
  <c r="BC79" i="14"/>
  <c r="AO79" i="14"/>
  <c r="BB79" i="14"/>
  <c r="AQ79" i="14"/>
  <c r="AL79" i="14"/>
  <c r="AM79" i="14"/>
  <c r="AW79" i="14"/>
  <c r="AP79" i="14"/>
  <c r="AX79" i="14"/>
  <c r="AY79" i="14"/>
  <c r="AZ79" i="14"/>
  <c r="AU79" i="14"/>
  <c r="AV79" i="14"/>
  <c r="AJ79" i="14"/>
  <c r="F198" i="13"/>
  <c r="AH79" i="13"/>
  <c r="AH198" i="13" l="1"/>
  <c r="F79" i="14"/>
  <c r="F198" i="14" l="1"/>
  <c r="AE198" i="14" s="1"/>
  <c r="AF198" i="14" s="1"/>
  <c r="AH7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SimonD</author>
    <author>A satisfied Microsoft Office user</author>
  </authors>
  <commentList>
    <comment ref="E11" authorId="0" shapeId="0" xr:uid="{00000000-0006-0000-0100-000001000000}">
      <text>
        <r>
          <rPr>
            <b/>
            <sz val="8"/>
            <color indexed="81"/>
            <rFont val="Tahoma"/>
            <family val="2"/>
          </rPr>
          <t>Tip - Are you registered for the VAT flat rate scheme? If not contact your account manager as you may well be better off by doing so</t>
        </r>
      </text>
    </comment>
    <comment ref="J15" authorId="1" shapeId="0" xr:uid="{00000000-0006-0000-0100-000002000000}">
      <text>
        <r>
          <rPr>
            <sz val="8"/>
            <color indexed="81"/>
            <rFont val="Tahoma"/>
            <family val="2"/>
          </rPr>
          <t xml:space="preserve">eg sales, loan, interest received etc
</t>
        </r>
      </text>
    </comment>
    <comment ref="D67" authorId="1" shapeId="0" xr:uid="{00000000-0006-0000-0100-000003000000}">
      <text>
        <r>
          <rPr>
            <sz val="8"/>
            <color indexed="81"/>
            <rFont val="Tahoma"/>
            <family val="2"/>
          </rPr>
          <t xml:space="preserve">Anything that is paid out of the Company bank account
</t>
        </r>
      </text>
    </comment>
    <comment ref="E67" authorId="1" shapeId="0" xr:uid="{00000000-0006-0000-0100-000004000000}">
      <text>
        <r>
          <rPr>
            <sz val="8"/>
            <color indexed="81"/>
            <rFont val="Tahoma"/>
            <family val="2"/>
          </rPr>
          <t xml:space="preserve">Any payment made other than through the company bank account
</t>
        </r>
      </text>
    </comment>
    <comment ref="A105" authorId="1" shapeId="0" xr:uid="{00000000-0006-0000-0100-000005000000}">
      <text>
        <r>
          <rPr>
            <sz val="8"/>
            <color indexed="81"/>
            <rFont val="Tahoma"/>
            <family val="2"/>
          </rPr>
          <t>The two figures opposite must be the same. If not check your data entry.</t>
        </r>
      </text>
    </comment>
  </commentList>
</comments>
</file>

<file path=xl/sharedStrings.xml><?xml version="1.0" encoding="utf-8"?>
<sst xmlns="http://schemas.openxmlformats.org/spreadsheetml/2006/main" count="3562" uniqueCount="551">
  <si>
    <t>Sales Invoices</t>
  </si>
  <si>
    <t>Bankings</t>
  </si>
  <si>
    <t>Does this months income fall within IR35? (Y/N/both)</t>
  </si>
  <si>
    <t>y</t>
  </si>
  <si>
    <t>Is the Company VAT registered (Y/N)</t>
  </si>
  <si>
    <t>Transfers</t>
  </si>
  <si>
    <t>Interest</t>
  </si>
  <si>
    <t>Inv</t>
  </si>
  <si>
    <t xml:space="preserve">From </t>
  </si>
  <si>
    <t>From</t>
  </si>
  <si>
    <t>Received on</t>
  </si>
  <si>
    <t>Date</t>
  </si>
  <si>
    <t>No</t>
  </si>
  <si>
    <t>Details</t>
  </si>
  <si>
    <t>IR35</t>
  </si>
  <si>
    <t>Non IR35</t>
  </si>
  <si>
    <t>Gross</t>
  </si>
  <si>
    <t>VAT</t>
  </si>
  <si>
    <t>Sales</t>
  </si>
  <si>
    <t>Deposit Account</t>
  </si>
  <si>
    <t xml:space="preserve"> </t>
  </si>
  <si>
    <t>First Agency Ltd</t>
  </si>
  <si>
    <t>First Agency</t>
  </si>
  <si>
    <t>Interest Received</t>
  </si>
  <si>
    <t>Trf from Dep Ac</t>
  </si>
  <si>
    <t>Int on Dep Ac</t>
  </si>
  <si>
    <t>Total</t>
  </si>
  <si>
    <t>C/fwd</t>
  </si>
  <si>
    <t>Deemed Salary</t>
  </si>
  <si>
    <t>Total PAYE &amp; NI Due on deemed salary</t>
  </si>
  <si>
    <t>Net salary available to draw</t>
  </si>
  <si>
    <t>(after all taxes, NI and allowable expenses)</t>
  </si>
  <si>
    <t>Expenditure</t>
  </si>
  <si>
    <t>Deemed</t>
  </si>
  <si>
    <t>Company</t>
  </si>
  <si>
    <t>Cash</t>
  </si>
  <si>
    <t>Accommodation</t>
  </si>
  <si>
    <t>Books &amp;</t>
  </si>
  <si>
    <t>Cheque No</t>
  </si>
  <si>
    <t>Bank</t>
  </si>
  <si>
    <t>Expenses</t>
  </si>
  <si>
    <t>Travelling</t>
  </si>
  <si>
    <t>&amp; Subsistence</t>
  </si>
  <si>
    <t>Insurance</t>
  </si>
  <si>
    <t xml:space="preserve">Pension </t>
  </si>
  <si>
    <t>Stationery</t>
  </si>
  <si>
    <t>Telephone</t>
  </si>
  <si>
    <t>Payments</t>
  </si>
  <si>
    <t>Journals</t>
  </si>
  <si>
    <t>Dividends</t>
  </si>
  <si>
    <t>Accountancy</t>
  </si>
  <si>
    <t>Sundries</t>
  </si>
  <si>
    <t>error line?</t>
  </si>
  <si>
    <t>Mobile Phone</t>
  </si>
  <si>
    <t xml:space="preserve">  </t>
  </si>
  <si>
    <t>Flight</t>
  </si>
  <si>
    <t>Salary</t>
  </si>
  <si>
    <t>Subscriptions</t>
  </si>
  <si>
    <t>Company Pension</t>
  </si>
  <si>
    <t>Transfer to Dep A/c</t>
  </si>
  <si>
    <t>Expenses reclaimed</t>
  </si>
  <si>
    <t>Check Totals</t>
  </si>
  <si>
    <t>Bank Reconciliation</t>
  </si>
  <si>
    <t>Add: Unpresented cheques</t>
  </si>
  <si>
    <t>Employers NI</t>
  </si>
  <si>
    <t>Employees NI</t>
  </si>
  <si>
    <t>Employee Tax at higher rate</t>
  </si>
  <si>
    <t>Employee Tax at basic rate</t>
  </si>
  <si>
    <t>Employee Tax at lower rate</t>
  </si>
  <si>
    <t>Total all taxes and NI payable</t>
  </si>
  <si>
    <t>Opening Bank Balance:</t>
  </si>
  <si>
    <t>Current Account</t>
  </si>
  <si>
    <t>(if overdrawn enter a</t>
  </si>
  <si>
    <t>negative figure)</t>
  </si>
  <si>
    <t xml:space="preserve">Tax provision to be made </t>
  </si>
  <si>
    <t>Deemed salary</t>
  </si>
  <si>
    <t>Transfers to</t>
  </si>
  <si>
    <t>Balance b/f</t>
  </si>
  <si>
    <t>Yearly Totals</t>
  </si>
  <si>
    <t>Year End Summary</t>
  </si>
  <si>
    <t>IR35 Salary &amp; PAYE</t>
  </si>
  <si>
    <t>Employee</t>
  </si>
  <si>
    <t>Employers</t>
  </si>
  <si>
    <t>Salary left</t>
  </si>
  <si>
    <t>Month</t>
  </si>
  <si>
    <t>PAYE &amp; NI</t>
  </si>
  <si>
    <t>NI</t>
  </si>
  <si>
    <t>to draw</t>
  </si>
  <si>
    <t>TOTAL</t>
  </si>
  <si>
    <t>Prepared By:</t>
  </si>
  <si>
    <t>Working Papers</t>
  </si>
  <si>
    <t>Date:</t>
  </si>
  <si>
    <t>Year ended</t>
  </si>
  <si>
    <t>£</t>
  </si>
  <si>
    <t>Bal b/f</t>
  </si>
  <si>
    <t>Banked - Sales</t>
  </si>
  <si>
    <t>Banked - Others</t>
  </si>
  <si>
    <t>Trf from Deposit Account</t>
  </si>
  <si>
    <t>Less: UP Cheques</t>
  </si>
  <si>
    <t>x</t>
  </si>
  <si>
    <t>Bal c/f</t>
  </si>
  <si>
    <t>Transfers In</t>
  </si>
  <si>
    <t>Transfers Out</t>
  </si>
  <si>
    <t xml:space="preserve">Interest Received </t>
  </si>
  <si>
    <t>Bal c/f per bank statement</t>
  </si>
  <si>
    <t>VAT Account</t>
  </si>
  <si>
    <t>Input Tax</t>
  </si>
  <si>
    <t>Output Tax</t>
  </si>
  <si>
    <t>Paid</t>
  </si>
  <si>
    <t>Sales Banked</t>
  </si>
  <si>
    <t>PAYE</t>
  </si>
  <si>
    <t>Net</t>
  </si>
  <si>
    <t>Printing, postage &amp;</t>
  </si>
  <si>
    <t>Costs</t>
  </si>
  <si>
    <t>Internet &amp;</t>
  </si>
  <si>
    <t>Bank Charges and</t>
  </si>
  <si>
    <t>Interest payable</t>
  </si>
  <si>
    <t xml:space="preserve">Use of </t>
  </si>
  <si>
    <t>Home</t>
  </si>
  <si>
    <t>Subscriptions,</t>
  </si>
  <si>
    <t>Employee NI HR</t>
  </si>
  <si>
    <t>HMC&amp;E</t>
  </si>
  <si>
    <t>Company Expenditure</t>
  </si>
  <si>
    <t>Financial planners</t>
  </si>
  <si>
    <t>IR35 Details (ignore if outside IR35):</t>
  </si>
  <si>
    <t>Professional, Employers</t>
  </si>
  <si>
    <t>and Public</t>
  </si>
  <si>
    <t>Liability Insurance</t>
  </si>
  <si>
    <t>Computer Hardware</t>
  </si>
  <si>
    <t>and Office Equipment</t>
  </si>
  <si>
    <t>Other bankings</t>
  </si>
  <si>
    <t>Cost of</t>
  </si>
  <si>
    <t>Goods sold</t>
  </si>
  <si>
    <t>Banked - Interest received</t>
  </si>
  <si>
    <t>Motor Expenses</t>
  </si>
  <si>
    <t>Flat Rate Scheme Details (ignore if outside FRS):</t>
  </si>
  <si>
    <t>Per List Above</t>
  </si>
  <si>
    <t>VAT account figures</t>
  </si>
  <si>
    <t>FRS</t>
  </si>
  <si>
    <t>Corporation</t>
  </si>
  <si>
    <t>Tax estimate</t>
  </si>
  <si>
    <t>Max dividends</t>
  </si>
  <si>
    <t>remaining est.</t>
  </si>
  <si>
    <t>Computer</t>
  </si>
  <si>
    <t>Sales Invoice no</t>
  </si>
  <si>
    <r>
      <t xml:space="preserve">VAT Flat rate scheme percentage </t>
    </r>
    <r>
      <rPr>
        <sz val="10"/>
        <rFont val="Arial"/>
        <family val="2"/>
      </rPr>
      <t>(leave blank or zero if not using flat rate scheme)</t>
    </r>
  </si>
  <si>
    <t>Corporation Tax</t>
  </si>
  <si>
    <t>Directors</t>
  </si>
  <si>
    <t>Loan Account</t>
  </si>
  <si>
    <t>Tax</t>
  </si>
  <si>
    <t>or Mileage Claims</t>
  </si>
  <si>
    <t>Business</t>
  </si>
  <si>
    <t>Entertainment</t>
  </si>
  <si>
    <t>2005/06</t>
  </si>
  <si>
    <t>2006/07</t>
  </si>
  <si>
    <t>Credit Card</t>
  </si>
  <si>
    <t xml:space="preserve">Travelling, </t>
  </si>
  <si>
    <t>Assets Purchased:</t>
  </si>
  <si>
    <t>Computer related</t>
  </si>
  <si>
    <t xml:space="preserve">VAT paid to </t>
  </si>
  <si>
    <t>paid to HMR&amp;C</t>
  </si>
  <si>
    <t>Net salary paid</t>
  </si>
  <si>
    <t>PAYE &amp; National Ins</t>
  </si>
  <si>
    <t>Bank Reconciliation - use this section to check your spreadsheet reconciles to your bank statement(s)</t>
  </si>
  <si>
    <t xml:space="preserve">that do not appear on bank </t>
  </si>
  <si>
    <t xml:space="preserve">Balance per bank statement </t>
  </si>
  <si>
    <t>Bank Account Balance calculated per spreadsheet</t>
  </si>
  <si>
    <t>estimate</t>
  </si>
  <si>
    <t>available</t>
  </si>
  <si>
    <t>For use if you fall inside IR35</t>
  </si>
  <si>
    <t>Assets</t>
  </si>
  <si>
    <t>Purchased</t>
  </si>
  <si>
    <t>VAT paid to</t>
  </si>
  <si>
    <t>HMR&amp;C</t>
  </si>
  <si>
    <t>Bank Charges</t>
  </si>
  <si>
    <t>Use of Home</t>
  </si>
  <si>
    <t>as Office</t>
  </si>
  <si>
    <t xml:space="preserve">Transfer to </t>
  </si>
  <si>
    <t>FRS Saving</t>
  </si>
  <si>
    <t>Sales plus</t>
  </si>
  <si>
    <t>FRS Turnover Calc.</t>
  </si>
  <si>
    <t>Accountant's Calculations</t>
  </si>
  <si>
    <t>Flat Rate Scheme Turnover Calculation (for Corporation Tax and Dividend Estimator)</t>
  </si>
  <si>
    <t>Inside IR35 Deemed Salary Calculation</t>
  </si>
  <si>
    <t>O/S</t>
  </si>
  <si>
    <t>Brought Forward Balances</t>
  </si>
  <si>
    <t>Cash Expenses</t>
  </si>
  <si>
    <t xml:space="preserve">(Items included on spreadsheet </t>
  </si>
  <si>
    <t>Entering Expenses</t>
  </si>
  <si>
    <t>statement as at month end)</t>
  </si>
  <si>
    <t>Banked Receipts</t>
  </si>
  <si>
    <t>Payment to clear Credit Card</t>
  </si>
  <si>
    <t>Z27</t>
  </si>
  <si>
    <t>V28</t>
  </si>
  <si>
    <t>VAT Only Invoice for Inv 27</t>
  </si>
  <si>
    <t>Inv 27 - raised without VAT</t>
  </si>
  <si>
    <t>Gross Salary</t>
  </si>
  <si>
    <t>NOTES</t>
  </si>
  <si>
    <t>TOTAL NI</t>
  </si>
  <si>
    <t>Employee tax 150K</t>
  </si>
  <si>
    <t>Employee tax 100k</t>
  </si>
  <si>
    <t>Employee tax HR</t>
  </si>
  <si>
    <t>Employee tax BR</t>
  </si>
  <si>
    <t>Employee tax LR</t>
  </si>
  <si>
    <t>TOTAL TAX</t>
  </si>
  <si>
    <t xml:space="preserve">Cost of </t>
  </si>
  <si>
    <t>Goods Sold</t>
  </si>
  <si>
    <t>Payable</t>
  </si>
  <si>
    <t>(this excludes bank interest)</t>
  </si>
  <si>
    <t>£8,333.33 is £100k /12</t>
  </si>
  <si>
    <t>£12,500 is £150k /12</t>
  </si>
  <si>
    <t>Bankings - Receipts</t>
  </si>
  <si>
    <t>Sales Invoices, IR35 and VAT</t>
  </si>
  <si>
    <t>VAT Status: Enter Y or N in the yellow VAT question box. 
If you are using the VAT flat rate scheme then enter the scheme percentage into cell E12 on Month 1.  
Please contact your Accountant if you require further information about the Flat Rate VAT Scheme.</t>
  </si>
  <si>
    <t>Opening Bank Balances: Enter the opening bank balances only in cells K10 and K11 of Month 1. These balances should be taken from your last Company accounts (not applicable for first company year).</t>
  </si>
  <si>
    <t>The bankings section is used to record money received into the company bank accounts as follows:</t>
  </si>
  <si>
    <r>
      <rPr>
        <b/>
        <i/>
        <sz val="10"/>
        <rFont val="Arial"/>
        <family val="2"/>
      </rPr>
      <t>From Sales</t>
    </r>
    <r>
      <rPr>
        <sz val="10"/>
        <rFont val="Arial"/>
        <family val="2"/>
      </rPr>
      <t xml:space="preserve"> -  money you receive from your agent or client.</t>
    </r>
  </si>
  <si>
    <r>
      <rPr>
        <b/>
        <i/>
        <sz val="10"/>
        <rFont val="Arial"/>
        <family val="2"/>
      </rPr>
      <t>Interest Received on Current Account</t>
    </r>
    <r>
      <rPr>
        <sz val="10"/>
        <rFont val="Arial"/>
        <family val="2"/>
      </rPr>
      <t xml:space="preserve"> - interest received on the current account.</t>
    </r>
  </si>
  <si>
    <t>Please refer to the example sheet before Month 1 for a simple example of how the completed sheet should look.</t>
  </si>
  <si>
    <t>Corporation tax estimate and Maximum remaining dividends</t>
  </si>
  <si>
    <r>
      <rPr>
        <b/>
        <i/>
        <sz val="10"/>
        <rFont val="Arial"/>
        <family val="2"/>
      </rPr>
      <t xml:space="preserve">Corporation Tax Estimate
</t>
    </r>
    <r>
      <rPr>
        <sz val="10"/>
        <rFont val="Arial"/>
        <family val="2"/>
      </rPr>
      <t>Please use this amount to set aside monies for your corporation tax liability (due 9 months and 1 day after the company year-end). Please note the final confirmed liability will be advised with your draft accounts.</t>
    </r>
  </si>
  <si>
    <r>
      <t xml:space="preserve">If you have any questions relating to the completion of your spreadsheet please do not hesitate to contact your </t>
    </r>
    <r>
      <rPr>
        <sz val="10"/>
        <rFont val="Arial"/>
        <family val="2"/>
      </rPr>
      <t>Accountant.</t>
    </r>
  </si>
  <si>
    <r>
      <t xml:space="preserve">IR35 Status: Enter Y or N </t>
    </r>
    <r>
      <rPr>
        <sz val="10"/>
        <rFont val="Arial"/>
        <family val="2"/>
      </rPr>
      <t xml:space="preserve">in the yellow IR35 question box (cell E9). </t>
    </r>
  </si>
  <si>
    <t>Add: Unpresented cheques/Items</t>
  </si>
  <si>
    <t>Corporation Tax estimate</t>
  </si>
  <si>
    <t>Cash/Personal</t>
  </si>
  <si>
    <r>
      <t xml:space="preserve">Check Totals - </t>
    </r>
    <r>
      <rPr>
        <sz val="9"/>
        <rFont val="Arial"/>
        <family val="2"/>
      </rPr>
      <t>E202 &amp; H202 should agree</t>
    </r>
  </si>
  <si>
    <t>Other</t>
  </si>
  <si>
    <t>NET</t>
  </si>
  <si>
    <t>GROSS</t>
  </si>
  <si>
    <t>Per</t>
  </si>
  <si>
    <t>NIC</t>
  </si>
  <si>
    <t>NIC ERS</t>
  </si>
  <si>
    <t>Deductions</t>
  </si>
  <si>
    <t>Quarter</t>
  </si>
  <si>
    <t>Advise client or adjust accounts as required</t>
  </si>
  <si>
    <t>Wages drawn per S/S:</t>
  </si>
  <si>
    <t>Wages still owed from previous year:</t>
  </si>
  <si>
    <t>Wages outstanding/(overdrawn) at year end:</t>
  </si>
  <si>
    <t>Cost</t>
  </si>
  <si>
    <t>NBV</t>
  </si>
  <si>
    <t>.</t>
  </si>
  <si>
    <t>n</t>
  </si>
  <si>
    <r>
      <rPr>
        <b/>
        <i/>
        <sz val="10"/>
        <rFont val="Arial"/>
        <family val="2"/>
      </rPr>
      <t>Transfers From Deposit Account</t>
    </r>
    <r>
      <rPr>
        <sz val="10"/>
        <rFont val="Arial"/>
        <family val="2"/>
      </rPr>
      <t xml:space="preserve"> - transfers you make back into your current account from the deposit account.</t>
    </r>
  </si>
  <si>
    <r>
      <rPr>
        <b/>
        <i/>
        <sz val="10"/>
        <rFont val="Arial"/>
        <family val="2"/>
      </rPr>
      <t>Interest Received on Deposit Account</t>
    </r>
    <r>
      <rPr>
        <sz val="10"/>
        <rFont val="Arial"/>
        <family val="2"/>
      </rPr>
      <t xml:space="preserve"> - interest received on the deposit account.</t>
    </r>
  </si>
  <si>
    <t>Please email the spreadsheet to your Accountant at the end of every VAT quarter so we can prepare your VAT return.</t>
  </si>
  <si>
    <t>NIC EES</t>
  </si>
  <si>
    <t>Description</t>
  </si>
  <si>
    <t>Nominal Code</t>
  </si>
  <si>
    <t>Dr</t>
  </si>
  <si>
    <t>Cr</t>
  </si>
  <si>
    <t>Tarde Debtors - Invoices Raised</t>
  </si>
  <si>
    <t>Trade Debtors - Invoices Paid</t>
  </si>
  <si>
    <t>Bank Receipts - Current Ac</t>
  </si>
  <si>
    <t>Bank Interest Recv'd - Deposit</t>
  </si>
  <si>
    <t>Bank Interest Recv'd - Current</t>
  </si>
  <si>
    <t>Company Expenses - Bank</t>
  </si>
  <si>
    <t>Company Expenses - Cash</t>
  </si>
  <si>
    <t>727/2*1</t>
  </si>
  <si>
    <t>Company Expenses - Co CC</t>
  </si>
  <si>
    <t>220/8</t>
  </si>
  <si>
    <t>526/2</t>
  </si>
  <si>
    <t>Motor Exps/ Mileage</t>
  </si>
  <si>
    <t>Travel/ Accomodation &amp; Subs</t>
  </si>
  <si>
    <t>Company Insurance</t>
  </si>
  <si>
    <t>Net Salary Paid</t>
  </si>
  <si>
    <t>PAYE Paid to HMR&amp;C</t>
  </si>
  <si>
    <t>471/1</t>
  </si>
  <si>
    <t>Cost of Goods Sold</t>
  </si>
  <si>
    <t>Assets Purchased</t>
  </si>
  <si>
    <t>Computer Costs</t>
  </si>
  <si>
    <t>Books &amp; Journals</t>
  </si>
  <si>
    <t>Transfer to deposit Acc</t>
  </si>
  <si>
    <t>VAT Paid to HMR&amp;C</t>
  </si>
  <si>
    <t>Corporation Tax Paid to HMR&amp;C</t>
  </si>
  <si>
    <t>Directors Loan Account</t>
  </si>
  <si>
    <t>Business Entertainment</t>
  </si>
  <si>
    <t>Check Should be Zero</t>
  </si>
  <si>
    <t>PAYE &amp; Ni</t>
  </si>
  <si>
    <t>ERS NI</t>
  </si>
  <si>
    <t>220/1*1</t>
  </si>
  <si>
    <t>220/5*1</t>
  </si>
  <si>
    <t>727/21*1</t>
  </si>
  <si>
    <t>If you are using the VAT Flat Rate Scheme you do not need to enter a VAT figure in the expenditure section. VAT paid to HMRC is entered in column Y.</t>
  </si>
  <si>
    <r>
      <rPr>
        <b/>
        <i/>
        <sz val="10"/>
        <rFont val="Arial"/>
        <family val="2"/>
      </rPr>
      <t>Other Bankings</t>
    </r>
    <r>
      <rPr>
        <sz val="10"/>
        <rFont val="Arial"/>
        <family val="2"/>
      </rPr>
      <t xml:space="preserve"> - other money paid into the Company current account for example refunds, loans from the director to the company, etc.</t>
    </r>
  </si>
  <si>
    <r>
      <t xml:space="preserve">Sales - enter your gross (i.e. including VAT if applicable) figure into the gross column.
If you entered either Y or N in the IR35 question box, the other entries will be completed automatically for you. </t>
    </r>
    <r>
      <rPr>
        <strike/>
        <sz val="10"/>
        <rFont val="Arial"/>
        <family val="2"/>
      </rPr>
      <t/>
    </r>
  </si>
  <si>
    <t>Allocate your costs into the correct columns. Any costs that do not have a heading such as childcare, formation costs and training go into sundries.</t>
  </si>
  <si>
    <t>Each month, to check that your spreadsheet reconciles to your bank statement, compare the amount shown on your spreadsheet at cells E216 &amp; F216 with those shown on your bank statement(s). 
The “unpresented cheques/items” are simply those that appear on your spreadsheet, but have not appeared on your bank statement as at the month end.</t>
  </si>
  <si>
    <t>Maximum dividends remaining estimate</t>
  </si>
  <si>
    <t>Sales Invoice No</t>
  </si>
  <si>
    <t>Sales Invoice</t>
  </si>
  <si>
    <t>Amount £</t>
  </si>
  <si>
    <t>Motor</t>
  </si>
  <si>
    <t>Expenses Or</t>
  </si>
  <si>
    <t>Mileage Claims</t>
  </si>
  <si>
    <t>Professional, Public</t>
  </si>
  <si>
    <t>and Employers</t>
  </si>
  <si>
    <t>PAYE &amp; NIC</t>
  </si>
  <si>
    <t xml:space="preserve">Printing, </t>
  </si>
  <si>
    <t>Postage &amp;</t>
  </si>
  <si>
    <t>Transfers from</t>
  </si>
  <si>
    <t>Deposit</t>
  </si>
  <si>
    <t>Account</t>
  </si>
  <si>
    <t>Related</t>
  </si>
  <si>
    <t>&amp; Interest</t>
  </si>
  <si>
    <t xml:space="preserve">Tax paid to </t>
  </si>
  <si>
    <t>VAT Flat rate scheme percentage</t>
  </si>
  <si>
    <t>(leave blank or zero if not using flat rate scheme)</t>
  </si>
  <si>
    <t>Bank Reconciliation - use this section to check your spreadsheet reconciles to your bank statements</t>
  </si>
  <si>
    <t xml:space="preserve">Books, </t>
  </si>
  <si>
    <t>Journals &amp;</t>
  </si>
  <si>
    <t>Loan</t>
  </si>
  <si>
    <t>Salary paid</t>
  </si>
  <si>
    <t xml:space="preserve">paid to </t>
  </si>
  <si>
    <t>Max</t>
  </si>
  <si>
    <t>Charges</t>
  </si>
  <si>
    <t>(If overdrawn enter a negative figure)</t>
  </si>
  <si>
    <t>Getting started and FAQ</t>
  </si>
  <si>
    <t>2013-14</t>
  </si>
  <si>
    <t>£786.67 is £9,440 /12</t>
  </si>
  <si>
    <t>£2,667.50 is £32,010 /12</t>
  </si>
  <si>
    <t>£3,454.17 is £41,450 /12</t>
  </si>
  <si>
    <t>£3,454.17 is £41,450 /12 Upper earning limit</t>
  </si>
  <si>
    <t>£641 is £7696 /12 secondary threshold</t>
  </si>
  <si>
    <t>£645 is £7748 /12 primary threshold</t>
  </si>
  <si>
    <t>VAT Analysis: (unhide)</t>
  </si>
  <si>
    <t>Period</t>
  </si>
  <si>
    <t>Output</t>
  </si>
  <si>
    <t>Input</t>
  </si>
  <si>
    <t>Due</t>
  </si>
  <si>
    <t>Company name Ltd</t>
  </si>
  <si>
    <t>Bal B/F</t>
  </si>
  <si>
    <t>Fixed Asset Register</t>
  </si>
  <si>
    <t>B/f</t>
  </si>
  <si>
    <t>Add'n</t>
  </si>
  <si>
    <t>Disposal</t>
  </si>
  <si>
    <t>C/f</t>
  </si>
  <si>
    <t>Computer Equipment</t>
  </si>
  <si>
    <t>Fixtures &amp; Fittings</t>
  </si>
  <si>
    <t>Personal expenses to be reclaimed</t>
  </si>
  <si>
    <r>
      <t xml:space="preserve">Personal Expenses to be Reclaimed
</t>
    </r>
    <r>
      <rPr>
        <sz val="10"/>
        <rFont val="Arial"/>
        <family val="2"/>
      </rPr>
      <t>This is the amount that you are currently owed from the company for business expenses that you have incurred personally.  It is generally recommended that you draw these on a monthly basis however the frequency of which you draw these funds is up to you.  If this figure is negative this will mean that you have reclaimed too much and you should repay the difference back to the company or refrain from drawing any further expeses until this figure returns to a positive.</t>
    </r>
  </si>
  <si>
    <t>Director</t>
  </si>
  <si>
    <t>Wages per deduction card(s)</t>
  </si>
  <si>
    <t>Depreciation Policy:</t>
  </si>
  <si>
    <t>Year end:</t>
  </si>
  <si>
    <t>Balance B/Fwd</t>
  </si>
  <si>
    <t>Balance C/Fwd</t>
  </si>
  <si>
    <t>07.04.14</t>
  </si>
  <si>
    <t>09.04.14</t>
  </si>
  <si>
    <t>15.04.14</t>
  </si>
  <si>
    <t>17.04.14</t>
  </si>
  <si>
    <t>19.04.14</t>
  </si>
  <si>
    <t>25.04.14</t>
  </si>
  <si>
    <t>27.04.14</t>
  </si>
  <si>
    <t>28.04.14</t>
  </si>
  <si>
    <t>01.04.14</t>
  </si>
  <si>
    <t>30.04.14</t>
  </si>
  <si>
    <t>FLAT RATE</t>
  </si>
  <si>
    <t>b/f</t>
  </si>
  <si>
    <t>Qtr 1</t>
  </si>
  <si>
    <t>Qtr 2</t>
  </si>
  <si>
    <t>Qtr 3</t>
  </si>
  <si>
    <t>Qtr 4</t>
  </si>
  <si>
    <t>Adjs</t>
  </si>
  <si>
    <t>Per summary</t>
  </si>
  <si>
    <t>Diff</t>
  </si>
  <si>
    <t>(Should be nil)</t>
  </si>
  <si>
    <t>PAYABLE</t>
  </si>
  <si>
    <t>Wages Summary (per deduction cards)</t>
  </si>
  <si>
    <t>Employee 1</t>
  </si>
  <si>
    <t>Employee 2</t>
  </si>
  <si>
    <t>PAYE Analysis: (unhide)</t>
  </si>
  <si>
    <t>Net Salary Analysis: (unhide)</t>
  </si>
  <si>
    <t>Additions Schedule</t>
  </si>
  <si>
    <t>Profit/Loss</t>
  </si>
  <si>
    <t>Proceeds</t>
  </si>
  <si>
    <t>Acc Dep</t>
  </si>
  <si>
    <t>Disposals Schedule</t>
  </si>
  <si>
    <t>Total Depn</t>
  </si>
  <si>
    <t>Charge for year</t>
  </si>
  <si>
    <t>Depn bfwd</t>
  </si>
  <si>
    <t>Additions</t>
  </si>
  <si>
    <t>Year</t>
  </si>
  <si>
    <t>Net Book Value</t>
  </si>
  <si>
    <t>charge for the year</t>
  </si>
  <si>
    <t>Disposals</t>
  </si>
  <si>
    <t>Depreciation</t>
  </si>
  <si>
    <t>Equipment</t>
  </si>
  <si>
    <t>Vehicles</t>
  </si>
  <si>
    <t>Fittings</t>
  </si>
  <si>
    <t xml:space="preserve">Computer </t>
  </si>
  <si>
    <t xml:space="preserve">Motor </t>
  </si>
  <si>
    <t xml:space="preserve">Fixtures &amp; </t>
  </si>
  <si>
    <t>25% cost</t>
  </si>
  <si>
    <t>25% reducing bal</t>
  </si>
  <si>
    <t>Fixed Assets</t>
  </si>
  <si>
    <t>2014-15</t>
  </si>
  <si>
    <t>£663 is £7956 /12 primary threshold</t>
  </si>
  <si>
    <t>£663 is £7956 /12 secondary threshold</t>
  </si>
  <si>
    <t>£3,488.75 is £41,865 /12 Upper earning limit</t>
  </si>
  <si>
    <t>£3,488.75 is £41,865 /12</t>
  </si>
  <si>
    <t>£2,655.42 is £31,865 /12</t>
  </si>
  <si>
    <t>£833.33 is £10,000 /12</t>
  </si>
  <si>
    <t>41730 = Numerical Value of 01 April 2014</t>
  </si>
  <si>
    <r>
      <rPr>
        <b/>
        <i/>
        <sz val="10"/>
        <rFont val="Arial"/>
        <family val="2"/>
      </rPr>
      <t xml:space="preserve">Company Bank </t>
    </r>
    <r>
      <rPr>
        <sz val="10"/>
        <rFont val="Arial"/>
        <family val="2"/>
      </rPr>
      <t>- enter all items that have been paid out of the company bank account.</t>
    </r>
  </si>
  <si>
    <r>
      <rPr>
        <b/>
        <i/>
        <sz val="10"/>
        <rFont val="Arial"/>
        <family val="2"/>
      </rPr>
      <t>Cash/Personal Expenses</t>
    </r>
    <r>
      <rPr>
        <sz val="10"/>
        <rFont val="Arial"/>
        <family val="2"/>
      </rPr>
      <t xml:space="preserve"> - enter all items that have been paid personally.</t>
    </r>
  </si>
  <si>
    <r>
      <rPr>
        <b/>
        <i/>
        <sz val="10"/>
        <rFont val="Arial"/>
        <family val="2"/>
      </rPr>
      <t>Company Credit Card</t>
    </r>
    <r>
      <rPr>
        <sz val="10"/>
        <rFont val="Arial"/>
        <family val="2"/>
      </rPr>
      <t xml:space="preserve"> - enter all items that have been paid for on a company credit card.</t>
    </r>
  </si>
  <si>
    <t>At the end of each month any total in the cash column should be repaid to yourself as expenses. 
To do this simply write a cheque from the company bank account or arrange a bank transfer. Enter that amount in the Company Bank column, and the same, but negative figure in the Cash column. For example see row 79 of the example sheet. This same approach can be followed when repaying a credit card, please see row 80 on the example sheet.</t>
  </si>
  <si>
    <t>If the expenses have been entered correctly the check total boxes (under the expenditure table – row 202) will agree. 
If not, an error message will flash up in column AF which will tell you which row to correct on the sheet. Please contact your Accountant if you are having any issues.</t>
  </si>
  <si>
    <r>
      <rPr>
        <b/>
        <i/>
        <sz val="10"/>
        <rFont val="Arial"/>
        <family val="2"/>
      </rPr>
      <t xml:space="preserve">Max Dividends Remaining Estimate
</t>
    </r>
    <r>
      <rPr>
        <sz val="10"/>
        <rFont val="Arial"/>
        <family val="2"/>
      </rPr>
      <t>This is the maximum profit available for dividend distribution. If this amount is negative you should speak with your Accountant as it indicates overpaid dividends. Before paying a dividend we would recommend that you consider your personal tax thresholds, for further information please speak with your Accountant.</t>
    </r>
  </si>
  <si>
    <t>Fixed mileage allowance 100 miles (VAT at 3p per mile)</t>
  </si>
  <si>
    <t>Amount</t>
  </si>
  <si>
    <t>received on</t>
  </si>
  <si>
    <t>Current A/C</t>
  </si>
  <si>
    <t>Transfer</t>
  </si>
  <si>
    <t>from</t>
  </si>
  <si>
    <t>Deposit A/C</t>
  </si>
  <si>
    <t>Deposit A/c</t>
  </si>
  <si>
    <t>Banking Receipts</t>
  </si>
  <si>
    <t>Reference /</t>
  </si>
  <si>
    <t>VAT figures</t>
  </si>
  <si>
    <t xml:space="preserve"> Bank Current Account (692)</t>
  </si>
  <si>
    <t>Enter Balance per bank statement</t>
  </si>
  <si>
    <t>VAT Account (735)</t>
  </si>
  <si>
    <t xml:space="preserve"> Bank Deposit Account (673)</t>
  </si>
  <si>
    <t>Sales Control Account (586)</t>
  </si>
  <si>
    <t>PAYE Control Account (755)</t>
  </si>
  <si>
    <t>At 1 April 15</t>
  </si>
  <si>
    <t>At 31 March 16</t>
  </si>
  <si>
    <t>Asset Schedule (25% on cost)</t>
  </si>
  <si>
    <t>Asset Schedule (25% reducing balanance)</t>
  </si>
  <si>
    <t>MONTH</t>
  </si>
  <si>
    <t>SALES</t>
  </si>
  <si>
    <t>PURCHASES</t>
  </si>
  <si>
    <t>PAID</t>
  </si>
  <si>
    <t>OTHER</t>
  </si>
  <si>
    <t>INCOME</t>
  </si>
  <si>
    <t>STANDARD</t>
  </si>
  <si>
    <t>to 5th April 2015</t>
  </si>
  <si>
    <t>6th April 15 -</t>
  </si>
  <si>
    <t>enter employee name</t>
  </si>
  <si>
    <t>Due Emp 1</t>
  </si>
  <si>
    <t>Due Emp 2</t>
  </si>
  <si>
    <t>Emp 1</t>
  </si>
  <si>
    <t>Emp 2</t>
  </si>
  <si>
    <t>Employer's Allowance</t>
  </si>
  <si>
    <t>Employer's</t>
  </si>
  <si>
    <t>Allowance</t>
  </si>
  <si>
    <t>(524)</t>
  </si>
  <si>
    <t>(525)</t>
  </si>
  <si>
    <t>(526)</t>
  </si>
  <si>
    <t>(payable by 19th April 2016)</t>
  </si>
  <si>
    <t>2015-16</t>
  </si>
  <si>
    <t>£671.67 is £8060 /12 primary threshold</t>
  </si>
  <si>
    <t>£676 is £8,112 /12 secondary threshold</t>
  </si>
  <si>
    <t>£3,532.08 is £42,385 /12 Upper earning limit</t>
  </si>
  <si>
    <t>£3,532.08 is £42,385 /12</t>
  </si>
  <si>
    <t>£2,648.75 is £31,785 /12</t>
  </si>
  <si>
    <t>£883.33 is £10,600 /12</t>
  </si>
  <si>
    <t>Wages Control Account</t>
  </si>
  <si>
    <t>Per Summary</t>
  </si>
  <si>
    <t>Design-spectrum Limited</t>
  </si>
  <si>
    <t>Salary Director S Haldar</t>
  </si>
  <si>
    <t>Salary Director S Deb</t>
  </si>
  <si>
    <t>Accountancy fees</t>
  </si>
  <si>
    <t>Bus &amp; Tube fare</t>
  </si>
  <si>
    <t>Postage</t>
  </si>
  <si>
    <t>use of residence as office</t>
  </si>
  <si>
    <t xml:space="preserve">Subscriptions </t>
  </si>
  <si>
    <t>Motor expenses (Parking, Maintainance)</t>
  </si>
  <si>
    <t>Business lunch</t>
  </si>
  <si>
    <t>Computer related costs</t>
  </si>
  <si>
    <t>Telephone Costs</t>
  </si>
  <si>
    <t>Invoice 30Oct-8Dec2017</t>
  </si>
  <si>
    <t>Invoice 11Dec-15Dec2017</t>
  </si>
  <si>
    <t>Invoice 2Jan-2Feb2018</t>
  </si>
  <si>
    <t>Raised in next month</t>
  </si>
  <si>
    <t>R S C S LTD</t>
  </si>
  <si>
    <t>MONEY MARKET MATURITY
40029090709255</t>
  </si>
  <si>
    <t>GROSS INTEREST
TO 03DEC2017
FOR ACCOUNT
400290 90709255</t>
  </si>
  <si>
    <t xml:space="preserve"> MONEY MARKET REINVESTMENT
40029090709255</t>
  </si>
  <si>
    <t>HMRC VAT</t>
  </si>
  <si>
    <t xml:space="preserve"> R S C S LTD</t>
  </si>
  <si>
    <t>Invoice 2Feb-2Mar2018</t>
  </si>
  <si>
    <t>Invoice 5Mar-15Apr2018</t>
  </si>
  <si>
    <t>Bank Charges(+ £4 CHARGE
UNPAID ITEM IN)</t>
  </si>
  <si>
    <t>Expenses reclaimed(Feb+Mar)</t>
  </si>
  <si>
    <t>HMRC PAYE</t>
  </si>
  <si>
    <t>Books</t>
  </si>
  <si>
    <t>raised next month</t>
  </si>
  <si>
    <t>Invoice 16Apr-08June2018</t>
  </si>
  <si>
    <t xml:space="preserve"> MR S HALDAR
DIVIDEND</t>
  </si>
  <si>
    <t xml:space="preserve"> MS S D HALDAR
DIVIDEND</t>
  </si>
  <si>
    <t xml:space="preserve">Motor expenses </t>
  </si>
  <si>
    <t xml:space="preserve"> MONEY MARKET MATURITY</t>
  </si>
  <si>
    <t>GROSS INTEREST
TO 03JUN2018
FOR ACCOUNT
400290 90709255</t>
  </si>
  <si>
    <t>MONEY MARKET REINVESTMENT
40029090709255</t>
  </si>
  <si>
    <t>HMRC CORP TAX CUMB
7368328340A00102A</t>
  </si>
  <si>
    <t>Expenses reclaimed(Apr to Jul )</t>
  </si>
  <si>
    <t>Invoice 11Jun-27July2018</t>
  </si>
  <si>
    <t>Invoice 30July-31Aug2018</t>
  </si>
  <si>
    <t>3rdSept-19Oct2018</t>
  </si>
  <si>
    <t xml:space="preserve"> HMRC PAYE/NIC CUMB
948PR00213008</t>
  </si>
  <si>
    <t xml:space="preserve"> HMRC VAT</t>
  </si>
  <si>
    <t>Business account perfect</t>
  </si>
  <si>
    <t>desposit Bank</t>
  </si>
  <si>
    <t>ALW</t>
  </si>
  <si>
    <t>CS fee</t>
  </si>
  <si>
    <t>advise differently prev years</t>
  </si>
  <si>
    <t>216 is advised going fwd</t>
  </si>
  <si>
    <t xml:space="preserve">FRS </t>
  </si>
  <si>
    <t>WAGES</t>
  </si>
  <si>
    <t>CORP TAX</t>
  </si>
  <si>
    <t>3</t>
  </si>
  <si>
    <t>220/1</t>
  </si>
  <si>
    <t>442</t>
  </si>
  <si>
    <t>735</t>
  </si>
  <si>
    <t>755</t>
  </si>
  <si>
    <t>747</t>
  </si>
  <si>
    <t>767</t>
  </si>
  <si>
    <t>DEPRECIATION PC</t>
  </si>
  <si>
    <t>332/15</t>
  </si>
  <si>
    <t>526/22</t>
  </si>
  <si>
    <t>586</t>
  </si>
  <si>
    <t>692</t>
  </si>
  <si>
    <t>727/4*1</t>
  </si>
  <si>
    <t>267</t>
  </si>
  <si>
    <t>266</t>
  </si>
  <si>
    <t>270</t>
  </si>
  <si>
    <t>264</t>
  </si>
  <si>
    <t>263</t>
  </si>
  <si>
    <t>262</t>
  </si>
  <si>
    <t>278</t>
  </si>
  <si>
    <t>285</t>
  </si>
  <si>
    <t>378</t>
  </si>
  <si>
    <t>273</t>
  </si>
  <si>
    <t>673</t>
  </si>
  <si>
    <t>321</t>
  </si>
  <si>
    <t>hsbc 5946</t>
  </si>
  <si>
    <t>hsbc 5954</t>
  </si>
  <si>
    <t>HSBC 9255</t>
  </si>
  <si>
    <t>Haldar</t>
  </si>
  <si>
    <t>Deb</t>
  </si>
  <si>
    <t>220*2</t>
  </si>
  <si>
    <t>rb 25%as per last year</t>
  </si>
  <si>
    <t>dla debit</t>
  </si>
  <si>
    <t>s445</t>
  </si>
  <si>
    <t>balance confirmed</t>
  </si>
  <si>
    <t>opeing balnce</t>
  </si>
  <si>
    <t>cash expnese</t>
  </si>
  <si>
    <t>overpaid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</si>
</sst>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Red]\-&quot;£&quot;#,##0"/>
    <numFmt numFmtId="7" formatCode="&quot;£&quot;#,##0.00;\-&quot;£&quot;#,##0.00"/>
    <numFmt numFmtId="8" formatCode="&quot;£&quot;#,##0.00;[Red]\-&quot;£&quot;#,##0.0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quot;£&quot;#,##0.00"/>
    <numFmt numFmtId="166" formatCode="dd\.mm\.yyyy"/>
    <numFmt numFmtId="167" formatCode="mmmm\-yy"/>
    <numFmt numFmtId="168" formatCode="0.0%"/>
    <numFmt numFmtId="169" formatCode="#,##0.00\ ;[Red]\(#,##0.00\)"/>
    <numFmt numFmtId="170" formatCode="dd/mm/yyyy;@"/>
    <numFmt numFmtId="171" formatCode="dd/mm/yy;@"/>
    <numFmt numFmtId="172" formatCode="#,##0.00;[Red]#,##0.00"/>
  </numFmts>
  <fonts count="62">
    <font>
      <sz val="10"/>
      <name val="Arial"/>
    </font>
    <font>
      <sz val="10"/>
      <name val="Arial"/>
      <family val="2"/>
    </font>
    <font>
      <b/>
      <sz val="12"/>
      <name val="Arial"/>
      <family val="2"/>
    </font>
    <font>
      <sz val="10"/>
      <name val="Arial"/>
      <family val="2"/>
    </font>
    <font>
      <sz val="8"/>
      <color indexed="81"/>
      <name val="Tahoma"/>
      <family val="2"/>
    </font>
    <font>
      <sz val="9"/>
      <color indexed="9"/>
      <name val="Arial"/>
      <family val="2"/>
    </font>
    <font>
      <sz val="16"/>
      <color indexed="9"/>
      <name val="Arial"/>
      <family val="2"/>
    </font>
    <font>
      <b/>
      <sz val="24"/>
      <name val="Technical"/>
    </font>
    <font>
      <sz val="11"/>
      <color indexed="9"/>
      <name val="Arial"/>
      <family val="2"/>
    </font>
    <font>
      <b/>
      <sz val="10"/>
      <name val="Arial"/>
      <family val="2"/>
    </font>
    <font>
      <sz val="10"/>
      <color indexed="10"/>
      <name val="Arial"/>
      <family val="2"/>
    </font>
    <font>
      <sz val="12"/>
      <color indexed="10"/>
      <name val="Arial"/>
      <family val="2"/>
    </font>
    <font>
      <sz val="12"/>
      <name val="Arial"/>
      <family val="2"/>
    </font>
    <font>
      <b/>
      <u/>
      <sz val="10"/>
      <name val="Arial"/>
      <family val="2"/>
    </font>
    <font>
      <u/>
      <sz val="10"/>
      <name val="Arial"/>
      <family val="2"/>
    </font>
    <font>
      <b/>
      <sz val="14"/>
      <name val="Arial"/>
      <family val="2"/>
    </font>
    <font>
      <sz val="9"/>
      <color indexed="9"/>
      <name val="Arial"/>
      <family val="2"/>
    </font>
    <font>
      <sz val="10"/>
      <color indexed="9"/>
      <name val="Arial"/>
      <family val="2"/>
    </font>
    <font>
      <b/>
      <sz val="8"/>
      <color indexed="81"/>
      <name val="Tahoma"/>
      <family val="2"/>
    </font>
    <font>
      <b/>
      <sz val="12"/>
      <color indexed="8"/>
      <name val="Arial"/>
      <family val="2"/>
    </font>
    <font>
      <sz val="12"/>
      <color indexed="8"/>
      <name val="Arial"/>
      <family val="2"/>
    </font>
    <font>
      <b/>
      <sz val="10"/>
      <color indexed="9"/>
      <name val="Arial"/>
      <family val="2"/>
    </font>
    <font>
      <i/>
      <sz val="10"/>
      <name val="Arial"/>
      <family val="2"/>
    </font>
    <font>
      <sz val="9"/>
      <name val="Arial"/>
      <family val="2"/>
    </font>
    <font>
      <sz val="10"/>
      <name val="Arial"/>
      <family val="2"/>
    </font>
    <font>
      <i/>
      <sz val="10"/>
      <color indexed="10"/>
      <name val="Arial"/>
      <family val="2"/>
    </font>
    <font>
      <strike/>
      <sz val="10"/>
      <name val="Arial"/>
      <family val="2"/>
    </font>
    <font>
      <b/>
      <i/>
      <sz val="10"/>
      <name val="Arial"/>
      <family val="2"/>
    </font>
    <font>
      <sz val="12"/>
      <color indexed="9"/>
      <name val="Arial"/>
      <family val="2"/>
    </font>
    <font>
      <b/>
      <u/>
      <sz val="9"/>
      <name val="Arial"/>
      <family val="2"/>
    </font>
    <font>
      <b/>
      <sz val="14"/>
      <color indexed="9"/>
      <name val="Arial"/>
      <family val="2"/>
    </font>
    <font>
      <sz val="10"/>
      <name val="Arial"/>
      <family val="2"/>
    </font>
    <font>
      <b/>
      <sz val="11"/>
      <name val="Arial"/>
      <family val="2"/>
    </font>
    <font>
      <sz val="11"/>
      <name val="Arial"/>
      <family val="2"/>
    </font>
    <font>
      <u val="singleAccounting"/>
      <sz val="9"/>
      <name val="Arial"/>
      <family val="2"/>
    </font>
    <font>
      <b/>
      <sz val="9"/>
      <name val="Arial"/>
      <family val="2"/>
    </font>
    <font>
      <i/>
      <sz val="9"/>
      <name val="Arial"/>
      <family val="2"/>
    </font>
    <font>
      <sz val="11"/>
      <color theme="1"/>
      <name val="Calibri"/>
      <family val="2"/>
      <scheme val="minor"/>
    </font>
    <font>
      <u/>
      <sz val="10"/>
      <color theme="10"/>
      <name val="Arial"/>
      <family val="2"/>
    </font>
    <font>
      <b/>
      <sz val="11"/>
      <color theme="1"/>
      <name val="Calibri"/>
      <family val="2"/>
      <scheme val="minor"/>
    </font>
    <font>
      <sz val="10"/>
      <color theme="0"/>
      <name val="Arial"/>
      <family val="2"/>
    </font>
    <font>
      <sz val="10"/>
      <color rgb="FFFF0000"/>
      <name val="Arial"/>
      <family val="2"/>
    </font>
    <font>
      <b/>
      <sz val="10"/>
      <color theme="0"/>
      <name val="Arial"/>
      <family val="2"/>
    </font>
    <font>
      <sz val="16"/>
      <color rgb="FFFF0000"/>
      <name val="Arial"/>
      <family val="2"/>
    </font>
    <font>
      <b/>
      <sz val="10"/>
      <color rgb="FFFF0000"/>
      <name val="Arial"/>
      <family val="2"/>
    </font>
    <font>
      <i/>
      <sz val="10"/>
      <color rgb="FFFF0000"/>
      <name val="Arial"/>
      <family val="2"/>
    </font>
    <font>
      <sz val="9"/>
      <color rgb="FFFF0000"/>
      <name val="Arial"/>
      <family val="2"/>
    </font>
    <font>
      <b/>
      <u/>
      <sz val="11"/>
      <color theme="1"/>
      <name val="Calibri"/>
      <family val="2"/>
      <scheme val="minor"/>
    </font>
    <font>
      <sz val="16"/>
      <color theme="0"/>
      <name val="Arial"/>
      <family val="2"/>
    </font>
    <font>
      <b/>
      <u/>
      <sz val="10"/>
      <color theme="10"/>
      <name val="Arial"/>
      <family val="2"/>
    </font>
    <font>
      <b/>
      <u/>
      <sz val="12"/>
      <color theme="0"/>
      <name val="Arial"/>
      <family val="2"/>
    </font>
    <font>
      <b/>
      <sz val="14"/>
      <color rgb="FFFF0000"/>
      <name val="Technical"/>
    </font>
    <font>
      <sz val="12"/>
      <color theme="0"/>
      <name val="Arial"/>
      <family val="2"/>
    </font>
    <font>
      <sz val="9"/>
      <color theme="0"/>
      <name val="Arial"/>
      <family val="2"/>
    </font>
    <font>
      <b/>
      <sz val="10"/>
      <color theme="1"/>
      <name val="Arial"/>
      <family val="2"/>
    </font>
    <font>
      <sz val="10"/>
      <color theme="1"/>
      <name val="Arial"/>
      <family val="2"/>
    </font>
    <font>
      <sz val="10"/>
      <color rgb="FF000000"/>
      <name val="Arial"/>
      <family val="2"/>
    </font>
    <font>
      <b/>
      <sz val="10"/>
      <color rgb="FF000000"/>
      <name val="Arial"/>
      <family val="2"/>
    </font>
    <font>
      <b/>
      <sz val="14"/>
      <color theme="0"/>
      <name val="Arial"/>
      <family val="2"/>
    </font>
    <font>
      <sz val="8"/>
      <color rgb="FF000000"/>
      <name val="Tahoma"/>
      <family val="2"/>
    </font>
    <font>
      <b/>
      <sz val="10"/>
      <color rgb="FF000000"/>
      <name val="Verdana"/>
      <family val="2"/>
    </font>
    <font>
      <sz val="10"/>
      <color rgb="FFFFFFFF"/>
      <name val="Arial"/>
      <family val="2"/>
    </font>
  </fonts>
  <fills count="20">
    <fill>
      <patternFill patternType="none"/>
    </fill>
    <fill>
      <patternFill patternType="gray125"/>
    </fill>
    <fill>
      <patternFill patternType="solid">
        <fgColor indexed="58"/>
        <bgColor indexed="64"/>
      </patternFill>
    </fill>
    <fill>
      <patternFill patternType="solid">
        <fgColor indexed="52"/>
        <bgColor indexed="24"/>
      </patternFill>
    </fill>
    <fill>
      <patternFill patternType="solid">
        <fgColor indexed="43"/>
        <bgColor indexed="64"/>
      </patternFill>
    </fill>
    <fill>
      <patternFill patternType="solid">
        <fgColor indexed="25"/>
        <bgColor indexed="64"/>
      </patternFill>
    </fill>
    <fill>
      <patternFill patternType="solid">
        <fgColor indexed="51"/>
        <bgColor indexed="64"/>
      </patternFill>
    </fill>
    <fill>
      <patternFill patternType="solid">
        <fgColor indexed="25"/>
        <bgColor indexed="24"/>
      </patternFill>
    </fill>
    <fill>
      <patternFill patternType="solid">
        <fgColor indexed="61"/>
        <bgColor indexed="24"/>
      </patternFill>
    </fill>
    <fill>
      <patternFill patternType="solid">
        <fgColor indexed="61"/>
        <bgColor indexed="64"/>
      </patternFill>
    </fill>
    <fill>
      <patternFill patternType="solid">
        <fgColor theme="0"/>
        <bgColor indexed="64"/>
      </patternFill>
    </fill>
    <fill>
      <patternFill patternType="solid">
        <fgColor rgb="FFFF9900"/>
        <bgColor indexed="24"/>
      </patternFill>
    </fill>
    <fill>
      <patternFill patternType="solid">
        <fgColor rgb="FFFF9900"/>
        <bgColor indexed="64"/>
      </patternFill>
    </fill>
    <fill>
      <patternFill patternType="solid">
        <fgColor rgb="FF993366"/>
        <bgColor indexed="64"/>
      </patternFill>
    </fill>
    <fill>
      <patternFill patternType="solid">
        <fgColor rgb="FFFFFF99"/>
        <bgColor indexed="64"/>
      </patternFill>
    </fill>
    <fill>
      <patternFill patternType="solid">
        <fgColor theme="0" tint="-0.14999847407452621"/>
        <bgColor indexed="64"/>
      </patternFill>
    </fill>
    <fill>
      <patternFill patternType="solid">
        <fgColor rgb="FFFFCC00"/>
        <bgColor indexed="64"/>
      </patternFill>
    </fill>
    <fill>
      <patternFill patternType="solid">
        <fgColor rgb="FF993366"/>
        <bgColor indexed="24"/>
      </patternFill>
    </fill>
    <fill>
      <patternFill patternType="solid">
        <fgColor rgb="FF993366"/>
        <bgColor rgb="FF993366"/>
      </patternFill>
    </fill>
    <fill>
      <patternFill patternType="solid">
        <fgColor rgb="FFFFFF00"/>
        <bgColor indexed="64"/>
      </patternFill>
    </fill>
  </fills>
  <borders count="53">
    <border>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thin">
        <color indexed="64"/>
      </right>
      <top/>
      <bottom/>
      <diagonal/>
    </border>
    <border>
      <left style="thin">
        <color indexed="64"/>
      </left>
      <right style="thin">
        <color indexed="64"/>
      </right>
      <top/>
      <bottom/>
      <diagonal/>
    </border>
    <border>
      <left/>
      <right style="hair">
        <color indexed="64"/>
      </right>
      <top/>
      <bottom/>
      <diagonal/>
    </border>
    <border>
      <left style="medium">
        <color indexed="64"/>
      </left>
      <right/>
      <top/>
      <bottom style="medium">
        <color indexed="64"/>
      </bottom>
      <diagonal/>
    </border>
    <border>
      <left style="thin">
        <color indexed="64"/>
      </left>
      <right/>
      <top/>
      <bottom/>
      <diagonal/>
    </border>
    <border>
      <left style="hair">
        <color indexed="64"/>
      </left>
      <right/>
      <top/>
      <bottom/>
      <diagonal/>
    </border>
    <border>
      <left/>
      <right/>
      <top style="medium">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hair">
        <color indexed="64"/>
      </left>
      <right style="hair">
        <color indexed="64"/>
      </right>
      <top/>
      <bottom/>
      <diagonal/>
    </border>
    <border>
      <left style="hair">
        <color indexed="64"/>
      </left>
      <right style="medium">
        <color indexed="64"/>
      </right>
      <top/>
      <bottom/>
      <diagonal/>
    </border>
    <border>
      <left style="hair">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top/>
      <bottom style="thin">
        <color indexed="64"/>
      </bottom>
      <diagonal/>
    </border>
    <border>
      <left/>
      <right/>
      <top/>
      <bottom style="double">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diagonal/>
    </border>
    <border>
      <left style="dotted">
        <color rgb="FF000000"/>
      </left>
      <right style="medium">
        <color rgb="FF000000"/>
      </right>
      <top/>
      <bottom/>
      <diagonal/>
    </border>
    <border>
      <left style="dotted">
        <color rgb="FF000000"/>
      </left>
      <right style="dotted">
        <color rgb="FF000000"/>
      </right>
      <top/>
      <bottom/>
      <diagonal/>
    </border>
    <border>
      <left style="dotted">
        <color rgb="FF000000"/>
      </left>
      <right/>
      <top/>
      <bottom/>
      <diagonal/>
    </border>
    <border>
      <left/>
      <right style="dotted">
        <color rgb="FF000000"/>
      </right>
      <top/>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s>
  <cellStyleXfs count="13">
    <xf numFmtId="0" fontId="0" fillId="0" borderId="0"/>
    <xf numFmtId="43" fontId="1" fillId="0" borderId="0" applyFont="0" applyFill="0" applyBorder="0" applyAlignment="0" applyProtection="0"/>
    <xf numFmtId="43" fontId="37" fillId="0" borderId="0" applyFont="0" applyFill="0" applyBorder="0" applyAlignment="0" applyProtection="0"/>
    <xf numFmtId="44"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38" fillId="0" borderId="0" applyNumberFormat="0" applyFill="0" applyBorder="0" applyAlignment="0" applyProtection="0">
      <alignment vertical="top"/>
      <protection locked="0"/>
    </xf>
    <xf numFmtId="0" fontId="3" fillId="2" borderId="0"/>
    <xf numFmtId="0" fontId="37" fillId="0" borderId="0"/>
    <xf numFmtId="0" fontId="1" fillId="0" borderId="0"/>
    <xf numFmtId="0" fontId="3" fillId="2" borderId="0"/>
    <xf numFmtId="42" fontId="3" fillId="0" borderId="0" applyFont="0" applyFill="0" applyBorder="0" applyAlignment="0" applyProtection="0"/>
    <xf numFmtId="44" fontId="3" fillId="0" borderId="0" applyFont="0" applyFill="0" applyBorder="0" applyAlignment="0" applyProtection="0"/>
  </cellStyleXfs>
  <cellXfs count="803">
    <xf numFmtId="0" fontId="0" fillId="0" borderId="0" xfId="0"/>
    <xf numFmtId="0" fontId="0" fillId="0" borderId="1" xfId="0" applyNumberFormat="1" applyBorder="1" applyAlignment="1" applyProtection="1">
      <alignment horizontal="center"/>
      <protection locked="0"/>
    </xf>
    <xf numFmtId="49" fontId="0" fillId="0" borderId="2" xfId="0" applyNumberFormat="1" applyBorder="1" applyAlignment="1" applyProtection="1">
      <alignment horizontal="left"/>
      <protection locked="0"/>
    </xf>
    <xf numFmtId="0" fontId="0" fillId="0" borderId="3" xfId="0" applyNumberFormat="1" applyBorder="1" applyAlignment="1" applyProtection="1">
      <alignment horizontal="center"/>
      <protection locked="0"/>
    </xf>
    <xf numFmtId="49" fontId="0" fillId="0" borderId="4" xfId="0" applyNumberFormat="1" applyBorder="1" applyAlignment="1" applyProtection="1">
      <alignment horizontal="left"/>
      <protection locked="0"/>
    </xf>
    <xf numFmtId="4" fontId="0" fillId="0" borderId="0" xfId="0" applyNumberFormat="1" applyFill="1" applyBorder="1" applyAlignment="1" applyProtection="1">
      <protection hidden="1"/>
    </xf>
    <xf numFmtId="8" fontId="0" fillId="0" borderId="0" xfId="0" applyNumberFormat="1" applyProtection="1">
      <protection hidden="1"/>
    </xf>
    <xf numFmtId="0" fontId="0" fillId="0" borderId="0" xfId="0" applyProtection="1">
      <protection hidden="1"/>
    </xf>
    <xf numFmtId="44" fontId="1" fillId="0" borderId="0" xfId="3" applyProtection="1">
      <protection hidden="1"/>
    </xf>
    <xf numFmtId="6" fontId="3" fillId="0" borderId="0" xfId="0" applyNumberFormat="1" applyFont="1" applyProtection="1">
      <protection hidden="1"/>
    </xf>
    <xf numFmtId="0" fontId="3" fillId="0" borderId="0" xfId="0" applyFont="1" applyProtection="1">
      <protection hidden="1"/>
    </xf>
    <xf numFmtId="7" fontId="1" fillId="0" borderId="0" xfId="3" applyNumberFormat="1" applyProtection="1">
      <protection hidden="1"/>
    </xf>
    <xf numFmtId="7" fontId="1" fillId="0" borderId="0" xfId="3" applyNumberFormat="1" applyFont="1" applyProtection="1">
      <protection hidden="1"/>
    </xf>
    <xf numFmtId="8" fontId="3" fillId="0" borderId="0" xfId="0" applyNumberFormat="1" applyFont="1" applyProtection="1">
      <protection hidden="1"/>
    </xf>
    <xf numFmtId="0" fontId="9" fillId="0" borderId="0" xfId="0" applyFont="1" applyProtection="1">
      <protection hidden="1"/>
    </xf>
    <xf numFmtId="44" fontId="1" fillId="0" borderId="5" xfId="3" applyBorder="1" applyProtection="1">
      <protection hidden="1"/>
    </xf>
    <xf numFmtId="49" fontId="0" fillId="0" borderId="0" xfId="0" applyNumberFormat="1" applyBorder="1" applyProtection="1">
      <protection hidden="1"/>
    </xf>
    <xf numFmtId="0" fontId="0" fillId="0" borderId="0" xfId="0" applyBorder="1" applyProtection="1">
      <protection hidden="1"/>
    </xf>
    <xf numFmtId="165" fontId="0" fillId="0" borderId="0" xfId="0" applyNumberFormat="1" applyBorder="1" applyAlignment="1" applyProtection="1">
      <alignment horizontal="center"/>
      <protection hidden="1"/>
    </xf>
    <xf numFmtId="2" fontId="3" fillId="0" borderId="0" xfId="0" applyNumberFormat="1" applyFont="1" applyFill="1" applyBorder="1" applyAlignment="1" applyProtection="1">
      <alignment horizontal="left"/>
      <protection hidden="1"/>
    </xf>
    <xf numFmtId="4" fontId="0" fillId="0" borderId="0" xfId="0" applyNumberForma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center"/>
      <protection hidden="1"/>
    </xf>
    <xf numFmtId="4" fontId="6" fillId="0" borderId="0" xfId="0" applyNumberFormat="1" applyFont="1" applyFill="1" applyBorder="1" applyAlignment="1" applyProtection="1">
      <alignment horizontal="center"/>
      <protection hidden="1"/>
    </xf>
    <xf numFmtId="0" fontId="0" fillId="0" borderId="0" xfId="0" applyFill="1" applyBorder="1" applyAlignment="1" applyProtection="1">
      <protection hidden="1"/>
    </xf>
    <xf numFmtId="0" fontId="12" fillId="0" borderId="0" xfId="0" applyFont="1" applyFill="1" applyBorder="1" applyAlignment="1" applyProtection="1">
      <protection hidden="1"/>
    </xf>
    <xf numFmtId="4" fontId="0" fillId="0" borderId="0" xfId="0" applyNumberFormat="1" applyFill="1" applyAlignment="1" applyProtection="1">
      <alignment horizontal="center"/>
      <protection hidden="1"/>
    </xf>
    <xf numFmtId="4" fontId="12" fillId="0" borderId="0" xfId="0" applyNumberFormat="1" applyFont="1" applyFill="1" applyBorder="1" applyAlignment="1" applyProtection="1">
      <alignment horizontal="center"/>
      <protection hidden="1"/>
    </xf>
    <xf numFmtId="4" fontId="0" fillId="0" borderId="0" xfId="0" applyNumberFormat="1" applyFill="1" applyBorder="1" applyAlignment="1" applyProtection="1">
      <alignment horizontal="center"/>
      <protection hidden="1"/>
    </xf>
    <xf numFmtId="0" fontId="0" fillId="0" borderId="6" xfId="0" applyFill="1" applyBorder="1" applyAlignment="1" applyProtection="1">
      <protection hidden="1"/>
    </xf>
    <xf numFmtId="4" fontId="0" fillId="0" borderId="6" xfId="0" applyNumberFormat="1" applyFill="1" applyBorder="1" applyAlignment="1" applyProtection="1">
      <protection hidden="1"/>
    </xf>
    <xf numFmtId="166" fontId="0" fillId="0" borderId="0" xfId="0" applyNumberFormat="1" applyBorder="1" applyAlignment="1" applyProtection="1">
      <alignment horizontal="center"/>
      <protection hidden="1"/>
    </xf>
    <xf numFmtId="0" fontId="0" fillId="0" borderId="7" xfId="0" applyNumberFormat="1" applyBorder="1" applyAlignment="1" applyProtection="1">
      <alignment horizontal="center"/>
      <protection hidden="1"/>
    </xf>
    <xf numFmtId="49" fontId="0" fillId="0" borderId="8" xfId="0" applyNumberFormat="1" applyBorder="1" applyAlignment="1" applyProtection="1">
      <alignment horizontal="left"/>
      <protection hidden="1"/>
    </xf>
    <xf numFmtId="4" fontId="0" fillId="0" borderId="0" xfId="0" applyNumberFormat="1" applyBorder="1" applyAlignment="1" applyProtection="1">
      <alignment horizontal="right"/>
      <protection hidden="1"/>
    </xf>
    <xf numFmtId="39" fontId="0" fillId="0" borderId="9" xfId="0" applyNumberFormat="1" applyBorder="1" applyAlignment="1" applyProtection="1">
      <alignment horizontal="right"/>
      <protection hidden="1"/>
    </xf>
    <xf numFmtId="4" fontId="0" fillId="0" borderId="2" xfId="0" applyNumberFormat="1" applyBorder="1" applyAlignment="1" applyProtection="1">
      <alignment horizontal="left"/>
      <protection hidden="1"/>
    </xf>
    <xf numFmtId="165" fontId="3" fillId="0" borderId="10" xfId="0" applyNumberFormat="1" applyFont="1" applyBorder="1" applyAlignment="1" applyProtection="1">
      <alignment horizontal="center"/>
      <protection hidden="1"/>
    </xf>
    <xf numFmtId="49" fontId="0" fillId="0" borderId="6" xfId="0" applyNumberFormat="1" applyFill="1" applyBorder="1" applyAlignment="1" applyProtection="1">
      <protection hidden="1"/>
    </xf>
    <xf numFmtId="165" fontId="0" fillId="0" borderId="6" xfId="0" applyNumberFormat="1" applyFill="1" applyBorder="1" applyAlignment="1" applyProtection="1">
      <protection hidden="1"/>
    </xf>
    <xf numFmtId="0" fontId="0" fillId="0" borderId="0" xfId="0" applyNumberFormat="1" applyBorder="1" applyProtection="1">
      <protection hidden="1"/>
    </xf>
    <xf numFmtId="0" fontId="0" fillId="0" borderId="6" xfId="0" applyBorder="1" applyProtection="1">
      <protection hidden="1"/>
    </xf>
    <xf numFmtId="2" fontId="0" fillId="0" borderId="6" xfId="0" applyNumberFormat="1" applyFill="1" applyBorder="1" applyAlignment="1" applyProtection="1">
      <protection hidden="1"/>
    </xf>
    <xf numFmtId="0" fontId="10" fillId="0" borderId="0" xfId="0" applyFont="1" applyProtection="1">
      <protection hidden="1"/>
    </xf>
    <xf numFmtId="0" fontId="0" fillId="0" borderId="8" xfId="0" applyBorder="1" applyProtection="1">
      <protection hidden="1"/>
    </xf>
    <xf numFmtId="0" fontId="0" fillId="0" borderId="7" xfId="0" applyBorder="1" applyAlignment="1" applyProtection="1">
      <alignment horizontal="center"/>
      <protection hidden="1"/>
    </xf>
    <xf numFmtId="2" fontId="0" fillId="0" borderId="11" xfId="0" applyNumberFormat="1" applyBorder="1" applyAlignment="1" applyProtection="1">
      <alignment horizontal="right"/>
      <protection hidden="1"/>
    </xf>
    <xf numFmtId="2" fontId="0" fillId="0" borderId="0" xfId="0" applyNumberFormat="1" applyProtection="1">
      <protection hidden="1"/>
    </xf>
    <xf numFmtId="4" fontId="0" fillId="0" borderId="0" xfId="0" applyNumberFormat="1" applyProtection="1">
      <protection hidden="1"/>
    </xf>
    <xf numFmtId="2" fontId="10" fillId="0" borderId="0" xfId="0" applyNumberFormat="1" applyFont="1" applyProtection="1">
      <protection hidden="1"/>
    </xf>
    <xf numFmtId="0" fontId="3" fillId="0" borderId="12" xfId="0" applyFont="1" applyBorder="1" applyProtection="1">
      <protection hidden="1"/>
    </xf>
    <xf numFmtId="0" fontId="3" fillId="0" borderId="6" xfId="0" applyFont="1" applyBorder="1" applyProtection="1">
      <protection hidden="1"/>
    </xf>
    <xf numFmtId="0" fontId="2" fillId="0" borderId="0" xfId="0" applyFont="1" applyFill="1" applyBorder="1" applyAlignment="1" applyProtection="1">
      <alignment horizontal="left"/>
      <protection hidden="1"/>
    </xf>
    <xf numFmtId="165" fontId="0" fillId="0" borderId="0" xfId="0" applyNumberFormat="1" applyBorder="1" applyProtection="1">
      <protection hidden="1"/>
    </xf>
    <xf numFmtId="0" fontId="11" fillId="0" borderId="0" xfId="0" applyFont="1" applyFill="1" applyBorder="1" applyProtection="1">
      <protection hidden="1"/>
    </xf>
    <xf numFmtId="0" fontId="2" fillId="0" borderId="0" xfId="0" applyFont="1" applyBorder="1" applyProtection="1">
      <protection hidden="1"/>
    </xf>
    <xf numFmtId="0" fontId="9" fillId="0" borderId="0" xfId="0" applyFont="1" applyBorder="1" applyProtection="1">
      <protection hidden="1"/>
    </xf>
    <xf numFmtId="0" fontId="0" fillId="0" borderId="13" xfId="0" applyBorder="1" applyProtection="1">
      <protection hidden="1"/>
    </xf>
    <xf numFmtId="0" fontId="0" fillId="0" borderId="0" xfId="0" applyAlignment="1" applyProtection="1">
      <alignment horizontal="center"/>
      <protection hidden="1"/>
    </xf>
    <xf numFmtId="0" fontId="0" fillId="0" borderId="1" xfId="0" applyNumberFormat="1" applyBorder="1" applyAlignment="1" applyProtection="1">
      <alignment horizontal="center"/>
      <protection hidden="1"/>
    </xf>
    <xf numFmtId="49" fontId="0" fillId="0" borderId="2" xfId="0" applyNumberFormat="1" applyBorder="1" applyAlignment="1" applyProtection="1">
      <alignment horizontal="left"/>
      <protection hidden="1"/>
    </xf>
    <xf numFmtId="4" fontId="0" fillId="0" borderId="14" xfId="0" applyNumberFormat="1" applyBorder="1" applyAlignment="1" applyProtection="1">
      <alignment horizontal="right"/>
      <protection hidden="1"/>
    </xf>
    <xf numFmtId="166" fontId="0" fillId="0" borderId="13" xfId="0" applyNumberFormat="1" applyBorder="1" applyAlignment="1" applyProtection="1">
      <alignment horizontal="center"/>
      <protection hidden="1"/>
    </xf>
    <xf numFmtId="0" fontId="10" fillId="0" borderId="15" xfId="0" applyFont="1" applyBorder="1" applyProtection="1">
      <protection hidden="1"/>
    </xf>
    <xf numFmtId="165" fontId="0" fillId="0" borderId="16" xfId="0" applyNumberFormat="1" applyFill="1" applyBorder="1" applyAlignment="1" applyProtection="1">
      <protection hidden="1"/>
    </xf>
    <xf numFmtId="4" fontId="9" fillId="0" borderId="0" xfId="0" applyNumberFormat="1" applyFont="1" applyFill="1" applyBorder="1" applyAlignment="1" applyProtection="1">
      <protection hidden="1"/>
    </xf>
    <xf numFmtId="49" fontId="15" fillId="0" borderId="0" xfId="0" applyNumberFormat="1" applyFont="1" applyBorder="1" applyProtection="1">
      <protection hidden="1"/>
    </xf>
    <xf numFmtId="49" fontId="3" fillId="0" borderId="0" xfId="0" applyNumberFormat="1" applyFont="1" applyBorder="1" applyProtection="1">
      <protection hidden="1"/>
    </xf>
    <xf numFmtId="8" fontId="1" fillId="0" borderId="0" xfId="3" applyNumberFormat="1" applyFont="1" applyProtection="1">
      <protection hidden="1"/>
    </xf>
    <xf numFmtId="7" fontId="0" fillId="0" borderId="0" xfId="0" applyNumberFormat="1" applyProtection="1">
      <protection hidden="1"/>
    </xf>
    <xf numFmtId="165" fontId="0" fillId="0" borderId="0" xfId="0" applyNumberFormat="1" applyBorder="1" applyAlignment="1" applyProtection="1">
      <alignment horizontal="right"/>
      <protection hidden="1"/>
    </xf>
    <xf numFmtId="165" fontId="0" fillId="0" borderId="0" xfId="0" applyNumberFormat="1" applyProtection="1">
      <protection hidden="1"/>
    </xf>
    <xf numFmtId="165" fontId="15" fillId="0" borderId="5" xfId="0" applyNumberFormat="1" applyFont="1" applyBorder="1" applyProtection="1">
      <protection hidden="1"/>
    </xf>
    <xf numFmtId="0" fontId="0" fillId="0" borderId="0" xfId="0" applyBorder="1" applyProtection="1">
      <protection locked="0"/>
    </xf>
    <xf numFmtId="4" fontId="0" fillId="0" borderId="1" xfId="0" applyNumberFormat="1" applyFill="1" applyBorder="1" applyAlignment="1" applyProtection="1">
      <protection hidden="1"/>
    </xf>
    <xf numFmtId="165" fontId="15" fillId="0" borderId="0" xfId="3" applyNumberFormat="1" applyFont="1" applyBorder="1" applyProtection="1">
      <protection hidden="1"/>
    </xf>
    <xf numFmtId="0" fontId="0" fillId="0" borderId="0" xfId="0" applyFill="1" applyBorder="1" applyProtection="1">
      <protection hidden="1"/>
    </xf>
    <xf numFmtId="44" fontId="1" fillId="0" borderId="0" xfId="3" applyFont="1" applyProtection="1">
      <protection hidden="1"/>
    </xf>
    <xf numFmtId="0" fontId="6" fillId="3" borderId="17" xfId="0" applyFont="1" applyFill="1" applyBorder="1" applyAlignment="1" applyProtection="1">
      <alignment horizontal="left"/>
      <protection hidden="1"/>
    </xf>
    <xf numFmtId="0" fontId="6" fillId="3" borderId="18" xfId="0" applyFont="1" applyFill="1" applyBorder="1" applyAlignment="1" applyProtection="1">
      <alignment horizontal="left"/>
      <protection hidden="1"/>
    </xf>
    <xf numFmtId="4" fontId="6" fillId="3" borderId="17" xfId="0" applyNumberFormat="1" applyFont="1" applyFill="1" applyBorder="1" applyAlignment="1" applyProtection="1">
      <alignment horizontal="left"/>
      <protection hidden="1"/>
    </xf>
    <xf numFmtId="0" fontId="7" fillId="4" borderId="17" xfId="0" applyFont="1" applyFill="1" applyBorder="1" applyAlignment="1" applyProtection="1">
      <alignment horizontal="left"/>
      <protection hidden="1"/>
    </xf>
    <xf numFmtId="0" fontId="7" fillId="4" borderId="18" xfId="0" applyFont="1" applyFill="1" applyBorder="1" applyAlignment="1" applyProtection="1">
      <alignment horizontal="left"/>
      <protection hidden="1"/>
    </xf>
    <xf numFmtId="0" fontId="7" fillId="4" borderId="19" xfId="0" applyFont="1" applyFill="1" applyBorder="1" applyAlignment="1" applyProtection="1">
      <alignment horizontal="left"/>
      <protection hidden="1"/>
    </xf>
    <xf numFmtId="0" fontId="17" fillId="5" borderId="12" xfId="0" applyFont="1" applyFill="1" applyBorder="1" applyProtection="1">
      <protection hidden="1"/>
    </xf>
    <xf numFmtId="167" fontId="2" fillId="6" borderId="20" xfId="0" applyNumberFormat="1" applyFont="1" applyFill="1" applyBorder="1" applyAlignment="1" applyProtection="1">
      <alignment horizontal="left"/>
      <protection hidden="1"/>
    </xf>
    <xf numFmtId="0" fontId="2" fillId="6" borderId="21" xfId="0" applyFont="1" applyFill="1" applyBorder="1" applyAlignment="1" applyProtection="1">
      <alignment horizontal="left"/>
      <protection hidden="1"/>
    </xf>
    <xf numFmtId="0" fontId="2" fillId="6" borderId="22" xfId="0" applyFont="1" applyFill="1" applyBorder="1" applyAlignment="1" applyProtection="1">
      <alignment horizontal="left"/>
      <protection hidden="1"/>
    </xf>
    <xf numFmtId="4" fontId="6" fillId="7" borderId="23" xfId="0" applyNumberFormat="1" applyFont="1" applyFill="1" applyBorder="1" applyAlignment="1" applyProtection="1">
      <alignment horizontal="left"/>
      <protection hidden="1"/>
    </xf>
    <xf numFmtId="49" fontId="8" fillId="8" borderId="24" xfId="0" applyNumberFormat="1" applyFont="1" applyFill="1" applyBorder="1" applyAlignment="1" applyProtection="1">
      <alignment horizontal="left"/>
      <protection hidden="1"/>
    </xf>
    <xf numFmtId="49" fontId="5" fillId="8" borderId="24" xfId="0" applyNumberFormat="1" applyFont="1" applyFill="1" applyBorder="1" applyAlignment="1" applyProtection="1">
      <alignment horizontal="right"/>
      <protection hidden="1"/>
    </xf>
    <xf numFmtId="49" fontId="5" fillId="8" borderId="23" xfId="0" applyNumberFormat="1" applyFont="1" applyFill="1" applyBorder="1" applyAlignment="1" applyProtection="1">
      <alignment horizontal="right"/>
      <protection hidden="1"/>
    </xf>
    <xf numFmtId="165" fontId="5" fillId="8" borderId="23" xfId="0" applyNumberFormat="1" applyFont="1" applyFill="1" applyBorder="1" applyAlignment="1" applyProtection="1">
      <alignment horizontal="right"/>
      <protection hidden="1"/>
    </xf>
    <xf numFmtId="0" fontId="6" fillId="8" borderId="17" xfId="0" applyFont="1" applyFill="1" applyBorder="1" applyAlignment="1" applyProtection="1">
      <alignment horizontal="left"/>
      <protection hidden="1"/>
    </xf>
    <xf numFmtId="0" fontId="6" fillId="8" borderId="18" xfId="0" applyFont="1" applyFill="1" applyBorder="1" applyAlignment="1" applyProtection="1">
      <alignment horizontal="left"/>
      <protection hidden="1"/>
    </xf>
    <xf numFmtId="0" fontId="6" fillId="8" borderId="25" xfId="0" applyFont="1" applyFill="1" applyBorder="1" applyAlignment="1" applyProtection="1">
      <alignment horizontal="left"/>
      <protection hidden="1"/>
    </xf>
    <xf numFmtId="0" fontId="5" fillId="8" borderId="23" xfId="0" applyFont="1" applyFill="1" applyBorder="1" applyAlignment="1" applyProtection="1">
      <alignment horizontal="right"/>
      <protection hidden="1"/>
    </xf>
    <xf numFmtId="165" fontId="8" fillId="8" borderId="23" xfId="0" applyNumberFormat="1" applyFont="1" applyFill="1" applyBorder="1" applyAlignment="1" applyProtection="1">
      <alignment horizontal="left"/>
      <protection hidden="1"/>
    </xf>
    <xf numFmtId="165" fontId="5" fillId="8" borderId="24" xfId="0" applyNumberFormat="1" applyFont="1" applyFill="1" applyBorder="1" applyAlignment="1" applyProtection="1">
      <alignment horizontal="right"/>
      <protection hidden="1"/>
    </xf>
    <xf numFmtId="165" fontId="8" fillId="8" borderId="26" xfId="0" applyNumberFormat="1" applyFont="1" applyFill="1" applyBorder="1" applyAlignment="1" applyProtection="1">
      <alignment horizontal="left"/>
      <protection hidden="1"/>
    </xf>
    <xf numFmtId="165" fontId="8" fillId="8" borderId="15" xfId="0" applyNumberFormat="1" applyFont="1" applyFill="1" applyBorder="1" applyAlignment="1" applyProtection="1">
      <alignment horizontal="left"/>
      <protection hidden="1"/>
    </xf>
    <xf numFmtId="4" fontId="6" fillId="8" borderId="17" xfId="0" applyNumberFormat="1" applyFont="1" applyFill="1" applyBorder="1" applyAlignment="1" applyProtection="1">
      <alignment horizontal="left"/>
      <protection hidden="1"/>
    </xf>
    <xf numFmtId="4" fontId="6" fillId="8" borderId="18" xfId="0" applyNumberFormat="1" applyFont="1" applyFill="1" applyBorder="1" applyAlignment="1" applyProtection="1">
      <alignment horizontal="left"/>
      <protection hidden="1"/>
    </xf>
    <xf numFmtId="4" fontId="6" fillId="8" borderId="25" xfId="0" applyNumberFormat="1" applyFont="1" applyFill="1" applyBorder="1" applyAlignment="1" applyProtection="1">
      <alignment horizontal="left"/>
      <protection hidden="1"/>
    </xf>
    <xf numFmtId="49" fontId="2" fillId="0" borderId="0" xfId="0" applyNumberFormat="1" applyFont="1" applyBorder="1" applyProtection="1">
      <protection hidden="1"/>
    </xf>
    <xf numFmtId="0" fontId="7" fillId="4" borderId="17" xfId="0" applyFont="1" applyFill="1" applyBorder="1" applyAlignment="1" applyProtection="1">
      <alignment horizontal="left"/>
      <protection locked="0"/>
    </xf>
    <xf numFmtId="0" fontId="19" fillId="6" borderId="21" xfId="0" applyFont="1" applyFill="1" applyBorder="1" applyAlignment="1" applyProtection="1">
      <alignment horizontal="left"/>
      <protection hidden="1"/>
    </xf>
    <xf numFmtId="0" fontId="19" fillId="6" borderId="22" xfId="0" applyFont="1" applyFill="1" applyBorder="1" applyAlignment="1" applyProtection="1">
      <alignment horizontal="left"/>
      <protection hidden="1"/>
    </xf>
    <xf numFmtId="167" fontId="19" fillId="6" borderId="20" xfId="0" applyNumberFormat="1" applyFont="1" applyFill="1" applyBorder="1" applyAlignment="1" applyProtection="1">
      <alignment horizontal="left"/>
      <protection locked="0"/>
    </xf>
    <xf numFmtId="4" fontId="0" fillId="0" borderId="2" xfId="0" applyNumberFormat="1" applyBorder="1" applyAlignment="1" applyProtection="1">
      <alignment horizontal="right"/>
      <protection hidden="1"/>
    </xf>
    <xf numFmtId="4" fontId="6" fillId="8" borderId="0" xfId="0" applyNumberFormat="1" applyFont="1" applyFill="1" applyBorder="1" applyAlignment="1" applyProtection="1">
      <alignment horizontal="left"/>
      <protection hidden="1"/>
    </xf>
    <xf numFmtId="0" fontId="3" fillId="0" borderId="0" xfId="0" applyFont="1" applyAlignment="1" applyProtection="1">
      <alignment horizontal="left" wrapText="1" indent="1"/>
      <protection hidden="1"/>
    </xf>
    <xf numFmtId="0" fontId="3" fillId="0" borderId="0" xfId="0" applyFont="1" applyAlignment="1" applyProtection="1">
      <alignment wrapText="1"/>
      <protection hidden="1"/>
    </xf>
    <xf numFmtId="4" fontId="0" fillId="0" borderId="0" xfId="0" applyNumberFormat="1" applyAlignment="1" applyProtection="1">
      <alignment horizontal="right"/>
      <protection hidden="1"/>
    </xf>
    <xf numFmtId="0" fontId="17" fillId="5" borderId="12" xfId="0" applyFont="1" applyFill="1" applyBorder="1" applyAlignment="1" applyProtection="1">
      <alignment horizontal="center"/>
      <protection hidden="1"/>
    </xf>
    <xf numFmtId="167" fontId="0" fillId="0" borderId="27" xfId="0" applyNumberFormat="1" applyBorder="1" applyAlignment="1" applyProtection="1">
      <alignment horizontal="center"/>
      <protection hidden="1"/>
    </xf>
    <xf numFmtId="49" fontId="8" fillId="5" borderId="12" xfId="0" applyNumberFormat="1" applyFont="1" applyFill="1" applyBorder="1" applyAlignment="1" applyProtection="1">
      <alignment horizontal="left"/>
      <protection hidden="1"/>
    </xf>
    <xf numFmtId="169" fontId="0" fillId="0" borderId="0" xfId="0" applyNumberFormat="1" applyFill="1" applyBorder="1" applyAlignment="1" applyProtection="1">
      <protection hidden="1"/>
    </xf>
    <xf numFmtId="169" fontId="17" fillId="5" borderId="6" xfId="0" applyNumberFormat="1" applyFont="1" applyFill="1" applyBorder="1" applyAlignment="1" applyProtection="1">
      <protection hidden="1"/>
    </xf>
    <xf numFmtId="169" fontId="7" fillId="4" borderId="18" xfId="0" applyNumberFormat="1" applyFont="1" applyFill="1" applyBorder="1" applyAlignment="1" applyProtection="1">
      <protection hidden="1"/>
    </xf>
    <xf numFmtId="169" fontId="7" fillId="0" borderId="0" xfId="0" applyNumberFormat="1" applyFont="1" applyFill="1" applyBorder="1" applyAlignment="1" applyProtection="1">
      <protection hidden="1"/>
    </xf>
    <xf numFmtId="169" fontId="0" fillId="0" borderId="0" xfId="0" applyNumberFormat="1" applyBorder="1" applyAlignment="1" applyProtection="1">
      <protection hidden="1"/>
    </xf>
    <xf numFmtId="169" fontId="0" fillId="0" borderId="2" xfId="0" applyNumberFormat="1" applyBorder="1" applyAlignment="1" applyProtection="1">
      <protection hidden="1"/>
    </xf>
    <xf numFmtId="169" fontId="6" fillId="3" borderId="18" xfId="0" applyNumberFormat="1" applyFont="1" applyFill="1" applyBorder="1" applyAlignment="1" applyProtection="1">
      <protection hidden="1"/>
    </xf>
    <xf numFmtId="169" fontId="0" fillId="0" borderId="1" xfId="0" applyNumberFormat="1" applyBorder="1" applyAlignment="1" applyProtection="1">
      <protection hidden="1"/>
    </xf>
    <xf numFmtId="169" fontId="6" fillId="3" borderId="25" xfId="0" applyNumberFormat="1" applyFont="1" applyFill="1" applyBorder="1" applyAlignment="1" applyProtection="1">
      <protection hidden="1"/>
    </xf>
    <xf numFmtId="169" fontId="17" fillId="5" borderId="0" xfId="0" applyNumberFormat="1" applyFont="1" applyFill="1" applyBorder="1" applyAlignment="1" applyProtection="1">
      <alignment horizontal="right"/>
      <protection hidden="1"/>
    </xf>
    <xf numFmtId="169" fontId="17" fillId="5" borderId="4" xfId="0" applyNumberFormat="1" applyFont="1" applyFill="1" applyBorder="1" applyAlignment="1" applyProtection="1">
      <alignment horizontal="right"/>
      <protection hidden="1"/>
    </xf>
    <xf numFmtId="169" fontId="17" fillId="5" borderId="6" xfId="0" applyNumberFormat="1" applyFont="1" applyFill="1" applyBorder="1" applyAlignment="1" applyProtection="1">
      <alignment horizontal="right"/>
      <protection hidden="1"/>
    </xf>
    <xf numFmtId="169" fontId="0" fillId="9" borderId="0" xfId="0" applyNumberFormat="1" applyFill="1" applyBorder="1" applyAlignment="1" applyProtection="1">
      <alignment horizontal="right"/>
      <protection hidden="1"/>
    </xf>
    <xf numFmtId="169" fontId="17" fillId="5" borderId="2" xfId="0" applyNumberFormat="1" applyFont="1" applyFill="1" applyBorder="1" applyAlignment="1" applyProtection="1">
      <alignment horizontal="right"/>
      <protection hidden="1"/>
    </xf>
    <xf numFmtId="169" fontId="0" fillId="9" borderId="2" xfId="0" applyNumberFormat="1" applyFill="1" applyBorder="1" applyAlignment="1" applyProtection="1">
      <alignment horizontal="right"/>
      <protection hidden="1"/>
    </xf>
    <xf numFmtId="2" fontId="0" fillId="0" borderId="0" xfId="0" applyNumberFormat="1" applyBorder="1" applyProtection="1">
      <protection hidden="1"/>
    </xf>
    <xf numFmtId="0" fontId="3" fillId="0" borderId="0" xfId="0" applyFont="1" applyFill="1" applyBorder="1" applyProtection="1">
      <protection hidden="1"/>
    </xf>
    <xf numFmtId="0" fontId="0" fillId="0" borderId="0" xfId="0" applyBorder="1" applyAlignment="1" applyProtection="1">
      <alignment horizontal="right"/>
      <protection hidden="1"/>
    </xf>
    <xf numFmtId="44" fontId="3" fillId="0" borderId="0" xfId="3" applyFont="1" applyFill="1" applyBorder="1" applyProtection="1">
      <protection hidden="1"/>
    </xf>
    <xf numFmtId="0" fontId="10" fillId="0" borderId="0" xfId="0" applyFont="1" applyBorder="1" applyProtection="1">
      <protection hidden="1"/>
    </xf>
    <xf numFmtId="4" fontId="0" fillId="0" borderId="0" xfId="0" applyNumberFormat="1" applyBorder="1" applyProtection="1">
      <protection hidden="1"/>
    </xf>
    <xf numFmtId="2" fontId="10" fillId="0" borderId="0" xfId="0" applyNumberFormat="1" applyFont="1" applyBorder="1" applyProtection="1">
      <protection hidden="1"/>
    </xf>
    <xf numFmtId="169" fontId="7" fillId="4" borderId="25" xfId="0" applyNumberFormat="1" applyFont="1" applyFill="1" applyBorder="1" applyAlignment="1" applyProtection="1">
      <protection hidden="1"/>
    </xf>
    <xf numFmtId="169" fontId="0" fillId="9" borderId="15" xfId="0" applyNumberFormat="1" applyFill="1" applyBorder="1" applyAlignment="1" applyProtection="1">
      <alignment horizontal="right"/>
      <protection hidden="1"/>
    </xf>
    <xf numFmtId="169" fontId="17" fillId="5" borderId="15" xfId="0" applyNumberFormat="1" applyFont="1" applyFill="1" applyBorder="1" applyAlignment="1" applyProtection="1">
      <alignment horizontal="right"/>
      <protection hidden="1"/>
    </xf>
    <xf numFmtId="169" fontId="0" fillId="9" borderId="8" xfId="0" applyNumberFormat="1" applyFill="1" applyBorder="1" applyAlignment="1" applyProtection="1">
      <alignment horizontal="right"/>
      <protection hidden="1"/>
    </xf>
    <xf numFmtId="0" fontId="17" fillId="9" borderId="12" xfId="0" applyFont="1" applyFill="1" applyBorder="1" applyAlignment="1" applyProtection="1">
      <alignment horizontal="center"/>
      <protection hidden="1"/>
    </xf>
    <xf numFmtId="169" fontId="16" fillId="5" borderId="6" xfId="0" applyNumberFormat="1" applyFont="1" applyFill="1" applyBorder="1" applyAlignment="1" applyProtection="1">
      <protection hidden="1"/>
    </xf>
    <xf numFmtId="165" fontId="8" fillId="5" borderId="12" xfId="0" applyNumberFormat="1" applyFont="1" applyFill="1" applyBorder="1" applyAlignment="1" applyProtection="1">
      <alignment horizontal="left"/>
      <protection hidden="1"/>
    </xf>
    <xf numFmtId="169" fontId="6" fillId="3" borderId="17" xfId="0" applyNumberFormat="1" applyFont="1" applyFill="1" applyBorder="1" applyAlignment="1" applyProtection="1">
      <protection hidden="1"/>
    </xf>
    <xf numFmtId="169" fontId="17" fillId="5" borderId="8" xfId="0" applyNumberFormat="1" applyFont="1" applyFill="1" applyBorder="1" applyAlignment="1" applyProtection="1">
      <alignment horizontal="right"/>
      <protection hidden="1"/>
    </xf>
    <xf numFmtId="169" fontId="5" fillId="3" borderId="18" xfId="0" applyNumberFormat="1" applyFont="1" applyFill="1" applyBorder="1" applyAlignment="1" applyProtection="1">
      <protection hidden="1"/>
    </xf>
    <xf numFmtId="169" fontId="5" fillId="3" borderId="25" xfId="0" applyNumberFormat="1" applyFont="1" applyFill="1" applyBorder="1" applyAlignment="1" applyProtection="1">
      <protection hidden="1"/>
    </xf>
    <xf numFmtId="169" fontId="17" fillId="5" borderId="3" xfId="0" applyNumberFormat="1" applyFont="1" applyFill="1" applyBorder="1" applyAlignment="1" applyProtection="1">
      <protection hidden="1"/>
    </xf>
    <xf numFmtId="1" fontId="0" fillId="0" borderId="6" xfId="0" applyNumberFormat="1" applyFill="1" applyBorder="1" applyAlignment="1" applyProtection="1">
      <protection hidden="1"/>
    </xf>
    <xf numFmtId="49" fontId="0" fillId="0" borderId="15" xfId="0" applyNumberFormat="1" applyBorder="1" applyAlignment="1" applyProtection="1">
      <alignment horizontal="left"/>
      <protection hidden="1"/>
    </xf>
    <xf numFmtId="166" fontId="0" fillId="0" borderId="26" xfId="0" applyNumberFormat="1" applyBorder="1" applyAlignment="1" applyProtection="1">
      <alignment horizontal="center"/>
      <protection hidden="1"/>
    </xf>
    <xf numFmtId="1" fontId="0" fillId="0" borderId="8" xfId="0" applyNumberFormat="1" applyBorder="1" applyAlignment="1" applyProtection="1">
      <alignment horizontal="right"/>
      <protection hidden="1"/>
    </xf>
    <xf numFmtId="169" fontId="17" fillId="5" borderId="3" xfId="0" applyNumberFormat="1" applyFont="1" applyFill="1" applyBorder="1" applyAlignment="1" applyProtection="1">
      <alignment horizontal="center"/>
      <protection hidden="1"/>
    </xf>
    <xf numFmtId="0" fontId="3" fillId="0" borderId="0" xfId="0" applyFont="1" applyFill="1" applyBorder="1" applyAlignment="1" applyProtection="1">
      <protection hidden="1"/>
    </xf>
    <xf numFmtId="0" fontId="3" fillId="0" borderId="6" xfId="0" applyFont="1" applyFill="1" applyBorder="1" applyAlignment="1" applyProtection="1">
      <protection hidden="1"/>
    </xf>
    <xf numFmtId="165" fontId="5" fillId="8" borderId="28" xfId="0" applyNumberFormat="1" applyFont="1" applyFill="1" applyBorder="1" applyAlignment="1" applyProtection="1">
      <alignment horizontal="right"/>
      <protection hidden="1"/>
    </xf>
    <xf numFmtId="165" fontId="0" fillId="0" borderId="29" xfId="0" applyNumberFormat="1" applyFill="1" applyBorder="1" applyAlignment="1" applyProtection="1">
      <protection hidden="1"/>
    </xf>
    <xf numFmtId="0" fontId="6" fillId="8" borderId="22" xfId="0" applyFont="1" applyFill="1" applyBorder="1" applyAlignment="1" applyProtection="1">
      <alignment horizontal="left"/>
      <protection hidden="1"/>
    </xf>
    <xf numFmtId="0" fontId="3" fillId="0" borderId="0" xfId="0" applyFont="1" applyBorder="1" applyProtection="1">
      <protection hidden="1"/>
    </xf>
    <xf numFmtId="0" fontId="3" fillId="0" borderId="0" xfId="0" applyFont="1" applyBorder="1" applyAlignment="1" applyProtection="1">
      <alignment horizontal="center"/>
      <protection hidden="1"/>
    </xf>
    <xf numFmtId="169" fontId="21" fillId="5" borderId="26" xfId="0" applyNumberFormat="1" applyFont="1" applyFill="1" applyBorder="1" applyAlignment="1" applyProtection="1">
      <alignment horizontal="left"/>
      <protection hidden="1"/>
    </xf>
    <xf numFmtId="169" fontId="6" fillId="0" borderId="0" xfId="0" applyNumberFormat="1" applyFont="1" applyFill="1" applyBorder="1" applyAlignment="1" applyProtection="1">
      <protection hidden="1"/>
    </xf>
    <xf numFmtId="169" fontId="17" fillId="0" borderId="0" xfId="0" applyNumberFormat="1" applyFont="1" applyFill="1" applyBorder="1" applyAlignment="1" applyProtection="1">
      <alignment horizontal="right"/>
      <protection hidden="1"/>
    </xf>
    <xf numFmtId="169" fontId="0" fillId="0" borderId="0" xfId="0" applyNumberFormat="1" applyFill="1" applyBorder="1" applyAlignment="1" applyProtection="1">
      <alignment horizontal="right"/>
      <protection hidden="1"/>
    </xf>
    <xf numFmtId="169" fontId="17" fillId="0" borderId="0" xfId="0" applyNumberFormat="1" applyFont="1" applyFill="1" applyBorder="1" applyAlignment="1" applyProtection="1">
      <protection hidden="1"/>
    </xf>
    <xf numFmtId="169" fontId="16" fillId="0" borderId="0" xfId="0" applyNumberFormat="1" applyFont="1" applyFill="1" applyBorder="1" applyAlignment="1" applyProtection="1">
      <protection hidden="1"/>
    </xf>
    <xf numFmtId="43" fontId="0" fillId="0" borderId="0" xfId="1" applyFont="1" applyBorder="1" applyAlignment="1" applyProtection="1">
      <protection hidden="1"/>
    </xf>
    <xf numFmtId="43" fontId="16" fillId="5" borderId="6" xfId="1" applyFont="1" applyFill="1" applyBorder="1" applyAlignment="1" applyProtection="1">
      <protection hidden="1"/>
    </xf>
    <xf numFmtId="43" fontId="0" fillId="0" borderId="2" xfId="1" applyFont="1" applyBorder="1" applyAlignment="1" applyProtection="1">
      <protection hidden="1"/>
    </xf>
    <xf numFmtId="43" fontId="16" fillId="5" borderId="4" xfId="1" applyFont="1" applyFill="1" applyBorder="1" applyAlignment="1" applyProtection="1">
      <protection hidden="1"/>
    </xf>
    <xf numFmtId="4" fontId="6" fillId="3" borderId="18" xfId="0" applyNumberFormat="1" applyFont="1" applyFill="1" applyBorder="1" applyAlignment="1" applyProtection="1">
      <alignment horizontal="left"/>
      <protection hidden="1"/>
    </xf>
    <xf numFmtId="169" fontId="3" fillId="0" borderId="0" xfId="0" applyNumberFormat="1" applyFont="1" applyFill="1" applyBorder="1" applyAlignment="1" applyProtection="1">
      <protection hidden="1"/>
    </xf>
    <xf numFmtId="169" fontId="40" fillId="0" borderId="0" xfId="0" applyNumberFormat="1" applyFont="1" applyFill="1" applyBorder="1" applyAlignment="1" applyProtection="1">
      <alignment horizontal="right"/>
      <protection hidden="1"/>
    </xf>
    <xf numFmtId="167" fontId="0" fillId="0" borderId="0" xfId="0" applyNumberFormat="1" applyFill="1" applyBorder="1" applyAlignment="1" applyProtection="1">
      <alignment horizontal="center"/>
      <protection hidden="1"/>
    </xf>
    <xf numFmtId="169" fontId="13" fillId="0" borderId="0" xfId="0" applyNumberFormat="1" applyFont="1" applyBorder="1" applyAlignment="1" applyProtection="1">
      <protection hidden="1"/>
    </xf>
    <xf numFmtId="169" fontId="17" fillId="9" borderId="21" xfId="0" applyNumberFormat="1" applyFont="1" applyFill="1" applyBorder="1" applyAlignment="1" applyProtection="1">
      <alignment horizontal="right"/>
      <protection hidden="1"/>
    </xf>
    <xf numFmtId="169" fontId="17" fillId="7" borderId="30" xfId="0" applyNumberFormat="1" applyFont="1" applyFill="1" applyBorder="1" applyAlignment="1" applyProtection="1">
      <alignment horizontal="left"/>
      <protection hidden="1"/>
    </xf>
    <xf numFmtId="169" fontId="17" fillId="5" borderId="21" xfId="0" applyNumberFormat="1" applyFont="1" applyFill="1" applyBorder="1" applyAlignment="1" applyProtection="1">
      <alignment horizontal="right"/>
      <protection hidden="1"/>
    </xf>
    <xf numFmtId="169" fontId="17" fillId="5" borderId="31" xfId="0" applyNumberFormat="1" applyFont="1" applyFill="1" applyBorder="1" applyAlignment="1" applyProtection="1">
      <alignment horizontal="right"/>
      <protection hidden="1"/>
    </xf>
    <xf numFmtId="169" fontId="17" fillId="5" borderId="30" xfId="0" applyNumberFormat="1" applyFont="1" applyFill="1" applyBorder="1" applyAlignment="1" applyProtection="1">
      <alignment horizontal="right"/>
      <protection hidden="1"/>
    </xf>
    <xf numFmtId="0" fontId="41" fillId="0" borderId="0" xfId="0" applyFont="1" applyBorder="1" applyProtection="1">
      <protection hidden="1"/>
    </xf>
    <xf numFmtId="169" fontId="3" fillId="0" borderId="0" xfId="0" applyNumberFormat="1" applyFont="1" applyBorder="1" applyAlignment="1" applyProtection="1">
      <protection hidden="1"/>
    </xf>
    <xf numFmtId="166" fontId="22" fillId="0" borderId="27" xfId="0" applyNumberFormat="1" applyFont="1" applyBorder="1" applyAlignment="1" applyProtection="1">
      <alignment horizontal="center"/>
      <protection hidden="1"/>
    </xf>
    <xf numFmtId="169" fontId="22" fillId="0" borderId="0" xfId="0" applyNumberFormat="1" applyFont="1" applyBorder="1" applyAlignment="1" applyProtection="1">
      <protection hidden="1"/>
    </xf>
    <xf numFmtId="169" fontId="22" fillId="0" borderId="2" xfId="0" applyNumberFormat="1" applyFont="1" applyBorder="1" applyAlignment="1" applyProtection="1">
      <protection hidden="1"/>
    </xf>
    <xf numFmtId="169" fontId="22" fillId="0" borderId="27" xfId="0" applyNumberFormat="1" applyFont="1" applyBorder="1" applyAlignment="1" applyProtection="1">
      <protection hidden="1"/>
    </xf>
    <xf numFmtId="169" fontId="22" fillId="0" borderId="8" xfId="0" applyNumberFormat="1" applyFont="1" applyBorder="1" applyAlignment="1" applyProtection="1">
      <protection hidden="1"/>
    </xf>
    <xf numFmtId="169" fontId="22" fillId="0" borderId="0" xfId="0" applyNumberFormat="1" applyFont="1" applyFill="1" applyBorder="1" applyAlignment="1" applyProtection="1">
      <protection hidden="1"/>
    </xf>
    <xf numFmtId="0" fontId="22" fillId="0" borderId="0" xfId="0" applyFont="1" applyBorder="1" applyProtection="1">
      <protection hidden="1"/>
    </xf>
    <xf numFmtId="169" fontId="22" fillId="0" borderId="1" xfId="0" applyNumberFormat="1" applyFont="1" applyBorder="1" applyAlignment="1" applyProtection="1">
      <protection hidden="1"/>
    </xf>
    <xf numFmtId="0" fontId="25" fillId="0" borderId="0" xfId="0" applyFont="1" applyBorder="1" applyProtection="1">
      <protection hidden="1"/>
    </xf>
    <xf numFmtId="4" fontId="3" fillId="0" borderId="0" xfId="0" applyNumberFormat="1" applyFont="1" applyFill="1" applyBorder="1" applyAlignment="1" applyProtection="1">
      <protection hidden="1"/>
    </xf>
    <xf numFmtId="4" fontId="3" fillId="0" borderId="6" xfId="0" applyNumberFormat="1" applyFont="1" applyFill="1" applyBorder="1" applyAlignment="1" applyProtection="1">
      <protection hidden="1"/>
    </xf>
    <xf numFmtId="0" fontId="42" fillId="10" borderId="0" xfId="0" applyFont="1" applyFill="1" applyAlignment="1" applyProtection="1">
      <alignment horizontal="left" wrapText="1" indent="1"/>
      <protection hidden="1"/>
    </xf>
    <xf numFmtId="169" fontId="3" fillId="0" borderId="2" xfId="0" applyNumberFormat="1" applyFont="1" applyBorder="1" applyAlignment="1" applyProtection="1">
      <protection hidden="1"/>
    </xf>
    <xf numFmtId="169" fontId="5" fillId="5" borderId="12" xfId="0" applyNumberFormat="1" applyFont="1" applyFill="1" applyBorder="1" applyAlignment="1" applyProtection="1">
      <protection hidden="1"/>
    </xf>
    <xf numFmtId="169" fontId="5" fillId="5" borderId="4" xfId="0" applyNumberFormat="1" applyFont="1" applyFill="1" applyBorder="1" applyAlignment="1" applyProtection="1">
      <protection hidden="1"/>
    </xf>
    <xf numFmtId="169" fontId="43" fillId="0" borderId="0" xfId="0" applyNumberFormat="1" applyFont="1" applyFill="1" applyBorder="1" applyAlignment="1" applyProtection="1">
      <protection hidden="1"/>
    </xf>
    <xf numFmtId="169" fontId="44" fillId="0" borderId="0" xfId="0" applyNumberFormat="1" applyFont="1" applyFill="1" applyBorder="1" applyAlignment="1" applyProtection="1">
      <alignment horizontal="left"/>
      <protection hidden="1"/>
    </xf>
    <xf numFmtId="169" fontId="41" fillId="0" borderId="0" xfId="0" applyNumberFormat="1" applyFont="1" applyFill="1" applyBorder="1" applyAlignment="1" applyProtection="1">
      <alignment horizontal="left"/>
      <protection hidden="1"/>
    </xf>
    <xf numFmtId="169" fontId="45" fillId="0" borderId="0" xfId="0" applyNumberFormat="1" applyFont="1" applyFill="1" applyBorder="1" applyAlignment="1" applyProtection="1">
      <protection hidden="1"/>
    </xf>
    <xf numFmtId="169" fontId="41" fillId="0" borderId="0" xfId="0" applyNumberFormat="1" applyFont="1" applyFill="1" applyBorder="1" applyAlignment="1" applyProtection="1">
      <protection hidden="1"/>
    </xf>
    <xf numFmtId="169" fontId="46" fillId="0" borderId="0" xfId="0" applyNumberFormat="1" applyFont="1" applyFill="1" applyBorder="1" applyAlignment="1" applyProtection="1">
      <protection hidden="1"/>
    </xf>
    <xf numFmtId="165" fontId="15" fillId="0" borderId="0" xfId="0" applyNumberFormat="1" applyFont="1" applyBorder="1" applyProtection="1">
      <protection hidden="1"/>
    </xf>
    <xf numFmtId="0" fontId="0" fillId="0" borderId="8" xfId="0" applyBorder="1" applyAlignment="1" applyProtection="1">
      <alignment horizontal="center"/>
      <protection hidden="1"/>
    </xf>
    <xf numFmtId="165" fontId="5" fillId="8" borderId="32" xfId="0" applyNumberFormat="1" applyFont="1" applyFill="1" applyBorder="1" applyAlignment="1" applyProtection="1">
      <alignment horizontal="right"/>
      <protection hidden="1"/>
    </xf>
    <xf numFmtId="0" fontId="0" fillId="0" borderId="27" xfId="0" applyBorder="1" applyAlignment="1" applyProtection="1">
      <alignment horizontal="center"/>
      <protection hidden="1"/>
    </xf>
    <xf numFmtId="165" fontId="0" fillId="0" borderId="4" xfId="0" applyNumberFormat="1" applyFill="1" applyBorder="1" applyAlignment="1" applyProtection="1">
      <protection hidden="1"/>
    </xf>
    <xf numFmtId="0" fontId="47" fillId="0" borderId="0" xfId="0" applyFont="1" applyBorder="1" applyAlignment="1" applyProtection="1">
      <alignment horizontal="center"/>
      <protection hidden="1"/>
    </xf>
    <xf numFmtId="9" fontId="0" fillId="0" borderId="0" xfId="0" applyNumberFormat="1" applyBorder="1" applyProtection="1">
      <protection hidden="1"/>
    </xf>
    <xf numFmtId="165" fontId="39" fillId="0" borderId="0" xfId="0" applyNumberFormat="1" applyFont="1" applyBorder="1" applyAlignment="1" applyProtection="1">
      <alignment horizontal="left"/>
      <protection hidden="1"/>
    </xf>
    <xf numFmtId="165" fontId="0" fillId="0" borderId="24" xfId="0" applyNumberFormat="1" applyBorder="1" applyAlignment="1" applyProtection="1">
      <alignment horizontal="center"/>
      <protection hidden="1"/>
    </xf>
    <xf numFmtId="165" fontId="47" fillId="0" borderId="0" xfId="0" applyNumberFormat="1" applyFont="1" applyBorder="1" applyAlignment="1" applyProtection="1">
      <alignment horizontal="center"/>
      <protection hidden="1"/>
    </xf>
    <xf numFmtId="165" fontId="0" fillId="0" borderId="0" xfId="0" applyNumberFormat="1" applyBorder="1" applyAlignment="1" applyProtection="1">
      <alignment horizontal="left"/>
      <protection hidden="1"/>
    </xf>
    <xf numFmtId="0" fontId="0" fillId="0" borderId="0" xfId="0" applyAlignment="1" applyProtection="1">
      <alignment horizontal="left"/>
      <protection hidden="1"/>
    </xf>
    <xf numFmtId="0" fontId="39" fillId="0" borderId="0" xfId="0" applyFont="1" applyProtection="1">
      <protection hidden="1"/>
    </xf>
    <xf numFmtId="165" fontId="39" fillId="0" borderId="0" xfId="3" applyNumberFormat="1" applyFont="1" applyAlignment="1" applyProtection="1">
      <alignment horizontal="center"/>
      <protection hidden="1"/>
    </xf>
    <xf numFmtId="165" fontId="37" fillId="0" borderId="0" xfId="3" applyNumberFormat="1" applyFont="1" applyAlignment="1" applyProtection="1">
      <alignment horizontal="center"/>
      <protection hidden="1"/>
    </xf>
    <xf numFmtId="165" fontId="37" fillId="0" borderId="0" xfId="3" applyNumberFormat="1" applyFont="1" applyBorder="1" applyAlignment="1" applyProtection="1">
      <alignment horizontal="center"/>
      <protection hidden="1"/>
    </xf>
    <xf numFmtId="169" fontId="6" fillId="11" borderId="17" xfId="0" applyNumberFormat="1" applyFont="1" applyFill="1" applyBorder="1" applyAlignment="1" applyProtection="1">
      <protection hidden="1"/>
    </xf>
    <xf numFmtId="169" fontId="48" fillId="12" borderId="17" xfId="0" applyNumberFormat="1" applyFont="1" applyFill="1" applyBorder="1" applyAlignment="1" applyProtection="1">
      <protection hidden="1"/>
    </xf>
    <xf numFmtId="169" fontId="6" fillId="12" borderId="18" xfId="0" applyNumberFormat="1" applyFont="1" applyFill="1" applyBorder="1" applyAlignment="1" applyProtection="1">
      <protection hidden="1"/>
    </xf>
    <xf numFmtId="0" fontId="3" fillId="12" borderId="25" xfId="0" applyFont="1" applyFill="1" applyBorder="1" applyProtection="1">
      <protection hidden="1"/>
    </xf>
    <xf numFmtId="169" fontId="45" fillId="0" borderId="26" xfId="0" applyNumberFormat="1" applyFont="1" applyFill="1" applyBorder="1" applyAlignment="1" applyProtection="1">
      <protection hidden="1"/>
    </xf>
    <xf numFmtId="169" fontId="22" fillId="0" borderId="15" xfId="0" applyNumberFormat="1" applyFont="1" applyBorder="1" applyAlignment="1" applyProtection="1">
      <protection hidden="1"/>
    </xf>
    <xf numFmtId="169" fontId="46" fillId="13" borderId="17" xfId="0" applyNumberFormat="1" applyFont="1" applyFill="1" applyBorder="1" applyAlignment="1" applyProtection="1">
      <protection hidden="1"/>
    </xf>
    <xf numFmtId="167" fontId="3" fillId="0" borderId="27" xfId="0" applyNumberFormat="1" applyFont="1" applyFill="1" applyBorder="1" applyAlignment="1" applyProtection="1">
      <alignment horizontal="center"/>
      <protection hidden="1"/>
    </xf>
    <xf numFmtId="167" fontId="3" fillId="0" borderId="12" xfId="0" applyNumberFormat="1" applyFont="1" applyFill="1" applyBorder="1" applyAlignment="1" applyProtection="1">
      <alignment horizontal="center"/>
      <protection hidden="1"/>
    </xf>
    <xf numFmtId="169" fontId="3" fillId="0" borderId="2" xfId="0" applyNumberFormat="1" applyFont="1" applyFill="1" applyBorder="1" applyProtection="1">
      <protection hidden="1"/>
    </xf>
    <xf numFmtId="169" fontId="40" fillId="9" borderId="0" xfId="0" applyNumberFormat="1" applyFont="1" applyFill="1" applyBorder="1" applyAlignment="1" applyProtection="1">
      <alignment horizontal="right"/>
      <protection hidden="1"/>
    </xf>
    <xf numFmtId="43" fontId="0" fillId="0" borderId="0" xfId="1" applyFont="1" applyBorder="1" applyAlignment="1" applyProtection="1">
      <alignment horizontal="center"/>
      <protection hidden="1"/>
    </xf>
    <xf numFmtId="169" fontId="6" fillId="3" borderId="26" xfId="0" applyNumberFormat="1" applyFont="1" applyFill="1" applyBorder="1" applyAlignment="1" applyProtection="1">
      <protection hidden="1"/>
    </xf>
    <xf numFmtId="169" fontId="6" fillId="3" borderId="15" xfId="0" applyNumberFormat="1" applyFont="1" applyFill="1" applyBorder="1" applyAlignment="1" applyProtection="1">
      <protection hidden="1"/>
    </xf>
    <xf numFmtId="169" fontId="6" fillId="3" borderId="8" xfId="0" applyNumberFormat="1" applyFont="1" applyFill="1" applyBorder="1" applyAlignment="1" applyProtection="1">
      <protection hidden="1"/>
    </xf>
    <xf numFmtId="169" fontId="0" fillId="0" borderId="15" xfId="0" applyNumberFormat="1" applyBorder="1" applyAlignment="1" applyProtection="1">
      <protection hidden="1"/>
    </xf>
    <xf numFmtId="169" fontId="0" fillId="0" borderId="8" xfId="0" applyNumberFormat="1" applyBorder="1" applyAlignment="1" applyProtection="1">
      <protection hidden="1"/>
    </xf>
    <xf numFmtId="0" fontId="1" fillId="0" borderId="0" xfId="0" applyFont="1" applyAlignment="1" applyProtection="1">
      <alignment horizontal="left" wrapText="1" indent="1"/>
      <protection hidden="1"/>
    </xf>
    <xf numFmtId="166" fontId="1" fillId="0" borderId="0" xfId="0" applyNumberFormat="1" applyFont="1" applyBorder="1" applyAlignment="1" applyProtection="1">
      <alignment horizontal="center"/>
      <protection hidden="1"/>
    </xf>
    <xf numFmtId="4" fontId="49" fillId="0" borderId="0" xfId="6" applyNumberFormat="1" applyFont="1" applyFill="1" applyBorder="1" applyAlignment="1" applyProtection="1">
      <alignment horizontal="center"/>
      <protection hidden="1"/>
    </xf>
    <xf numFmtId="0" fontId="50" fillId="13" borderId="0" xfId="0" applyFont="1" applyFill="1" applyAlignment="1" applyProtection="1">
      <alignment horizontal="center" vertical="center" wrapText="1"/>
      <protection hidden="1"/>
    </xf>
    <xf numFmtId="0" fontId="42" fillId="13" borderId="0" xfId="0" applyFont="1" applyFill="1" applyAlignment="1" applyProtection="1">
      <alignment horizontal="left" wrapText="1" indent="1"/>
      <protection hidden="1"/>
    </xf>
    <xf numFmtId="0" fontId="1" fillId="0" borderId="0" xfId="0" applyFont="1" applyBorder="1" applyAlignment="1" applyProtection="1">
      <alignment horizontal="left" wrapText="1" indent="1"/>
      <protection hidden="1"/>
    </xf>
    <xf numFmtId="0" fontId="9" fillId="0" borderId="0" xfId="0" applyFont="1" applyAlignment="1" applyProtection="1">
      <alignment horizontal="left" wrapText="1" indent="1"/>
      <protection hidden="1"/>
    </xf>
    <xf numFmtId="169" fontId="28" fillId="5" borderId="17" xfId="0" applyNumberFormat="1" applyFont="1" applyFill="1" applyBorder="1" applyAlignment="1" applyProtection="1">
      <alignment horizontal="left"/>
      <protection hidden="1"/>
    </xf>
    <xf numFmtId="169" fontId="17" fillId="5" borderId="18" xfId="0" applyNumberFormat="1" applyFont="1" applyFill="1" applyBorder="1" applyAlignment="1" applyProtection="1">
      <alignment horizontal="right"/>
      <protection hidden="1"/>
    </xf>
    <xf numFmtId="169" fontId="28" fillId="5" borderId="18" xfId="0" applyNumberFormat="1" applyFont="1" applyFill="1" applyBorder="1" applyAlignment="1" applyProtection="1">
      <alignment horizontal="left"/>
      <protection hidden="1"/>
    </xf>
    <xf numFmtId="167" fontId="28" fillId="5" borderId="25" xfId="0" applyNumberFormat="1" applyFont="1" applyFill="1" applyBorder="1" applyAlignment="1" applyProtection="1">
      <alignment horizontal="right"/>
      <protection hidden="1"/>
    </xf>
    <xf numFmtId="169" fontId="17" fillId="5" borderId="15" xfId="0" applyNumberFormat="1" applyFont="1" applyFill="1" applyBorder="1" applyAlignment="1" applyProtection="1">
      <alignment horizontal="center"/>
      <protection hidden="1"/>
    </xf>
    <xf numFmtId="169" fontId="17" fillId="5" borderId="0" xfId="0" applyNumberFormat="1" applyFont="1" applyFill="1" applyBorder="1" applyAlignment="1" applyProtection="1">
      <alignment horizontal="center"/>
      <protection hidden="1"/>
    </xf>
    <xf numFmtId="169" fontId="17" fillId="5" borderId="6" xfId="0" applyNumberFormat="1" applyFont="1" applyFill="1" applyBorder="1" applyAlignment="1" applyProtection="1">
      <alignment horizontal="center"/>
      <protection hidden="1"/>
    </xf>
    <xf numFmtId="169" fontId="17" fillId="5" borderId="8" xfId="0" applyNumberFormat="1" applyFont="1" applyFill="1" applyBorder="1" applyAlignment="1" applyProtection="1">
      <alignment horizontal="center"/>
      <protection hidden="1"/>
    </xf>
    <xf numFmtId="169" fontId="17" fillId="5" borderId="2" xfId="0" applyNumberFormat="1" applyFont="1" applyFill="1" applyBorder="1" applyAlignment="1" applyProtection="1">
      <alignment horizontal="center"/>
      <protection hidden="1"/>
    </xf>
    <xf numFmtId="169" fontId="17" fillId="5" borderId="4" xfId="0" applyNumberFormat="1" applyFont="1" applyFill="1" applyBorder="1" applyAlignment="1" applyProtection="1">
      <alignment horizontal="center"/>
      <protection hidden="1"/>
    </xf>
    <xf numFmtId="49" fontId="1" fillId="0" borderId="2" xfId="0" applyNumberFormat="1" applyFont="1" applyBorder="1" applyAlignment="1" applyProtection="1">
      <alignment horizontal="left"/>
      <protection locked="0"/>
    </xf>
    <xf numFmtId="4" fontId="0" fillId="0" borderId="8" xfId="0" applyNumberFormat="1" applyBorder="1" applyAlignment="1" applyProtection="1">
      <alignment horizontal="right"/>
      <protection hidden="1"/>
    </xf>
    <xf numFmtId="166" fontId="0" fillId="0" borderId="7" xfId="0" applyNumberFormat="1" applyBorder="1" applyProtection="1">
      <protection hidden="1"/>
    </xf>
    <xf numFmtId="2" fontId="0" fillId="0" borderId="8" xfId="0" applyNumberFormat="1" applyBorder="1" applyAlignment="1" applyProtection="1">
      <alignment horizontal="right"/>
      <protection hidden="1"/>
    </xf>
    <xf numFmtId="4" fontId="12" fillId="14" borderId="20" xfId="0" applyNumberFormat="1" applyFont="1" applyFill="1" applyBorder="1" applyAlignment="1" applyProtection="1">
      <alignment horizontal="center"/>
      <protection locked="0"/>
    </xf>
    <xf numFmtId="0" fontId="3" fillId="0" borderId="0" xfId="0" applyFont="1" applyBorder="1" applyAlignment="1" applyProtection="1">
      <alignment horizontal="left"/>
      <protection hidden="1"/>
    </xf>
    <xf numFmtId="0" fontId="3" fillId="0" borderId="0" xfId="0" applyFont="1" applyBorder="1" applyAlignment="1" applyProtection="1">
      <alignment horizontal="right"/>
      <protection hidden="1"/>
    </xf>
    <xf numFmtId="4" fontId="0" fillId="0" borderId="15" xfId="0" applyNumberFormat="1" applyBorder="1" applyAlignment="1" applyProtection="1">
      <alignment horizontal="right"/>
      <protection hidden="1"/>
    </xf>
    <xf numFmtId="49" fontId="8" fillId="8" borderId="33" xfId="0" applyNumberFormat="1" applyFont="1" applyFill="1" applyBorder="1" applyAlignment="1" applyProtection="1">
      <alignment horizontal="left"/>
      <protection hidden="1"/>
    </xf>
    <xf numFmtId="49" fontId="0" fillId="0" borderId="12" xfId="0" applyNumberFormat="1" applyFill="1" applyBorder="1" applyAlignment="1" applyProtection="1">
      <protection hidden="1"/>
    </xf>
    <xf numFmtId="49" fontId="0" fillId="0" borderId="1" xfId="0" applyNumberFormat="1" applyBorder="1" applyAlignment="1" applyProtection="1">
      <alignment horizontal="center"/>
      <protection hidden="1"/>
    </xf>
    <xf numFmtId="4" fontId="0" fillId="9" borderId="26" xfId="0" applyNumberFormat="1" applyFill="1" applyBorder="1" applyAlignment="1" applyProtection="1">
      <alignment horizontal="center"/>
      <protection hidden="1"/>
    </xf>
    <xf numFmtId="169" fontId="0" fillId="9" borderId="15" xfId="0" applyNumberFormat="1" applyFill="1" applyBorder="1" applyAlignment="1" applyProtection="1">
      <alignment horizontal="center"/>
      <protection hidden="1"/>
    </xf>
    <xf numFmtId="169" fontId="0" fillId="9" borderId="8" xfId="0" applyNumberFormat="1" applyFill="1" applyBorder="1" applyAlignment="1" applyProtection="1">
      <alignment horizontal="center"/>
      <protection hidden="1"/>
    </xf>
    <xf numFmtId="4" fontId="17" fillId="9" borderId="27" xfId="0" applyNumberFormat="1" applyFont="1" applyFill="1" applyBorder="1" applyAlignment="1" applyProtection="1">
      <alignment horizontal="center"/>
      <protection hidden="1"/>
    </xf>
    <xf numFmtId="4" fontId="17" fillId="9" borderId="12" xfId="0" applyNumberFormat="1" applyFont="1" applyFill="1" applyBorder="1" applyAlignment="1" applyProtection="1">
      <alignment horizontal="center"/>
      <protection hidden="1"/>
    </xf>
    <xf numFmtId="169" fontId="17" fillId="9" borderId="6" xfId="0" applyNumberFormat="1" applyFont="1" applyFill="1" applyBorder="1" applyAlignment="1" applyProtection="1">
      <alignment horizontal="center"/>
      <protection hidden="1"/>
    </xf>
    <xf numFmtId="0" fontId="0" fillId="9" borderId="26" xfId="0" applyFill="1" applyBorder="1" applyAlignment="1" applyProtection="1">
      <alignment horizontal="center"/>
      <protection hidden="1"/>
    </xf>
    <xf numFmtId="0" fontId="0" fillId="9" borderId="27" xfId="0" applyFill="1" applyBorder="1" applyAlignment="1" applyProtection="1">
      <alignment horizontal="center"/>
      <protection hidden="1"/>
    </xf>
    <xf numFmtId="169" fontId="0" fillId="9" borderId="0" xfId="0" applyNumberFormat="1" applyFill="1" applyBorder="1" applyAlignment="1" applyProtection="1">
      <alignment horizontal="center"/>
      <protection hidden="1"/>
    </xf>
    <xf numFmtId="169" fontId="0" fillId="9" borderId="2" xfId="0" applyNumberFormat="1" applyFill="1" applyBorder="1" applyAlignment="1" applyProtection="1">
      <alignment horizontal="center"/>
      <protection hidden="1"/>
    </xf>
    <xf numFmtId="169" fontId="17" fillId="9" borderId="4" xfId="0" applyNumberFormat="1" applyFont="1" applyFill="1" applyBorder="1" applyAlignment="1" applyProtection="1">
      <alignment horizontal="center"/>
      <protection hidden="1"/>
    </xf>
    <xf numFmtId="169" fontId="17" fillId="5" borderId="27" xfId="0" applyNumberFormat="1" applyFont="1" applyFill="1" applyBorder="1" applyAlignment="1" applyProtection="1">
      <alignment horizontal="center"/>
      <protection hidden="1"/>
    </xf>
    <xf numFmtId="169" fontId="17" fillId="5" borderId="12" xfId="0" applyNumberFormat="1" applyFont="1" applyFill="1" applyBorder="1" applyAlignment="1" applyProtection="1">
      <alignment horizontal="center"/>
      <protection hidden="1"/>
    </xf>
    <xf numFmtId="169" fontId="21" fillId="9" borderId="26" xfId="0" applyNumberFormat="1" applyFont="1" applyFill="1" applyBorder="1" applyAlignment="1" applyProtection="1">
      <alignment horizontal="center"/>
      <protection hidden="1"/>
    </xf>
    <xf numFmtId="169" fontId="17" fillId="9" borderId="27" xfId="0" applyNumberFormat="1" applyFont="1" applyFill="1" applyBorder="1" applyAlignment="1" applyProtection="1">
      <alignment horizontal="center"/>
      <protection hidden="1"/>
    </xf>
    <xf numFmtId="169" fontId="17" fillId="9" borderId="2" xfId="0" applyNumberFormat="1" applyFont="1" applyFill="1" applyBorder="1" applyAlignment="1" applyProtection="1">
      <alignment horizontal="center"/>
      <protection hidden="1"/>
    </xf>
    <xf numFmtId="169" fontId="17" fillId="7" borderId="12" xfId="0" applyNumberFormat="1" applyFont="1" applyFill="1" applyBorder="1" applyAlignment="1" applyProtection="1">
      <alignment horizontal="center"/>
      <protection hidden="1"/>
    </xf>
    <xf numFmtId="169" fontId="17" fillId="7" borderId="4" xfId="0" applyNumberFormat="1" applyFont="1" applyFill="1" applyBorder="1" applyAlignment="1" applyProtection="1">
      <alignment horizontal="center"/>
      <protection hidden="1"/>
    </xf>
    <xf numFmtId="169" fontId="44" fillId="13" borderId="26" xfId="0" applyNumberFormat="1" applyFont="1" applyFill="1" applyBorder="1" applyAlignment="1" applyProtection="1">
      <alignment horizontal="center"/>
      <protection hidden="1"/>
    </xf>
    <xf numFmtId="169" fontId="9" fillId="13" borderId="15" xfId="0" applyNumberFormat="1" applyFont="1" applyFill="1" applyBorder="1" applyAlignment="1" applyProtection="1">
      <alignment horizontal="center"/>
      <protection hidden="1"/>
    </xf>
    <xf numFmtId="0" fontId="3" fillId="13" borderId="8" xfId="0" applyFont="1" applyFill="1" applyBorder="1" applyAlignment="1" applyProtection="1">
      <alignment horizontal="center"/>
      <protection hidden="1"/>
    </xf>
    <xf numFmtId="169" fontId="41" fillId="13" borderId="27" xfId="0" applyNumberFormat="1" applyFont="1" applyFill="1" applyBorder="1" applyAlignment="1" applyProtection="1">
      <alignment horizontal="center"/>
      <protection hidden="1"/>
    </xf>
    <xf numFmtId="169" fontId="17" fillId="13" borderId="0" xfId="0" applyNumberFormat="1" applyFont="1" applyFill="1" applyBorder="1" applyAlignment="1" applyProtection="1">
      <alignment horizontal="center"/>
      <protection hidden="1"/>
    </xf>
    <xf numFmtId="0" fontId="3" fillId="13" borderId="2" xfId="0" applyFont="1" applyFill="1" applyBorder="1" applyAlignment="1" applyProtection="1">
      <alignment horizontal="center"/>
      <protection hidden="1"/>
    </xf>
    <xf numFmtId="169" fontId="40" fillId="13" borderId="12" xfId="0" applyNumberFormat="1" applyFont="1" applyFill="1" applyBorder="1" applyAlignment="1" applyProtection="1">
      <alignment horizontal="center"/>
      <protection hidden="1"/>
    </xf>
    <xf numFmtId="169" fontId="40" fillId="13" borderId="6" xfId="0" applyNumberFormat="1" applyFont="1" applyFill="1" applyBorder="1" applyAlignment="1" applyProtection="1">
      <alignment horizontal="center"/>
      <protection hidden="1"/>
    </xf>
    <xf numFmtId="0" fontId="40" fillId="13" borderId="4" xfId="0" applyFont="1" applyFill="1" applyBorder="1" applyAlignment="1" applyProtection="1">
      <alignment horizontal="center"/>
      <protection hidden="1"/>
    </xf>
    <xf numFmtId="0" fontId="17" fillId="5" borderId="26" xfId="0" applyFont="1" applyFill="1" applyBorder="1" applyAlignment="1" applyProtection="1">
      <alignment horizontal="center"/>
      <protection hidden="1"/>
    </xf>
    <xf numFmtId="169" fontId="17" fillId="5" borderId="7" xfId="0" applyNumberFormat="1" applyFont="1" applyFill="1" applyBorder="1" applyAlignment="1" applyProtection="1">
      <alignment horizontal="center"/>
      <protection hidden="1"/>
    </xf>
    <xf numFmtId="0" fontId="17" fillId="5" borderId="27" xfId="0" applyFont="1" applyFill="1" applyBorder="1" applyAlignment="1" applyProtection="1">
      <alignment horizontal="center"/>
      <protection hidden="1"/>
    </xf>
    <xf numFmtId="169" fontId="17" fillId="5" borderId="1" xfId="0" applyNumberFormat="1" applyFont="1" applyFill="1" applyBorder="1" applyAlignment="1" applyProtection="1">
      <alignment horizontal="center"/>
      <protection hidden="1"/>
    </xf>
    <xf numFmtId="169" fontId="28" fillId="13" borderId="18" xfId="0" applyNumberFormat="1" applyFont="1" applyFill="1" applyBorder="1" applyAlignment="1" applyProtection="1">
      <alignment horizontal="left"/>
      <protection hidden="1"/>
    </xf>
    <xf numFmtId="0" fontId="0" fillId="13" borderId="18" xfId="0" applyFill="1" applyBorder="1" applyProtection="1">
      <protection hidden="1"/>
    </xf>
    <xf numFmtId="169" fontId="40" fillId="13" borderId="8" xfId="0" applyNumberFormat="1" applyFont="1" applyFill="1" applyBorder="1" applyAlignment="1" applyProtection="1">
      <alignment horizontal="center"/>
      <protection hidden="1"/>
    </xf>
    <xf numFmtId="4" fontId="0" fillId="15" borderId="0" xfId="0" applyNumberFormat="1" applyFill="1" applyBorder="1" applyAlignment="1" applyProtection="1">
      <alignment horizontal="right"/>
      <protection hidden="1"/>
    </xf>
    <xf numFmtId="39" fontId="0" fillId="15" borderId="8" xfId="0" applyNumberFormat="1" applyFill="1" applyBorder="1" applyAlignment="1" applyProtection="1">
      <alignment horizontal="right"/>
      <protection hidden="1"/>
    </xf>
    <xf numFmtId="0" fontId="7" fillId="14" borderId="18" xfId="0" applyFont="1" applyFill="1" applyBorder="1" applyAlignment="1" applyProtection="1">
      <alignment horizontal="left"/>
      <protection hidden="1"/>
    </xf>
    <xf numFmtId="0" fontId="19" fillId="16" borderId="22" xfId="0" applyFont="1" applyFill="1" applyBorder="1" applyAlignment="1" applyProtection="1">
      <alignment horizontal="left"/>
      <protection hidden="1"/>
    </xf>
    <xf numFmtId="167" fontId="19" fillId="6" borderId="20" xfId="0" applyNumberFormat="1" applyFont="1" applyFill="1" applyBorder="1" applyAlignment="1" applyProtection="1">
      <alignment horizontal="left"/>
      <protection hidden="1"/>
    </xf>
    <xf numFmtId="169" fontId="51" fillId="0" borderId="0" xfId="0" applyNumberFormat="1" applyFont="1" applyFill="1" applyBorder="1" applyAlignment="1" applyProtection="1">
      <protection hidden="1"/>
    </xf>
    <xf numFmtId="4" fontId="20" fillId="6" borderId="20" xfId="0" applyNumberFormat="1" applyFont="1" applyFill="1" applyBorder="1" applyAlignment="1" applyProtection="1">
      <alignment horizontal="center"/>
      <protection hidden="1"/>
    </xf>
    <xf numFmtId="168" fontId="20" fillId="6" borderId="20" xfId="0" applyNumberFormat="1" applyFont="1" applyFill="1" applyBorder="1" applyAlignment="1" applyProtection="1">
      <alignment horizontal="center"/>
      <protection hidden="1"/>
    </xf>
    <xf numFmtId="4" fontId="22" fillId="0" borderId="0" xfId="0" applyNumberFormat="1" applyFont="1" applyFill="1" applyBorder="1" applyAlignment="1" applyProtection="1">
      <protection hidden="1"/>
    </xf>
    <xf numFmtId="0" fontId="22" fillId="0" borderId="0" xfId="0" applyFont="1" applyFill="1" applyBorder="1" applyAlignment="1" applyProtection="1">
      <protection hidden="1"/>
    </xf>
    <xf numFmtId="0" fontId="1" fillId="0" borderId="0" xfId="0" applyFont="1" applyProtection="1">
      <protection hidden="1"/>
    </xf>
    <xf numFmtId="0" fontId="3" fillId="0" borderId="7" xfId="0" applyNumberFormat="1" applyFont="1" applyBorder="1" applyAlignment="1" applyProtection="1">
      <alignment horizontal="center"/>
      <protection hidden="1"/>
    </xf>
    <xf numFmtId="0" fontId="10" fillId="15" borderId="15" xfId="0" applyFont="1" applyFill="1" applyBorder="1" applyProtection="1">
      <protection hidden="1"/>
    </xf>
    <xf numFmtId="4" fontId="0" fillId="15" borderId="2" xfId="0" applyNumberFormat="1" applyFill="1" applyBorder="1" applyAlignment="1" applyProtection="1">
      <alignment horizontal="right"/>
      <protection hidden="1"/>
    </xf>
    <xf numFmtId="0" fontId="0" fillId="0" borderId="3" xfId="0" applyNumberFormat="1" applyBorder="1" applyAlignment="1" applyProtection="1">
      <alignment horizontal="center"/>
      <protection hidden="1"/>
    </xf>
    <xf numFmtId="49" fontId="0" fillId="0" borderId="4" xfId="0" applyNumberFormat="1" applyBorder="1" applyAlignment="1" applyProtection="1">
      <alignment horizontal="left"/>
      <protection hidden="1"/>
    </xf>
    <xf numFmtId="4" fontId="0" fillId="0" borderId="6" xfId="0" applyNumberFormat="1" applyBorder="1" applyAlignment="1" applyProtection="1">
      <alignment horizontal="right"/>
      <protection hidden="1"/>
    </xf>
    <xf numFmtId="0" fontId="0" fillId="0" borderId="1" xfId="0" applyBorder="1" applyProtection="1">
      <protection hidden="1"/>
    </xf>
    <xf numFmtId="0" fontId="0" fillId="0" borderId="1" xfId="0" applyBorder="1" applyAlignment="1" applyProtection="1">
      <alignment horizontal="center"/>
      <protection hidden="1"/>
    </xf>
    <xf numFmtId="4" fontId="0" fillId="0" borderId="11" xfId="0" applyNumberFormat="1" applyBorder="1" applyAlignment="1" applyProtection="1">
      <alignment horizontal="right"/>
      <protection hidden="1"/>
    </xf>
    <xf numFmtId="4" fontId="0" fillId="0" borderId="34" xfId="0" applyNumberFormat="1" applyBorder="1" applyAlignment="1" applyProtection="1">
      <alignment horizontal="right"/>
      <protection hidden="1"/>
    </xf>
    <xf numFmtId="4" fontId="0" fillId="0" borderId="35" xfId="0" applyNumberFormat="1" applyBorder="1" applyAlignment="1" applyProtection="1">
      <alignment horizontal="right"/>
      <protection hidden="1"/>
    </xf>
    <xf numFmtId="0" fontId="0" fillId="0" borderId="3" xfId="0" applyBorder="1" applyProtection="1">
      <protection hidden="1"/>
    </xf>
    <xf numFmtId="0" fontId="6" fillId="17" borderId="22" xfId="0" applyFont="1" applyFill="1" applyBorder="1" applyAlignment="1" applyProtection="1">
      <alignment horizontal="left"/>
      <protection hidden="1"/>
    </xf>
    <xf numFmtId="0" fontId="6" fillId="13" borderId="30" xfId="0" applyFont="1" applyFill="1" applyBorder="1" applyAlignment="1" applyProtection="1">
      <alignment horizontal="left"/>
      <protection hidden="1"/>
    </xf>
    <xf numFmtId="0" fontId="1" fillId="0" borderId="0" xfId="0" applyFont="1" applyBorder="1" applyProtection="1">
      <protection hidden="1"/>
    </xf>
    <xf numFmtId="4" fontId="0" fillId="0" borderId="0" xfId="0" applyNumberFormat="1" applyAlignment="1" applyProtection="1">
      <alignment horizontal="left"/>
      <protection hidden="1"/>
    </xf>
    <xf numFmtId="4" fontId="0" fillId="0" borderId="24" xfId="0" applyNumberFormat="1" applyBorder="1" applyAlignment="1" applyProtection="1">
      <alignment horizontal="center"/>
      <protection hidden="1"/>
    </xf>
    <xf numFmtId="165" fontId="0" fillId="0" borderId="22" xfId="0" applyNumberFormat="1" applyBorder="1" applyAlignment="1" applyProtection="1">
      <alignment horizontal="center"/>
      <protection hidden="1"/>
    </xf>
    <xf numFmtId="4" fontId="39" fillId="0" borderId="0" xfId="0" applyNumberFormat="1" applyFont="1" applyAlignment="1" applyProtection="1">
      <alignment horizontal="left"/>
      <protection hidden="1"/>
    </xf>
    <xf numFmtId="44" fontId="39" fillId="0" borderId="5" xfId="3" applyFont="1" applyBorder="1" applyAlignment="1" applyProtection="1">
      <alignment horizontal="center"/>
      <protection hidden="1"/>
    </xf>
    <xf numFmtId="4" fontId="0" fillId="0" borderId="36" xfId="0" applyNumberFormat="1" applyBorder="1" applyAlignment="1" applyProtection="1">
      <alignment horizontal="right"/>
      <protection hidden="1"/>
    </xf>
    <xf numFmtId="44" fontId="9" fillId="0" borderId="5" xfId="3" applyFont="1" applyBorder="1" applyProtection="1">
      <protection hidden="1"/>
    </xf>
    <xf numFmtId="4" fontId="12" fillId="6" borderId="20" xfId="0" applyNumberFormat="1" applyFont="1" applyFill="1" applyBorder="1" applyAlignment="1" applyProtection="1">
      <alignment horizontal="center"/>
      <protection locked="0" hidden="1"/>
    </xf>
    <xf numFmtId="168" fontId="20" fillId="6" borderId="20" xfId="0" applyNumberFormat="1" applyFont="1" applyFill="1" applyBorder="1" applyAlignment="1" applyProtection="1">
      <alignment horizontal="center"/>
      <protection locked="0" hidden="1"/>
    </xf>
    <xf numFmtId="2" fontId="12" fillId="14" borderId="20" xfId="0" applyNumberFormat="1" applyFont="1" applyFill="1" applyBorder="1" applyAlignment="1" applyProtection="1">
      <alignment horizontal="center"/>
      <protection hidden="1"/>
    </xf>
    <xf numFmtId="166" fontId="0" fillId="0" borderId="37" xfId="0" applyNumberFormat="1" applyBorder="1" applyAlignment="1" applyProtection="1">
      <alignment horizontal="center"/>
      <protection hidden="1"/>
    </xf>
    <xf numFmtId="0" fontId="0" fillId="0" borderId="2" xfId="0" applyBorder="1" applyAlignment="1" applyProtection="1">
      <alignment horizontal="left"/>
      <protection hidden="1"/>
    </xf>
    <xf numFmtId="43" fontId="0" fillId="0" borderId="0" xfId="1" applyFont="1" applyProtection="1">
      <protection hidden="1"/>
    </xf>
    <xf numFmtId="49" fontId="0" fillId="0" borderId="0" xfId="0" applyNumberFormat="1" applyBorder="1" applyAlignment="1" applyProtection="1">
      <alignment horizontal="center"/>
      <protection hidden="1"/>
    </xf>
    <xf numFmtId="49" fontId="0" fillId="0" borderId="6" xfId="0" applyNumberFormat="1" applyBorder="1" applyAlignment="1" applyProtection="1">
      <alignment horizontal="center"/>
      <protection hidden="1"/>
    </xf>
    <xf numFmtId="166" fontId="0" fillId="0" borderId="38" xfId="0" applyNumberFormat="1" applyBorder="1" applyAlignment="1" applyProtection="1">
      <alignment horizontal="center"/>
      <protection hidden="1"/>
    </xf>
    <xf numFmtId="4" fontId="0" fillId="0" borderId="4" xfId="0" applyNumberFormat="1" applyBorder="1" applyAlignment="1" applyProtection="1">
      <alignment horizontal="left"/>
      <protection hidden="1"/>
    </xf>
    <xf numFmtId="4" fontId="0" fillId="0" borderId="0" xfId="0" applyNumberFormat="1" applyBorder="1" applyAlignment="1" applyProtection="1">
      <alignment horizontal="center"/>
      <protection hidden="1"/>
    </xf>
    <xf numFmtId="0" fontId="0" fillId="0" borderId="7" xfId="0" applyBorder="1" applyProtection="1">
      <protection hidden="1"/>
    </xf>
    <xf numFmtId="2" fontId="0" fillId="0" borderId="0" xfId="0" applyNumberFormat="1" applyBorder="1" applyAlignment="1" applyProtection="1">
      <alignment horizontal="right"/>
      <protection hidden="1"/>
    </xf>
    <xf numFmtId="0" fontId="3" fillId="0" borderId="1" xfId="0" applyFont="1" applyBorder="1" applyProtection="1">
      <protection hidden="1"/>
    </xf>
    <xf numFmtId="171" fontId="0" fillId="0" borderId="7" xfId="0" applyNumberFormat="1" applyBorder="1" applyAlignment="1" applyProtection="1">
      <alignment horizontal="center"/>
      <protection hidden="1"/>
    </xf>
    <xf numFmtId="0" fontId="13" fillId="0" borderId="0" xfId="0" applyFont="1" applyFill="1" applyBorder="1" applyAlignment="1" applyProtection="1">
      <alignment horizontal="left"/>
      <protection hidden="1"/>
    </xf>
    <xf numFmtId="0" fontId="13" fillId="0" borderId="0" xfId="0" applyFont="1" applyProtection="1">
      <protection hidden="1"/>
    </xf>
    <xf numFmtId="15" fontId="0" fillId="0" borderId="0" xfId="0" applyNumberFormat="1" applyProtection="1">
      <protection hidden="1"/>
    </xf>
    <xf numFmtId="167" fontId="13" fillId="0" borderId="0" xfId="0" applyNumberFormat="1" applyFont="1" applyProtection="1">
      <protection hidden="1"/>
    </xf>
    <xf numFmtId="0" fontId="40" fillId="13" borderId="26" xfId="0" applyFont="1" applyFill="1" applyBorder="1" applyProtection="1">
      <protection hidden="1"/>
    </xf>
    <xf numFmtId="0" fontId="40" fillId="13" borderId="27" xfId="0" applyFont="1" applyFill="1" applyBorder="1" applyProtection="1">
      <protection hidden="1"/>
    </xf>
    <xf numFmtId="0" fontId="40" fillId="13" borderId="27" xfId="0" applyFont="1" applyFill="1" applyBorder="1" applyAlignment="1" applyProtection="1">
      <alignment horizontal="right"/>
      <protection hidden="1"/>
    </xf>
    <xf numFmtId="167" fontId="3" fillId="0" borderId="26" xfId="0" applyNumberFormat="1" applyFont="1" applyBorder="1" applyAlignment="1" applyProtection="1">
      <alignment horizontal="center"/>
      <protection hidden="1"/>
    </xf>
    <xf numFmtId="167" fontId="3" fillId="0" borderId="27" xfId="0" applyNumberFormat="1" applyFont="1" applyBorder="1" applyAlignment="1" applyProtection="1">
      <alignment horizontal="center"/>
      <protection hidden="1"/>
    </xf>
    <xf numFmtId="0" fontId="40" fillId="13" borderId="12" xfId="0" applyFont="1" applyFill="1" applyBorder="1" applyProtection="1">
      <protection hidden="1"/>
    </xf>
    <xf numFmtId="0" fontId="40" fillId="13" borderId="12" xfId="0" applyFont="1" applyFill="1" applyBorder="1" applyAlignment="1" applyProtection="1">
      <alignment horizontal="right"/>
      <protection hidden="1"/>
    </xf>
    <xf numFmtId="44" fontId="3" fillId="14" borderId="31" xfId="3" applyFont="1" applyFill="1" applyBorder="1" applyProtection="1">
      <protection hidden="1"/>
    </xf>
    <xf numFmtId="44" fontId="24" fillId="14" borderId="31" xfId="3" applyFont="1" applyFill="1" applyBorder="1" applyProtection="1">
      <protection hidden="1"/>
    </xf>
    <xf numFmtId="0" fontId="9" fillId="0" borderId="0" xfId="0" applyFont="1" applyAlignment="1" applyProtection="1">
      <alignment horizontal="left"/>
      <protection hidden="1"/>
    </xf>
    <xf numFmtId="43" fontId="0" fillId="0" borderId="0" xfId="1" applyFont="1" applyAlignment="1" applyProtection="1">
      <alignment horizontal="center"/>
      <protection hidden="1"/>
    </xf>
    <xf numFmtId="43" fontId="1" fillId="0" borderId="0" xfId="1" applyFont="1" applyProtection="1">
      <protection hidden="1"/>
    </xf>
    <xf numFmtId="43" fontId="0" fillId="0" borderId="24" xfId="1" applyFont="1" applyBorder="1" applyProtection="1">
      <protection hidden="1"/>
    </xf>
    <xf numFmtId="43" fontId="0" fillId="0" borderId="5" xfId="1" applyFont="1" applyBorder="1" applyProtection="1">
      <protection hidden="1"/>
    </xf>
    <xf numFmtId="43" fontId="44" fillId="0" borderId="0" xfId="1" applyFont="1" applyProtection="1">
      <protection hidden="1"/>
    </xf>
    <xf numFmtId="43" fontId="0" fillId="0" borderId="0" xfId="0" applyNumberFormat="1" applyProtection="1">
      <protection hidden="1"/>
    </xf>
    <xf numFmtId="43" fontId="9" fillId="0" borderId="0" xfId="1" applyFont="1" applyProtection="1">
      <protection hidden="1"/>
    </xf>
    <xf numFmtId="43" fontId="9" fillId="0" borderId="0" xfId="0" applyNumberFormat="1" applyFont="1" applyProtection="1">
      <protection hidden="1"/>
    </xf>
    <xf numFmtId="43" fontId="0" fillId="0" borderId="0" xfId="0" applyNumberFormat="1" applyBorder="1" applyProtection="1">
      <protection hidden="1"/>
    </xf>
    <xf numFmtId="0" fontId="1" fillId="0" borderId="0" xfId="0" applyFont="1" applyFill="1" applyBorder="1" applyProtection="1">
      <protection hidden="1"/>
    </xf>
    <xf numFmtId="2" fontId="1" fillId="0" borderId="0" xfId="0" applyNumberFormat="1" applyFont="1" applyFill="1" applyBorder="1" applyProtection="1">
      <protection hidden="1"/>
    </xf>
    <xf numFmtId="0" fontId="13" fillId="0" borderId="0" xfId="0" applyFont="1" applyFill="1" applyBorder="1" applyProtection="1">
      <protection hidden="1"/>
    </xf>
    <xf numFmtId="167" fontId="13" fillId="0" borderId="0" xfId="0" applyNumberFormat="1" applyFont="1" applyFill="1" applyBorder="1" applyProtection="1">
      <protection hidden="1"/>
    </xf>
    <xf numFmtId="0" fontId="23" fillId="0" borderId="0" xfId="0" applyFont="1" applyFill="1" applyBorder="1" applyAlignment="1" applyProtection="1">
      <alignment horizontal="center"/>
      <protection hidden="1"/>
    </xf>
    <xf numFmtId="0" fontId="23" fillId="0" borderId="0" xfId="0" applyFont="1" applyFill="1" applyBorder="1" applyProtection="1">
      <protection hidden="1"/>
    </xf>
    <xf numFmtId="0" fontId="9" fillId="0" borderId="0" xfId="0" applyFont="1" applyFill="1" applyBorder="1" applyProtection="1">
      <protection hidden="1"/>
    </xf>
    <xf numFmtId="43" fontId="23" fillId="0" borderId="0" xfId="1" applyFont="1" applyFill="1" applyBorder="1" applyProtection="1">
      <protection hidden="1"/>
    </xf>
    <xf numFmtId="0" fontId="29" fillId="0" borderId="0" xfId="0" applyFont="1" applyFill="1" applyBorder="1" applyProtection="1">
      <protection hidden="1"/>
    </xf>
    <xf numFmtId="43" fontId="23" fillId="0" borderId="0" xfId="0" applyNumberFormat="1" applyFont="1" applyFill="1" applyBorder="1" applyProtection="1">
      <protection hidden="1"/>
    </xf>
    <xf numFmtId="43" fontId="1" fillId="0" borderId="0" xfId="1" applyFont="1" applyFill="1" applyBorder="1" applyProtection="1">
      <protection hidden="1"/>
    </xf>
    <xf numFmtId="167" fontId="13" fillId="0" borderId="0" xfId="0" applyNumberFormat="1" applyFont="1" applyAlignment="1" applyProtection="1">
      <alignment horizontal="left"/>
      <protection hidden="1"/>
    </xf>
    <xf numFmtId="43" fontId="0" fillId="0" borderId="0" xfId="0" applyNumberFormat="1" applyAlignment="1" applyProtection="1">
      <alignment horizontal="right"/>
      <protection hidden="1"/>
    </xf>
    <xf numFmtId="43" fontId="1" fillId="0" borderId="0" xfId="0" applyNumberFormat="1" applyFont="1" applyAlignment="1" applyProtection="1">
      <alignment horizontal="right"/>
      <protection hidden="1"/>
    </xf>
    <xf numFmtId="0" fontId="1" fillId="0" borderId="0" xfId="0" applyFont="1" applyAlignment="1" applyProtection="1">
      <alignment horizontal="left"/>
      <protection hidden="1"/>
    </xf>
    <xf numFmtId="2" fontId="31" fillId="15" borderId="7" xfId="1" applyNumberFormat="1" applyFont="1" applyFill="1" applyBorder="1" applyAlignment="1" applyProtection="1">
      <alignment horizontal="center"/>
      <protection hidden="1"/>
    </xf>
    <xf numFmtId="2" fontId="0" fillId="15" borderId="7" xfId="0" applyNumberFormat="1" applyFill="1" applyBorder="1" applyAlignment="1" applyProtection="1">
      <alignment horizontal="center"/>
      <protection hidden="1"/>
    </xf>
    <xf numFmtId="169" fontId="0" fillId="0" borderId="0" xfId="0" applyNumberFormat="1" applyBorder="1" applyAlignment="1" applyProtection="1">
      <alignment horizontal="right"/>
      <protection hidden="1"/>
    </xf>
    <xf numFmtId="166" fontId="1" fillId="0" borderId="13" xfId="0" applyNumberFormat="1" applyFont="1" applyBorder="1" applyAlignment="1" applyProtection="1">
      <alignment horizontal="center"/>
      <protection hidden="1"/>
    </xf>
    <xf numFmtId="49" fontId="1" fillId="0" borderId="0" xfId="0" applyNumberFormat="1" applyFont="1" applyBorder="1" applyAlignment="1" applyProtection="1">
      <alignment horizontal="center"/>
      <protection hidden="1"/>
    </xf>
    <xf numFmtId="49" fontId="22" fillId="0" borderId="0" xfId="0" applyNumberFormat="1" applyFont="1" applyBorder="1" applyProtection="1">
      <protection hidden="1"/>
    </xf>
    <xf numFmtId="165" fontId="1" fillId="0" borderId="0" xfId="0" applyNumberFormat="1" applyFont="1" applyBorder="1" applyAlignment="1" applyProtection="1">
      <alignment horizontal="left"/>
      <protection hidden="1"/>
    </xf>
    <xf numFmtId="4" fontId="47" fillId="0" borderId="0" xfId="0" applyNumberFormat="1" applyFont="1" applyBorder="1" applyAlignment="1" applyProtection="1">
      <alignment horizontal="center"/>
      <protection hidden="1"/>
    </xf>
    <xf numFmtId="0" fontId="0" fillId="0" borderId="0" xfId="0" applyBorder="1" applyAlignment="1" applyProtection="1">
      <alignment horizontal="left"/>
      <protection hidden="1"/>
    </xf>
    <xf numFmtId="0" fontId="39" fillId="0" borderId="0" xfId="0" applyFont="1" applyBorder="1" applyProtection="1">
      <protection hidden="1"/>
    </xf>
    <xf numFmtId="165" fontId="39" fillId="0" borderId="0" xfId="3" applyNumberFormat="1" applyFont="1" applyBorder="1" applyAlignment="1" applyProtection="1">
      <alignment horizontal="center"/>
      <protection hidden="1"/>
    </xf>
    <xf numFmtId="4" fontId="0" fillId="0" borderId="0" xfId="0" applyNumberFormat="1" applyBorder="1" applyAlignment="1" applyProtection="1">
      <alignment horizontal="left"/>
      <protection hidden="1"/>
    </xf>
    <xf numFmtId="4" fontId="39" fillId="0" borderId="0" xfId="0" applyNumberFormat="1" applyFont="1" applyBorder="1" applyAlignment="1" applyProtection="1">
      <alignment horizontal="left"/>
      <protection hidden="1"/>
    </xf>
    <xf numFmtId="44" fontId="39" fillId="0" borderId="0" xfId="3" applyFont="1" applyBorder="1" applyAlignment="1" applyProtection="1">
      <alignment horizontal="center"/>
      <protection hidden="1"/>
    </xf>
    <xf numFmtId="0" fontId="23" fillId="0" borderId="0" xfId="0" applyFont="1" applyAlignment="1" applyProtection="1">
      <alignment horizontal="center"/>
      <protection locked="0"/>
    </xf>
    <xf numFmtId="43" fontId="23" fillId="0" borderId="0" xfId="1" applyFont="1" applyAlignment="1" applyProtection="1">
      <alignment horizontal="center"/>
      <protection locked="0"/>
    </xf>
    <xf numFmtId="43" fontId="23" fillId="0" borderId="0" xfId="1" applyFont="1" applyAlignment="1" applyProtection="1">
      <alignment horizontal="center"/>
    </xf>
    <xf numFmtId="44" fontId="23" fillId="0" borderId="5" xfId="3" applyFont="1" applyBorder="1" applyAlignment="1" applyProtection="1">
      <alignment horizontal="center"/>
      <protection locked="0"/>
    </xf>
    <xf numFmtId="43" fontId="23" fillId="0" borderId="0" xfId="1" applyFont="1" applyAlignment="1" applyProtection="1">
      <alignment horizontal="center"/>
      <protection hidden="1"/>
    </xf>
    <xf numFmtId="167" fontId="13" fillId="0" borderId="0" xfId="0" applyNumberFormat="1" applyFont="1" applyFill="1" applyBorder="1" applyAlignment="1" applyProtection="1">
      <alignment horizontal="left"/>
      <protection hidden="1"/>
    </xf>
    <xf numFmtId="0" fontId="13" fillId="0" borderId="0" xfId="8" applyFont="1" applyFill="1" applyBorder="1" applyAlignment="1" applyProtection="1">
      <alignment horizontal="left"/>
      <protection locked="0"/>
    </xf>
    <xf numFmtId="0" fontId="13" fillId="0" borderId="0" xfId="8" applyFont="1" applyProtection="1">
      <protection locked="0"/>
    </xf>
    <xf numFmtId="0" fontId="13" fillId="0" borderId="0" xfId="8" applyFont="1" applyAlignment="1" applyProtection="1">
      <alignment horizontal="left"/>
      <protection locked="0"/>
    </xf>
    <xf numFmtId="0" fontId="9" fillId="0" borderId="0" xfId="8" applyFont="1" applyAlignment="1">
      <alignment horizontal="center"/>
    </xf>
    <xf numFmtId="0" fontId="37" fillId="0" borderId="0" xfId="8" applyAlignment="1">
      <alignment horizontal="center"/>
    </xf>
    <xf numFmtId="0" fontId="13" fillId="0" borderId="0" xfId="8" applyFont="1" applyAlignment="1">
      <alignment horizontal="center"/>
    </xf>
    <xf numFmtId="0" fontId="37" fillId="0" borderId="0" xfId="8" applyProtection="1">
      <protection locked="0"/>
    </xf>
    <xf numFmtId="0" fontId="37" fillId="0" borderId="0" xfId="8"/>
    <xf numFmtId="43" fontId="37" fillId="0" borderId="0" xfId="2" applyFont="1"/>
    <xf numFmtId="43" fontId="37" fillId="0" borderId="0" xfId="2" applyFont="1" applyAlignment="1" applyProtection="1">
      <alignment horizontal="center"/>
      <protection locked="0"/>
    </xf>
    <xf numFmtId="43" fontId="37" fillId="0" borderId="0" xfId="2" applyFont="1" applyProtection="1">
      <protection locked="0"/>
    </xf>
    <xf numFmtId="0" fontId="9" fillId="0" borderId="0" xfId="8" applyFont="1"/>
    <xf numFmtId="0" fontId="1" fillId="0" borderId="0" xfId="8" applyFont="1"/>
    <xf numFmtId="43" fontId="37" fillId="0" borderId="22" xfId="2" applyFont="1" applyBorder="1"/>
    <xf numFmtId="43" fontId="37" fillId="0" borderId="0" xfId="2" applyFont="1" applyBorder="1"/>
    <xf numFmtId="43" fontId="39" fillId="0" borderId="5" xfId="2" applyFont="1" applyBorder="1"/>
    <xf numFmtId="43" fontId="39" fillId="0" borderId="0" xfId="2" applyFont="1"/>
    <xf numFmtId="169" fontId="7" fillId="13" borderId="18" xfId="0" applyNumberFormat="1" applyFont="1" applyFill="1" applyBorder="1" applyAlignment="1" applyProtection="1">
      <protection hidden="1"/>
    </xf>
    <xf numFmtId="169" fontId="52" fillId="13" borderId="17" xfId="0" applyNumberFormat="1" applyFont="1" applyFill="1" applyBorder="1" applyAlignment="1" applyProtection="1">
      <protection hidden="1"/>
    </xf>
    <xf numFmtId="169" fontId="52" fillId="5" borderId="17" xfId="0" applyNumberFormat="1" applyFont="1" applyFill="1" applyBorder="1" applyAlignment="1" applyProtection="1">
      <alignment horizontal="left"/>
      <protection hidden="1"/>
    </xf>
    <xf numFmtId="0" fontId="27" fillId="0" borderId="0" xfId="0" applyFont="1" applyAlignment="1" applyProtection="1">
      <alignment horizontal="left" wrapText="1" indent="1"/>
      <protection hidden="1"/>
    </xf>
    <xf numFmtId="43" fontId="0" fillId="0" borderId="0" xfId="1" applyFont="1" applyBorder="1" applyProtection="1">
      <protection hidden="1"/>
    </xf>
    <xf numFmtId="0" fontId="0" fillId="0" borderId="24" xfId="0" applyBorder="1" applyProtection="1">
      <protection hidden="1"/>
    </xf>
    <xf numFmtId="43" fontId="44" fillId="0" borderId="24" xfId="1" applyFont="1" applyBorder="1" applyProtection="1">
      <protection hidden="1"/>
    </xf>
    <xf numFmtId="0" fontId="9" fillId="0" borderId="0" xfId="0" applyNumberFormat="1" applyFont="1" applyProtection="1">
      <protection hidden="1"/>
    </xf>
    <xf numFmtId="0" fontId="1" fillId="0" borderId="0" xfId="0" applyNumberFormat="1" applyFont="1" applyProtection="1">
      <protection hidden="1"/>
    </xf>
    <xf numFmtId="43" fontId="22" fillId="0" borderId="39" xfId="0" applyNumberFormat="1" applyFont="1" applyBorder="1" applyProtection="1">
      <protection hidden="1"/>
    </xf>
    <xf numFmtId="43" fontId="9" fillId="0" borderId="22" xfId="0" applyNumberFormat="1" applyFont="1" applyBorder="1" applyProtection="1">
      <protection hidden="1"/>
    </xf>
    <xf numFmtId="43" fontId="22" fillId="0" borderId="0" xfId="0" applyNumberFormat="1" applyFont="1" applyProtection="1">
      <protection hidden="1"/>
    </xf>
    <xf numFmtId="43" fontId="22" fillId="0" borderId="24" xfId="0" applyNumberFormat="1" applyFont="1" applyBorder="1" applyProtection="1">
      <protection hidden="1"/>
    </xf>
    <xf numFmtId="0" fontId="0" fillId="0" borderId="0" xfId="0" applyAlignment="1" applyProtection="1">
      <alignment horizontal="right"/>
      <protection hidden="1"/>
    </xf>
    <xf numFmtId="15" fontId="0" fillId="0" borderId="0" xfId="0" applyNumberFormat="1" applyAlignment="1" applyProtection="1">
      <alignment horizontal="left"/>
      <protection hidden="1"/>
    </xf>
    <xf numFmtId="0" fontId="1" fillId="0" borderId="0" xfId="0" applyFont="1" applyFill="1" applyBorder="1" applyAlignment="1" applyProtection="1">
      <alignment horizontal="right"/>
      <protection hidden="1"/>
    </xf>
    <xf numFmtId="0" fontId="1" fillId="0" borderId="0" xfId="0" applyFont="1" applyFill="1" applyBorder="1" applyAlignment="1" applyProtection="1">
      <alignment horizontal="left"/>
      <protection hidden="1"/>
    </xf>
    <xf numFmtId="15" fontId="1" fillId="0" borderId="0" xfId="0" applyNumberFormat="1" applyFont="1" applyFill="1" applyBorder="1" applyAlignment="1" applyProtection="1">
      <alignment horizontal="left"/>
      <protection hidden="1"/>
    </xf>
    <xf numFmtId="0" fontId="9" fillId="0" borderId="0" xfId="8" applyFont="1" applyAlignment="1" applyProtection="1">
      <alignment horizontal="center" vertical="center"/>
      <protection locked="0"/>
    </xf>
    <xf numFmtId="0" fontId="0" fillId="0" borderId="0" xfId="0" applyFill="1" applyProtection="1">
      <protection hidden="1"/>
    </xf>
    <xf numFmtId="0" fontId="0" fillId="0" borderId="0" xfId="0" applyFill="1"/>
    <xf numFmtId="0" fontId="13" fillId="0" borderId="0" xfId="0" applyFont="1" applyFill="1" applyProtection="1">
      <protection hidden="1"/>
    </xf>
    <xf numFmtId="0" fontId="1" fillId="0" borderId="0" xfId="0" applyFont="1" applyFill="1" applyAlignment="1">
      <alignment horizontal="right"/>
    </xf>
    <xf numFmtId="0" fontId="2" fillId="0" borderId="0" xfId="0" applyFont="1" applyFill="1" applyBorder="1" applyAlignment="1">
      <alignment horizontal="right"/>
    </xf>
    <xf numFmtId="0" fontId="2" fillId="0" borderId="0" xfId="0" applyFont="1" applyFill="1" applyBorder="1"/>
    <xf numFmtId="0" fontId="1" fillId="0" borderId="0" xfId="0" applyFont="1" applyFill="1" applyBorder="1"/>
    <xf numFmtId="0" fontId="0" fillId="0" borderId="0" xfId="0" applyFill="1" applyBorder="1"/>
    <xf numFmtId="167" fontId="13" fillId="0" borderId="0" xfId="0" applyNumberFormat="1" applyFont="1" applyFill="1" applyProtection="1">
      <protection hidden="1"/>
    </xf>
    <xf numFmtId="0" fontId="40" fillId="0" borderId="0" xfId="0" applyFont="1" applyFill="1"/>
    <xf numFmtId="43" fontId="0" fillId="0" borderId="0" xfId="1" applyFont="1" applyFill="1" applyProtection="1">
      <protection hidden="1"/>
    </xf>
    <xf numFmtId="0" fontId="14" fillId="0" borderId="0" xfId="0" applyFont="1" applyFill="1" applyProtection="1">
      <protection hidden="1"/>
    </xf>
    <xf numFmtId="43" fontId="14" fillId="0" borderId="0" xfId="1" applyFont="1" applyFill="1" applyAlignment="1" applyProtection="1">
      <alignment horizontal="right"/>
      <protection hidden="1"/>
    </xf>
    <xf numFmtId="43" fontId="14" fillId="0" borderId="9" xfId="1" applyFont="1" applyFill="1" applyBorder="1" applyAlignment="1" applyProtection="1">
      <alignment horizontal="center"/>
      <protection hidden="1"/>
    </xf>
    <xf numFmtId="43" fontId="14" fillId="0" borderId="0" xfId="1" applyFont="1" applyFill="1" applyAlignment="1" applyProtection="1">
      <alignment horizontal="center"/>
      <protection hidden="1"/>
    </xf>
    <xf numFmtId="43" fontId="14" fillId="0" borderId="0" xfId="1" applyFont="1" applyFill="1" applyBorder="1" applyAlignment="1" applyProtection="1">
      <alignment horizontal="left"/>
      <protection hidden="1"/>
    </xf>
    <xf numFmtId="43" fontId="14" fillId="0" borderId="0" xfId="1" applyFont="1" applyFill="1" applyProtection="1">
      <protection hidden="1"/>
    </xf>
    <xf numFmtId="4" fontId="14" fillId="0" borderId="0" xfId="1" applyNumberFormat="1" applyFont="1" applyFill="1" applyProtection="1">
      <protection hidden="1"/>
    </xf>
    <xf numFmtId="4" fontId="14" fillId="0" borderId="9" xfId="1" applyNumberFormat="1" applyFont="1" applyFill="1" applyBorder="1" applyProtection="1">
      <protection hidden="1"/>
    </xf>
    <xf numFmtId="43" fontId="14" fillId="0" borderId="0" xfId="1" applyFont="1" applyFill="1" applyBorder="1" applyAlignment="1" applyProtection="1">
      <alignment horizontal="left"/>
      <protection locked="0"/>
    </xf>
    <xf numFmtId="43" fontId="14" fillId="0" borderId="0" xfId="1" applyFont="1" applyFill="1" applyProtection="1">
      <protection locked="0"/>
    </xf>
    <xf numFmtId="0" fontId="0" fillId="0" borderId="0" xfId="0" applyFill="1" applyAlignment="1" applyProtection="1">
      <alignment horizontal="left"/>
      <protection locked="0"/>
    </xf>
    <xf numFmtId="4" fontId="0" fillId="0" borderId="0" xfId="1" applyNumberFormat="1" applyFont="1" applyFill="1" applyProtection="1">
      <protection locked="0"/>
    </xf>
    <xf numFmtId="4" fontId="0" fillId="0" borderId="9" xfId="1" applyNumberFormat="1" applyFont="1" applyFill="1" applyBorder="1" applyProtection="1">
      <protection hidden="1"/>
    </xf>
    <xf numFmtId="167" fontId="22" fillId="0" borderId="0" xfId="1" applyNumberFormat="1" applyFont="1" applyFill="1" applyBorder="1" applyAlignment="1" applyProtection="1">
      <alignment horizontal="left"/>
      <protection locked="0"/>
    </xf>
    <xf numFmtId="4" fontId="22" fillId="0" borderId="0" xfId="1" applyNumberFormat="1" applyFont="1" applyFill="1" applyProtection="1">
      <protection locked="0"/>
    </xf>
    <xf numFmtId="43" fontId="0" fillId="0" borderId="0" xfId="1" applyFont="1" applyFill="1" applyBorder="1" applyAlignment="1" applyProtection="1">
      <alignment horizontal="left"/>
      <protection locked="0"/>
    </xf>
    <xf numFmtId="4" fontId="0" fillId="0" borderId="0" xfId="0" applyNumberFormat="1" applyFill="1" applyProtection="1">
      <protection locked="0"/>
    </xf>
    <xf numFmtId="4" fontId="0" fillId="0" borderId="9" xfId="0" applyNumberFormat="1" applyFill="1" applyBorder="1"/>
    <xf numFmtId="0" fontId="0" fillId="0" borderId="0" xfId="0" applyFill="1" applyBorder="1" applyAlignment="1" applyProtection="1">
      <alignment horizontal="left"/>
      <protection locked="0"/>
    </xf>
    <xf numFmtId="167" fontId="22" fillId="0" borderId="0" xfId="0" applyNumberFormat="1" applyFont="1" applyFill="1" applyAlignment="1" applyProtection="1">
      <alignment horizontal="left"/>
      <protection locked="0"/>
    </xf>
    <xf numFmtId="4" fontId="0" fillId="0" borderId="0" xfId="0" applyNumberFormat="1" applyFill="1"/>
    <xf numFmtId="0" fontId="0" fillId="0" borderId="0" xfId="0" applyFill="1" applyAlignment="1">
      <alignment horizontal="left"/>
    </xf>
    <xf numFmtId="4" fontId="9" fillId="0" borderId="5" xfId="1" applyNumberFormat="1" applyFont="1" applyFill="1" applyBorder="1" applyProtection="1">
      <protection hidden="1"/>
    </xf>
    <xf numFmtId="4" fontId="0" fillId="0" borderId="0" xfId="1" applyNumberFormat="1" applyFont="1" applyFill="1" applyBorder="1" applyProtection="1">
      <protection hidden="1"/>
    </xf>
    <xf numFmtId="43" fontId="0" fillId="0" borderId="0" xfId="1" applyFont="1" applyFill="1" applyBorder="1" applyProtection="1">
      <protection hidden="1"/>
    </xf>
    <xf numFmtId="43" fontId="0" fillId="0" borderId="0" xfId="0" applyNumberFormat="1" applyFill="1"/>
    <xf numFmtId="0" fontId="1" fillId="0" borderId="0" xfId="0" applyFont="1" applyFill="1"/>
    <xf numFmtId="4" fontId="0" fillId="0" borderId="0" xfId="0" applyNumberFormat="1" applyFill="1" applyBorder="1"/>
    <xf numFmtId="0" fontId="32" fillId="0" borderId="0" xfId="0" applyFont="1" applyFill="1" applyBorder="1" applyAlignment="1"/>
    <xf numFmtId="0" fontId="33" fillId="0" borderId="0" xfId="0" applyFont="1" applyFill="1" applyBorder="1"/>
    <xf numFmtId="165" fontId="32" fillId="0" borderId="0" xfId="0" applyNumberFormat="1" applyFont="1" applyFill="1" applyBorder="1" applyAlignment="1"/>
    <xf numFmtId="43" fontId="1" fillId="0" borderId="0" xfId="0" applyNumberFormat="1" applyFont="1" applyFill="1"/>
    <xf numFmtId="4" fontId="0" fillId="0" borderId="26" xfId="0" applyNumberFormat="1" applyBorder="1" applyAlignment="1" applyProtection="1">
      <alignment horizontal="right"/>
      <protection hidden="1"/>
    </xf>
    <xf numFmtId="43" fontId="9" fillId="0" borderId="0" xfId="1" applyFont="1" applyProtection="1">
      <protection locked="0"/>
    </xf>
    <xf numFmtId="43" fontId="1" fillId="0" borderId="0" xfId="1" applyFont="1" applyProtection="1">
      <protection locked="0"/>
    </xf>
    <xf numFmtId="43" fontId="1" fillId="0" borderId="5" xfId="1" applyFont="1" applyBorder="1" applyProtection="1">
      <protection locked="0"/>
    </xf>
    <xf numFmtId="43" fontId="34" fillId="0" borderId="0" xfId="1" applyFont="1" applyAlignment="1" applyProtection="1">
      <alignment horizontal="left"/>
      <protection locked="0"/>
    </xf>
    <xf numFmtId="43" fontId="23" fillId="0" borderId="0" xfId="1" applyFont="1" applyAlignment="1" applyProtection="1">
      <alignment horizontal="left"/>
      <protection locked="0"/>
    </xf>
    <xf numFmtId="43" fontId="1" fillId="0" borderId="0" xfId="1" applyFont="1" applyBorder="1" applyProtection="1">
      <protection locked="0"/>
    </xf>
    <xf numFmtId="43" fontId="1" fillId="0" borderId="0" xfId="1" applyFont="1" applyBorder="1" applyAlignment="1" applyProtection="1">
      <alignment horizontal="center"/>
      <protection locked="0"/>
    </xf>
    <xf numFmtId="43" fontId="1" fillId="0" borderId="0" xfId="1" applyFont="1" applyBorder="1" applyProtection="1"/>
    <xf numFmtId="0" fontId="13" fillId="0" borderId="0" xfId="0" applyNumberFormat="1" applyFont="1" applyFill="1" applyBorder="1" applyAlignment="1" applyProtection="1">
      <alignment horizontal="left"/>
      <protection hidden="1"/>
    </xf>
    <xf numFmtId="0" fontId="1" fillId="0" borderId="0" xfId="9" applyFont="1" applyFill="1" applyBorder="1" applyProtection="1">
      <protection hidden="1"/>
    </xf>
    <xf numFmtId="0" fontId="23" fillId="0" borderId="0" xfId="9" applyFont="1" applyFill="1" applyBorder="1" applyAlignment="1" applyProtection="1">
      <alignment horizontal="center"/>
      <protection hidden="1"/>
    </xf>
    <xf numFmtId="0" fontId="29" fillId="0" borderId="0" xfId="9" applyFont="1" applyFill="1" applyBorder="1" applyProtection="1">
      <protection hidden="1"/>
    </xf>
    <xf numFmtId="43" fontId="23" fillId="0" borderId="0" xfId="9" applyNumberFormat="1" applyFont="1" applyFill="1" applyBorder="1" applyProtection="1">
      <protection hidden="1"/>
    </xf>
    <xf numFmtId="0" fontId="23" fillId="0" borderId="0" xfId="9" applyFont="1" applyFill="1" applyBorder="1" applyProtection="1">
      <protection hidden="1"/>
    </xf>
    <xf numFmtId="43" fontId="23" fillId="0" borderId="5" xfId="1" applyFont="1" applyFill="1" applyBorder="1" applyProtection="1">
      <protection hidden="1"/>
    </xf>
    <xf numFmtId="43" fontId="23" fillId="0" borderId="39" xfId="1" applyFont="1" applyFill="1" applyBorder="1" applyProtection="1">
      <protection hidden="1"/>
    </xf>
    <xf numFmtId="0" fontId="35" fillId="0" borderId="0" xfId="9" applyFont="1" applyFill="1" applyBorder="1" applyProtection="1">
      <protection hidden="1"/>
    </xf>
    <xf numFmtId="43" fontId="23" fillId="0" borderId="22" xfId="1" applyFont="1" applyFill="1" applyBorder="1" applyProtection="1">
      <protection hidden="1"/>
    </xf>
    <xf numFmtId="0" fontId="9" fillId="0" borderId="0" xfId="9" applyFont="1" applyFill="1" applyBorder="1" applyProtection="1">
      <protection hidden="1"/>
    </xf>
    <xf numFmtId="0" fontId="35" fillId="0" borderId="0" xfId="9" applyFont="1" applyFill="1" applyBorder="1" applyAlignment="1" applyProtection="1">
      <alignment horizontal="center"/>
      <protection hidden="1"/>
    </xf>
    <xf numFmtId="0" fontId="9" fillId="0" borderId="0" xfId="9" applyFont="1" applyFill="1" applyBorder="1" applyAlignment="1" applyProtection="1">
      <alignment horizontal="left"/>
      <protection hidden="1"/>
    </xf>
    <xf numFmtId="2" fontId="1" fillId="0" borderId="0" xfId="9" applyNumberFormat="1" applyFont="1" applyFill="1" applyBorder="1" applyProtection="1">
      <protection hidden="1"/>
    </xf>
    <xf numFmtId="167" fontId="13" fillId="0" borderId="0" xfId="9" applyNumberFormat="1" applyFont="1" applyFill="1" applyBorder="1" applyProtection="1">
      <protection hidden="1"/>
    </xf>
    <xf numFmtId="0" fontId="13" fillId="0" borderId="0" xfId="9" applyFont="1" applyFill="1" applyBorder="1" applyProtection="1">
      <protection hidden="1"/>
    </xf>
    <xf numFmtId="15" fontId="1" fillId="0" borderId="0" xfId="9" applyNumberFormat="1" applyFont="1" applyFill="1" applyBorder="1" applyProtection="1">
      <protection hidden="1"/>
    </xf>
    <xf numFmtId="0" fontId="13" fillId="0" borderId="0" xfId="9" applyFont="1" applyFill="1" applyBorder="1" applyAlignment="1" applyProtection="1">
      <alignment horizontal="left"/>
      <protection hidden="1"/>
    </xf>
    <xf numFmtId="17" fontId="1" fillId="0" borderId="0" xfId="9" applyNumberFormat="1" applyFont="1" applyFill="1" applyBorder="1" applyProtection="1">
      <protection hidden="1"/>
    </xf>
    <xf numFmtId="43" fontId="1" fillId="0" borderId="0" xfId="9" applyNumberFormat="1" applyFont="1" applyFill="1" applyBorder="1" applyProtection="1">
      <protection hidden="1"/>
    </xf>
    <xf numFmtId="17" fontId="1" fillId="0" borderId="0" xfId="9" applyNumberFormat="1" applyFont="1" applyProtection="1">
      <protection hidden="1"/>
    </xf>
    <xf numFmtId="43" fontId="1" fillId="0" borderId="0" xfId="9" applyNumberFormat="1" applyFont="1" applyProtection="1">
      <protection hidden="1"/>
    </xf>
    <xf numFmtId="167" fontId="13" fillId="0" borderId="0" xfId="9" applyNumberFormat="1" applyFont="1" applyProtection="1">
      <protection hidden="1"/>
    </xf>
    <xf numFmtId="0" fontId="13" fillId="0" borderId="0" xfId="9" applyFont="1" applyProtection="1">
      <protection hidden="1"/>
    </xf>
    <xf numFmtId="0" fontId="1" fillId="0" borderId="0" xfId="9" applyFont="1"/>
    <xf numFmtId="0" fontId="1" fillId="0" borderId="0" xfId="9" applyFont="1" applyProtection="1">
      <protection locked="0"/>
    </xf>
    <xf numFmtId="0" fontId="1" fillId="0" borderId="0" xfId="9" applyFont="1" applyBorder="1"/>
    <xf numFmtId="0" fontId="1" fillId="0" borderId="0" xfId="9" applyFont="1" applyBorder="1" applyProtection="1">
      <protection locked="0"/>
    </xf>
    <xf numFmtId="0" fontId="1" fillId="0" borderId="0" xfId="9" applyFont="1" applyBorder="1" applyAlignment="1" applyProtection="1">
      <alignment horizontal="right"/>
      <protection locked="0"/>
    </xf>
    <xf numFmtId="0" fontId="9" fillId="0" borderId="0" xfId="9" applyFont="1" applyBorder="1" applyProtection="1">
      <protection locked="0"/>
    </xf>
    <xf numFmtId="0" fontId="22" fillId="0" borderId="0" xfId="9" applyFont="1" applyBorder="1" applyProtection="1">
      <protection locked="0"/>
    </xf>
    <xf numFmtId="0" fontId="9" fillId="0" borderId="0" xfId="9" applyFont="1" applyBorder="1"/>
    <xf numFmtId="43" fontId="1" fillId="0" borderId="0" xfId="1" applyFont="1" applyBorder="1" applyAlignment="1" applyProtection="1">
      <alignment horizontal="right"/>
      <protection locked="0"/>
    </xf>
    <xf numFmtId="167" fontId="1" fillId="0" borderId="0" xfId="9" applyNumberFormat="1" applyFont="1" applyAlignment="1" applyProtection="1">
      <alignment horizontal="left"/>
      <protection locked="0"/>
    </xf>
    <xf numFmtId="164" fontId="1" fillId="0" borderId="0" xfId="9" applyNumberFormat="1" applyFont="1" applyProtection="1">
      <protection locked="0"/>
    </xf>
    <xf numFmtId="0" fontId="14" fillId="0" borderId="0" xfId="9" applyFont="1" applyProtection="1">
      <protection locked="0"/>
    </xf>
    <xf numFmtId="164" fontId="14" fillId="0" borderId="0" xfId="9" applyNumberFormat="1" applyFont="1" applyProtection="1">
      <protection locked="0"/>
    </xf>
    <xf numFmtId="0" fontId="9" fillId="0" borderId="0" xfId="9" applyFont="1" applyProtection="1">
      <protection locked="0"/>
    </xf>
    <xf numFmtId="0" fontId="1" fillId="0" borderId="0" xfId="9" applyFont="1" applyAlignment="1" applyProtection="1">
      <alignment horizontal="center"/>
      <protection locked="0"/>
    </xf>
    <xf numFmtId="0" fontId="13" fillId="0" borderId="0" xfId="9" applyFont="1" applyAlignment="1" applyProtection="1">
      <alignment horizontal="left"/>
      <protection locked="0"/>
    </xf>
    <xf numFmtId="167" fontId="13" fillId="0" borderId="0" xfId="9" applyNumberFormat="1" applyFont="1" applyProtection="1">
      <protection locked="0"/>
    </xf>
    <xf numFmtId="167" fontId="13" fillId="0" borderId="0" xfId="9" applyNumberFormat="1" applyFont="1" applyAlignment="1" applyProtection="1">
      <alignment horizontal="left"/>
      <protection locked="0"/>
    </xf>
    <xf numFmtId="0" fontId="13" fillId="0" borderId="0" xfId="9" applyFont="1" applyProtection="1">
      <protection locked="0"/>
    </xf>
    <xf numFmtId="15" fontId="1" fillId="0" borderId="0" xfId="9" applyNumberFormat="1" applyFont="1" applyProtection="1">
      <protection locked="0"/>
    </xf>
    <xf numFmtId="0" fontId="13" fillId="0" borderId="0" xfId="9" applyFont="1" applyFill="1" applyBorder="1" applyAlignment="1" applyProtection="1">
      <alignment horizontal="left"/>
      <protection locked="0"/>
    </xf>
    <xf numFmtId="0" fontId="1" fillId="0" borderId="0" xfId="9" applyFont="1" applyAlignment="1" applyProtection="1">
      <alignment horizontal="right"/>
      <protection locked="0"/>
    </xf>
    <xf numFmtId="0" fontId="1" fillId="0" borderId="0" xfId="9" applyFont="1" applyFill="1" applyBorder="1" applyAlignment="1" applyProtection="1">
      <alignment horizontal="right"/>
      <protection hidden="1"/>
    </xf>
    <xf numFmtId="2" fontId="0" fillId="0" borderId="0" xfId="0" applyNumberFormat="1" applyFill="1" applyBorder="1" applyProtection="1">
      <protection hidden="1"/>
    </xf>
    <xf numFmtId="4" fontId="0" fillId="0" borderId="0" xfId="0" applyNumberFormat="1" applyFill="1" applyBorder="1" applyProtection="1">
      <protection hidden="1"/>
    </xf>
    <xf numFmtId="0" fontId="9" fillId="0" borderId="0" xfId="0" applyFont="1" applyAlignment="1" applyProtection="1">
      <alignment horizontal="center"/>
      <protection hidden="1"/>
    </xf>
    <xf numFmtId="43" fontId="9" fillId="0" borderId="0" xfId="1" applyFont="1" applyAlignment="1" applyProtection="1">
      <alignment horizontal="center"/>
      <protection hidden="1"/>
    </xf>
    <xf numFmtId="0" fontId="1" fillId="0" borderId="1" xfId="0" applyFont="1" applyBorder="1" applyProtection="1">
      <protection hidden="1"/>
    </xf>
    <xf numFmtId="4" fontId="20" fillId="6" borderId="20" xfId="0" applyNumberFormat="1" applyFont="1" applyFill="1" applyBorder="1" applyAlignment="1" applyProtection="1">
      <alignment horizontal="center"/>
      <protection locked="0" hidden="1"/>
    </xf>
    <xf numFmtId="0" fontId="1" fillId="0" borderId="1" xfId="0" applyNumberFormat="1" applyFont="1" applyBorder="1" applyAlignment="1" applyProtection="1">
      <alignment horizontal="center"/>
      <protection locked="0"/>
    </xf>
    <xf numFmtId="0" fontId="0" fillId="0" borderId="1" xfId="0" applyNumberFormat="1" applyFill="1" applyBorder="1" applyAlignment="1" applyProtection="1">
      <alignment horizontal="center"/>
      <protection locked="0" hidden="1"/>
    </xf>
    <xf numFmtId="2" fontId="0" fillId="0" borderId="0" xfId="0" applyNumberFormat="1" applyProtection="1">
      <protection locked="0"/>
    </xf>
    <xf numFmtId="2" fontId="0" fillId="0" borderId="2" xfId="0" applyNumberFormat="1" applyBorder="1" applyAlignment="1" applyProtection="1">
      <alignment horizontal="right"/>
      <protection hidden="1"/>
    </xf>
    <xf numFmtId="2" fontId="0" fillId="0" borderId="0" xfId="0" applyNumberFormat="1" applyBorder="1" applyAlignment="1" applyProtection="1">
      <alignment horizontal="right"/>
      <protection locked="0" hidden="1"/>
    </xf>
    <xf numFmtId="2" fontId="0" fillId="0" borderId="11" xfId="0" applyNumberFormat="1" applyBorder="1" applyAlignment="1" applyProtection="1">
      <alignment horizontal="right"/>
      <protection locked="0" hidden="1"/>
    </xf>
    <xf numFmtId="166" fontId="0" fillId="0" borderId="7" xfId="0" applyNumberFormat="1" applyBorder="1" applyAlignment="1" applyProtection="1">
      <alignment horizontal="center"/>
      <protection hidden="1"/>
    </xf>
    <xf numFmtId="14" fontId="0" fillId="0" borderId="1" xfId="0" applyNumberFormat="1" applyBorder="1" applyAlignment="1" applyProtection="1">
      <alignment horizontal="center"/>
      <protection locked="0"/>
    </xf>
    <xf numFmtId="14" fontId="0" fillId="0" borderId="3" xfId="0" applyNumberFormat="1" applyBorder="1" applyAlignment="1" applyProtection="1">
      <alignment horizontal="center"/>
      <protection locked="0"/>
    </xf>
    <xf numFmtId="49" fontId="8" fillId="8" borderId="40" xfId="0" applyNumberFormat="1" applyFont="1" applyFill="1" applyBorder="1" applyAlignment="1" applyProtection="1">
      <alignment horizontal="left"/>
      <protection hidden="1"/>
    </xf>
    <xf numFmtId="2" fontId="0" fillId="0" borderId="14" xfId="0" applyNumberFormat="1" applyBorder="1" applyAlignment="1" applyProtection="1">
      <alignment horizontal="right"/>
      <protection locked="0"/>
    </xf>
    <xf numFmtId="2" fontId="0" fillId="0" borderId="15" xfId="0" applyNumberFormat="1" applyBorder="1" applyAlignment="1" applyProtection="1">
      <alignment horizontal="right"/>
      <protection hidden="1"/>
    </xf>
    <xf numFmtId="14" fontId="0" fillId="0" borderId="27" xfId="0" applyNumberFormat="1" applyBorder="1" applyAlignment="1" applyProtection="1">
      <alignment horizontal="center"/>
      <protection locked="0"/>
    </xf>
    <xf numFmtId="14" fontId="0" fillId="0" borderId="12" xfId="0" applyNumberFormat="1" applyBorder="1" applyAlignment="1" applyProtection="1">
      <alignment horizontal="center"/>
      <protection locked="0"/>
    </xf>
    <xf numFmtId="2" fontId="0" fillId="0" borderId="0" xfId="0" applyNumberFormat="1" applyBorder="1" applyAlignment="1" applyProtection="1">
      <alignment horizontal="right"/>
      <protection locked="0"/>
    </xf>
    <xf numFmtId="2" fontId="0" fillId="0" borderId="2" xfId="0" applyNumberFormat="1" applyBorder="1" applyAlignment="1" applyProtection="1">
      <alignment horizontal="right"/>
      <protection locked="0"/>
    </xf>
    <xf numFmtId="2" fontId="0" fillId="0" borderId="6" xfId="0" applyNumberFormat="1" applyBorder="1" applyAlignment="1" applyProtection="1">
      <alignment horizontal="right"/>
      <protection locked="0"/>
    </xf>
    <xf numFmtId="0" fontId="0" fillId="0" borderId="0" xfId="0" applyNumberFormat="1" applyBorder="1" applyAlignment="1" applyProtection="1">
      <alignment horizontal="left"/>
      <protection locked="0"/>
    </xf>
    <xf numFmtId="0" fontId="0" fillId="0" borderId="6" xfId="0" applyNumberFormat="1" applyBorder="1" applyAlignment="1" applyProtection="1">
      <alignment horizontal="left"/>
      <protection locked="0"/>
    </xf>
    <xf numFmtId="49" fontId="0" fillId="0" borderId="2" xfId="0" applyNumberFormat="1" applyBorder="1" applyAlignment="1" applyProtection="1">
      <alignment horizontal="right"/>
      <protection locked="0"/>
    </xf>
    <xf numFmtId="49" fontId="0" fillId="0" borderId="4" xfId="0" applyNumberFormat="1" applyBorder="1" applyAlignment="1" applyProtection="1">
      <alignment horizontal="right"/>
      <protection locked="0"/>
    </xf>
    <xf numFmtId="0" fontId="0" fillId="0" borderId="6" xfId="0" applyFill="1" applyBorder="1" applyAlignment="1" applyProtection="1">
      <alignment horizontal="center"/>
      <protection hidden="1"/>
    </xf>
    <xf numFmtId="0" fontId="0" fillId="0" borderId="0" xfId="0" applyFill="1" applyBorder="1" applyAlignment="1" applyProtection="1">
      <alignment horizontal="center"/>
      <protection hidden="1"/>
    </xf>
    <xf numFmtId="0" fontId="1" fillId="0" borderId="0" xfId="0" applyFont="1" applyFill="1" applyBorder="1" applyAlignment="1" applyProtection="1">
      <alignment horizontal="center"/>
      <protection hidden="1"/>
    </xf>
    <xf numFmtId="4" fontId="0" fillId="0" borderId="6" xfId="0" applyNumberFormat="1" applyFill="1" applyBorder="1" applyAlignment="1" applyProtection="1">
      <alignment horizontal="center"/>
      <protection hidden="1"/>
    </xf>
    <xf numFmtId="4" fontId="3" fillId="0" borderId="0" xfId="0" applyNumberFormat="1" applyFont="1" applyFill="1" applyBorder="1" applyAlignment="1" applyProtection="1">
      <alignment horizontal="center"/>
      <protection hidden="1"/>
    </xf>
    <xf numFmtId="0" fontId="1" fillId="0" borderId="0" xfId="0" applyFont="1" applyAlignment="1" applyProtection="1">
      <alignment horizontal="center"/>
      <protection hidden="1"/>
    </xf>
    <xf numFmtId="4" fontId="1" fillId="0" borderId="0" xfId="0" applyNumberFormat="1" applyFont="1" applyFill="1" applyBorder="1" applyAlignment="1" applyProtection="1">
      <alignment horizontal="center"/>
      <protection hidden="1"/>
    </xf>
    <xf numFmtId="1" fontId="0" fillId="0" borderId="6" xfId="0" applyNumberFormat="1" applyFill="1" applyBorder="1" applyAlignment="1" applyProtection="1">
      <alignment horizontal="center"/>
      <protection hidden="1"/>
    </xf>
    <xf numFmtId="4" fontId="1" fillId="0" borderId="6" xfId="0" applyNumberFormat="1" applyFont="1" applyFill="1" applyBorder="1" applyAlignment="1" applyProtection="1">
      <alignment horizontal="center"/>
      <protection hidden="1"/>
    </xf>
    <xf numFmtId="4" fontId="3" fillId="0" borderId="6" xfId="0" applyNumberFormat="1" applyFont="1" applyFill="1" applyBorder="1" applyAlignment="1" applyProtection="1">
      <alignment horizontal="center"/>
      <protection hidden="1"/>
    </xf>
    <xf numFmtId="0" fontId="1" fillId="0" borderId="6" xfId="0" applyFont="1" applyBorder="1" applyAlignment="1" applyProtection="1">
      <alignment horizontal="center"/>
      <protection hidden="1"/>
    </xf>
    <xf numFmtId="0" fontId="0" fillId="0" borderId="6" xfId="0" applyBorder="1" applyAlignment="1" applyProtection="1">
      <alignment horizontal="center"/>
      <protection hidden="1"/>
    </xf>
    <xf numFmtId="169" fontId="40" fillId="9" borderId="15" xfId="0" applyNumberFormat="1" applyFont="1" applyFill="1" applyBorder="1" applyAlignment="1" applyProtection="1">
      <alignment horizontal="center"/>
      <protection hidden="1"/>
    </xf>
    <xf numFmtId="169" fontId="40" fillId="9" borderId="8" xfId="0" applyNumberFormat="1" applyFont="1" applyFill="1" applyBorder="1" applyAlignment="1" applyProtection="1">
      <alignment horizontal="center"/>
      <protection hidden="1"/>
    </xf>
    <xf numFmtId="169" fontId="40" fillId="9" borderId="0" xfId="0" applyNumberFormat="1" applyFont="1" applyFill="1" applyBorder="1" applyAlignment="1" applyProtection="1">
      <alignment horizontal="center"/>
      <protection hidden="1"/>
    </xf>
    <xf numFmtId="169" fontId="40" fillId="9" borderId="6" xfId="0" applyNumberFormat="1" applyFont="1" applyFill="1" applyBorder="1" applyAlignment="1" applyProtection="1">
      <alignment horizontal="center"/>
      <protection hidden="1"/>
    </xf>
    <xf numFmtId="2" fontId="0" fillId="0" borderId="27" xfId="0" applyNumberFormat="1" applyBorder="1" applyAlignment="1" applyProtection="1">
      <alignment horizontal="right"/>
      <protection locked="0"/>
    </xf>
    <xf numFmtId="2" fontId="0" fillId="0" borderId="12" xfId="0" applyNumberFormat="1" applyBorder="1" applyAlignment="1" applyProtection="1">
      <alignment horizontal="right"/>
      <protection locked="0"/>
    </xf>
    <xf numFmtId="2" fontId="0" fillId="0" borderId="4" xfId="0" applyNumberFormat="1" applyBorder="1" applyAlignment="1" applyProtection="1">
      <alignment horizontal="right"/>
      <protection locked="0"/>
    </xf>
    <xf numFmtId="165" fontId="3" fillId="0" borderId="0" xfId="0" applyNumberFormat="1" applyFont="1" applyBorder="1" applyAlignment="1" applyProtection="1">
      <alignment horizontal="center"/>
      <protection hidden="1"/>
    </xf>
    <xf numFmtId="165" fontId="8" fillId="8" borderId="40" xfId="0" applyNumberFormat="1" applyFont="1" applyFill="1" applyBorder="1" applyAlignment="1" applyProtection="1">
      <alignment horizontal="left"/>
      <protection hidden="1"/>
    </xf>
    <xf numFmtId="1" fontId="5" fillId="8" borderId="23" xfId="0" applyNumberFormat="1" applyFont="1" applyFill="1" applyBorder="1" applyAlignment="1" applyProtection="1">
      <alignment horizontal="right"/>
      <protection hidden="1"/>
    </xf>
    <xf numFmtId="165" fontId="0" fillId="0" borderId="12" xfId="0" applyNumberFormat="1" applyFill="1" applyBorder="1" applyAlignment="1" applyProtection="1">
      <protection hidden="1"/>
    </xf>
    <xf numFmtId="165" fontId="3" fillId="0" borderId="13" xfId="0" applyNumberFormat="1" applyFont="1" applyBorder="1" applyAlignment="1" applyProtection="1">
      <alignment horizontal="center"/>
      <protection hidden="1"/>
    </xf>
    <xf numFmtId="0" fontId="1" fillId="0" borderId="7" xfId="0" applyFont="1" applyBorder="1" applyProtection="1">
      <protection hidden="1"/>
    </xf>
    <xf numFmtId="0" fontId="1" fillId="0" borderId="6" xfId="0" applyFont="1" applyFill="1" applyBorder="1" applyAlignment="1" applyProtection="1">
      <alignment horizontal="center"/>
      <protection hidden="1"/>
    </xf>
    <xf numFmtId="2" fontId="0" fillId="0" borderId="6" xfId="0" applyNumberFormat="1" applyFill="1" applyBorder="1" applyAlignment="1" applyProtection="1">
      <alignment horizontal="center"/>
      <protection hidden="1"/>
    </xf>
    <xf numFmtId="0" fontId="3" fillId="0" borderId="6" xfId="0" applyFont="1" applyFill="1" applyBorder="1" applyAlignment="1" applyProtection="1">
      <alignment horizontal="center"/>
      <protection hidden="1"/>
    </xf>
    <xf numFmtId="0" fontId="3" fillId="0" borderId="0" xfId="0" applyFont="1" applyFill="1" applyBorder="1" applyAlignment="1" applyProtection="1">
      <alignment horizontal="center"/>
      <protection hidden="1"/>
    </xf>
    <xf numFmtId="0" fontId="0" fillId="15" borderId="26" xfId="0" applyFill="1" applyBorder="1" applyAlignment="1" applyProtection="1">
      <alignment horizontal="center"/>
      <protection hidden="1"/>
    </xf>
    <xf numFmtId="0" fontId="0" fillId="15" borderId="15" xfId="0" applyFill="1" applyBorder="1" applyAlignment="1" applyProtection="1">
      <alignment horizontal="center"/>
      <protection hidden="1"/>
    </xf>
    <xf numFmtId="0" fontId="0" fillId="15" borderId="8" xfId="0" applyFill="1" applyBorder="1" applyAlignment="1" applyProtection="1">
      <alignment horizontal="center"/>
      <protection hidden="1"/>
    </xf>
    <xf numFmtId="2" fontId="0" fillId="0" borderId="35" xfId="0" applyNumberFormat="1" applyBorder="1" applyAlignment="1" applyProtection="1">
      <alignment horizontal="right"/>
      <protection locked="0"/>
    </xf>
    <xf numFmtId="2" fontId="1" fillId="0" borderId="0" xfId="0" applyNumberFormat="1" applyFont="1" applyBorder="1" applyAlignment="1" applyProtection="1">
      <alignment horizontal="right"/>
      <protection locked="0"/>
    </xf>
    <xf numFmtId="2" fontId="0" fillId="0" borderId="27" xfId="0" applyNumberFormat="1" applyFill="1" applyBorder="1" applyAlignment="1" applyProtection="1">
      <alignment horizontal="right"/>
      <protection locked="0"/>
    </xf>
    <xf numFmtId="0" fontId="0" fillId="0" borderId="1" xfId="0" applyNumberFormat="1" applyBorder="1" applyAlignment="1" applyProtection="1">
      <alignment horizontal="left"/>
      <protection locked="0"/>
    </xf>
    <xf numFmtId="0" fontId="1" fillId="0" borderId="1" xfId="0" applyNumberFormat="1" applyFont="1" applyBorder="1" applyAlignment="1" applyProtection="1">
      <alignment horizontal="left"/>
      <protection locked="0"/>
    </xf>
    <xf numFmtId="0" fontId="0" fillId="0" borderId="3" xfId="0" applyNumberFormat="1" applyBorder="1" applyAlignment="1" applyProtection="1">
      <alignment horizontal="left"/>
      <protection locked="0"/>
    </xf>
    <xf numFmtId="49" fontId="0" fillId="0" borderId="1" xfId="0" applyNumberFormat="1" applyBorder="1" applyAlignment="1" applyProtection="1">
      <alignment horizontal="center"/>
      <protection locked="0"/>
    </xf>
    <xf numFmtId="2" fontId="0" fillId="0" borderId="1" xfId="1" applyNumberFormat="1" applyFon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49" fontId="0" fillId="0" borderId="3" xfId="0" applyNumberFormat="1" applyBorder="1" applyAlignment="1" applyProtection="1">
      <alignment horizontal="center"/>
      <protection locked="0"/>
    </xf>
    <xf numFmtId="2" fontId="0" fillId="0" borderId="3" xfId="1" applyNumberFormat="1" applyFont="1" applyBorder="1" applyAlignment="1" applyProtection="1">
      <alignment horizontal="right"/>
      <protection locked="0"/>
    </xf>
    <xf numFmtId="2" fontId="0" fillId="0" borderId="1" xfId="0" applyNumberFormat="1" applyFill="1" applyBorder="1" applyAlignment="1" applyProtection="1">
      <alignment horizontal="right"/>
      <protection locked="0"/>
    </xf>
    <xf numFmtId="170" fontId="0" fillId="0" borderId="7" xfId="0" applyNumberFormat="1" applyBorder="1" applyProtection="1">
      <protection hidden="1"/>
    </xf>
    <xf numFmtId="2" fontId="0" fillId="0" borderId="7" xfId="0" applyNumberFormat="1" applyBorder="1" applyAlignment="1" applyProtection="1">
      <alignment horizontal="center"/>
      <protection hidden="1"/>
    </xf>
    <xf numFmtId="2" fontId="0" fillId="0" borderId="7" xfId="1" applyNumberFormat="1" applyFont="1" applyBorder="1" applyAlignment="1" applyProtection="1">
      <alignment horizontal="center"/>
      <protection hidden="1"/>
    </xf>
    <xf numFmtId="2" fontId="0" fillId="0" borderId="7" xfId="0" applyNumberFormat="1" applyBorder="1" applyAlignment="1" applyProtection="1">
      <alignment horizontal="right"/>
      <protection hidden="1"/>
    </xf>
    <xf numFmtId="2" fontId="0" fillId="0" borderId="36" xfId="0" applyNumberFormat="1" applyBorder="1" applyAlignment="1" applyProtection="1">
      <alignment horizontal="right"/>
      <protection locked="0"/>
    </xf>
    <xf numFmtId="2" fontId="0" fillId="0" borderId="1" xfId="0" applyNumberFormat="1" applyBorder="1" applyAlignment="1" applyProtection="1">
      <protection locked="0"/>
    </xf>
    <xf numFmtId="2" fontId="0" fillId="0" borderId="1" xfId="1" applyNumberFormat="1" applyFont="1" applyBorder="1" applyAlignment="1" applyProtection="1">
      <protection locked="0"/>
    </xf>
    <xf numFmtId="2" fontId="0" fillId="0" borderId="3" xfId="0" applyNumberFormat="1" applyBorder="1" applyAlignment="1" applyProtection="1">
      <protection locked="0"/>
    </xf>
    <xf numFmtId="2" fontId="0" fillId="0" borderId="3" xfId="1" applyNumberFormat="1" applyFont="1" applyBorder="1" applyAlignment="1" applyProtection="1">
      <protection locked="0"/>
    </xf>
    <xf numFmtId="0" fontId="0" fillId="0" borderId="2" xfId="0" applyNumberFormat="1" applyBorder="1" applyAlignment="1" applyProtection="1">
      <alignment horizontal="left"/>
      <protection locked="0"/>
    </xf>
    <xf numFmtId="0" fontId="0" fillId="0" borderId="4" xfId="0" applyNumberFormat="1" applyBorder="1" applyAlignment="1" applyProtection="1">
      <alignment horizontal="left"/>
      <protection locked="0"/>
    </xf>
    <xf numFmtId="2" fontId="0" fillId="0" borderId="26" xfId="0" applyNumberFormat="1" applyBorder="1" applyAlignment="1" applyProtection="1">
      <alignment horizontal="right"/>
      <protection hidden="1"/>
    </xf>
    <xf numFmtId="165" fontId="0" fillId="0" borderId="27" xfId="0" applyNumberFormat="1" applyFill="1" applyBorder="1" applyAlignment="1" applyProtection="1">
      <protection hidden="1"/>
    </xf>
    <xf numFmtId="165" fontId="0" fillId="0" borderId="0" xfId="0" applyNumberFormat="1" applyFill="1" applyBorder="1" applyAlignment="1" applyProtection="1">
      <protection hidden="1"/>
    </xf>
    <xf numFmtId="2" fontId="10" fillId="0" borderId="0" xfId="0" applyNumberFormat="1" applyFont="1" applyAlignment="1" applyProtection="1">
      <alignment horizontal="right"/>
      <protection hidden="1"/>
    </xf>
    <xf numFmtId="2" fontId="0" fillId="0" borderId="0" xfId="0" applyNumberFormat="1" applyAlignment="1" applyProtection="1">
      <alignment horizontal="right"/>
      <protection hidden="1"/>
    </xf>
    <xf numFmtId="2" fontId="3" fillId="0" borderId="0" xfId="0" applyNumberFormat="1" applyFont="1" applyAlignment="1" applyProtection="1">
      <alignment horizontal="right"/>
      <protection hidden="1"/>
    </xf>
    <xf numFmtId="0" fontId="0" fillId="0" borderId="0" xfId="0" applyBorder="1" applyAlignment="1" applyProtection="1">
      <alignment horizontal="center"/>
      <protection hidden="1"/>
    </xf>
    <xf numFmtId="0" fontId="41" fillId="0" borderId="0" xfId="0" applyFont="1" applyProtection="1">
      <protection hidden="1"/>
    </xf>
    <xf numFmtId="0" fontId="41" fillId="0" borderId="0" xfId="0" applyFont="1" applyBorder="1" applyAlignment="1" applyProtection="1">
      <alignment horizontal="center"/>
      <protection hidden="1"/>
    </xf>
    <xf numFmtId="2" fontId="41" fillId="0" borderId="0" xfId="0" applyNumberFormat="1" applyFont="1" applyAlignment="1" applyProtection="1">
      <alignment horizontal="right"/>
      <protection hidden="1"/>
    </xf>
    <xf numFmtId="0" fontId="41" fillId="0" borderId="9" xfId="0" applyFont="1" applyBorder="1" applyProtection="1">
      <protection hidden="1"/>
    </xf>
    <xf numFmtId="2" fontId="41" fillId="0" borderId="0" xfId="0" applyNumberFormat="1" applyFont="1" applyBorder="1" applyAlignment="1" applyProtection="1">
      <alignment horizontal="right"/>
      <protection hidden="1"/>
    </xf>
    <xf numFmtId="165" fontId="0" fillId="0" borderId="0" xfId="0" applyNumberFormat="1" applyBorder="1" applyAlignment="1" applyProtection="1">
      <alignment horizontal="right"/>
      <protection locked="0"/>
    </xf>
    <xf numFmtId="165" fontId="0" fillId="0" borderId="0" xfId="0" applyNumberFormat="1" applyAlignment="1" applyProtection="1">
      <alignment horizontal="right"/>
      <protection locked="0"/>
    </xf>
    <xf numFmtId="165" fontId="0" fillId="0" borderId="0" xfId="0" applyNumberFormat="1" applyBorder="1" applyAlignment="1" applyProtection="1">
      <alignment horizontal="right"/>
    </xf>
    <xf numFmtId="0" fontId="0" fillId="0" borderId="0" xfId="0" applyBorder="1" applyAlignment="1" applyProtection="1">
      <alignment horizontal="right"/>
      <protection locked="0"/>
    </xf>
    <xf numFmtId="44" fontId="9" fillId="0" borderId="5" xfId="3" applyFont="1" applyBorder="1" applyAlignment="1" applyProtection="1">
      <alignment horizontal="right"/>
      <protection hidden="1"/>
    </xf>
    <xf numFmtId="0" fontId="0" fillId="0" borderId="0" xfId="0" applyNumberFormat="1" applyBorder="1" applyAlignment="1" applyProtection="1">
      <alignment horizontal="right"/>
      <protection locked="0"/>
    </xf>
    <xf numFmtId="165" fontId="0" fillId="0" borderId="6" xfId="0" applyNumberFormat="1" applyFill="1" applyBorder="1" applyAlignment="1" applyProtection="1">
      <alignment horizontal="right"/>
      <protection hidden="1"/>
    </xf>
    <xf numFmtId="165" fontId="0" fillId="0" borderId="4" xfId="0" applyNumberFormat="1" applyFill="1" applyBorder="1" applyAlignment="1" applyProtection="1">
      <alignment horizontal="right"/>
      <protection hidden="1"/>
    </xf>
    <xf numFmtId="165" fontId="0" fillId="0" borderId="41" xfId="0" applyNumberFormat="1" applyFill="1" applyBorder="1" applyAlignment="1" applyProtection="1">
      <alignment horizontal="right"/>
      <protection hidden="1"/>
    </xf>
    <xf numFmtId="169" fontId="22" fillId="0" borderId="27" xfId="0" applyNumberFormat="1" applyFont="1" applyBorder="1" applyAlignment="1" applyProtection="1">
      <alignment horizontal="right"/>
      <protection hidden="1"/>
    </xf>
    <xf numFmtId="169" fontId="0" fillId="0" borderId="27" xfId="0" applyNumberFormat="1" applyBorder="1" applyAlignment="1" applyProtection="1">
      <alignment horizontal="center"/>
      <protection hidden="1"/>
    </xf>
    <xf numFmtId="169" fontId="0" fillId="0" borderId="0" xfId="0" applyNumberFormat="1" applyBorder="1" applyAlignment="1" applyProtection="1">
      <alignment horizontal="center"/>
      <protection hidden="1"/>
    </xf>
    <xf numFmtId="169" fontId="0" fillId="0" borderId="2" xfId="0" applyNumberFormat="1" applyBorder="1" applyAlignment="1" applyProtection="1">
      <alignment horizontal="center"/>
      <protection hidden="1"/>
    </xf>
    <xf numFmtId="169" fontId="22" fillId="0" borderId="8" xfId="0" applyNumberFormat="1" applyFont="1" applyFill="1" applyBorder="1" applyProtection="1">
      <protection hidden="1"/>
    </xf>
    <xf numFmtId="169" fontId="3" fillId="0" borderId="0" xfId="0" applyNumberFormat="1" applyFont="1" applyBorder="1" applyProtection="1">
      <protection hidden="1"/>
    </xf>
    <xf numFmtId="169" fontId="17" fillId="5" borderId="12" xfId="0" applyNumberFormat="1" applyFont="1" applyFill="1" applyBorder="1" applyAlignment="1" applyProtection="1">
      <protection hidden="1"/>
    </xf>
    <xf numFmtId="169" fontId="53" fillId="13" borderId="18" xfId="0" applyNumberFormat="1" applyFont="1" applyFill="1" applyBorder="1" applyAlignment="1" applyProtection="1">
      <protection hidden="1"/>
    </xf>
    <xf numFmtId="165" fontId="30" fillId="5" borderId="25" xfId="0" applyNumberFormat="1" applyFont="1" applyFill="1" applyBorder="1" applyAlignment="1" applyProtection="1">
      <protection hidden="1"/>
    </xf>
    <xf numFmtId="4" fontId="1" fillId="0" borderId="0" xfId="0" applyNumberFormat="1" applyFont="1" applyAlignment="1" applyProtection="1">
      <alignment horizontal="right"/>
      <protection hidden="1"/>
    </xf>
    <xf numFmtId="165" fontId="1" fillId="0" borderId="0" xfId="0" applyNumberFormat="1" applyFont="1" applyBorder="1" applyAlignment="1" applyProtection="1">
      <alignment horizontal="right"/>
      <protection hidden="1"/>
    </xf>
    <xf numFmtId="43" fontId="41" fillId="0" borderId="0" xfId="1" applyFont="1" applyProtection="1">
      <protection hidden="1"/>
    </xf>
    <xf numFmtId="0" fontId="36" fillId="0" borderId="0" xfId="0" applyFont="1" applyProtection="1">
      <protection locked="0"/>
    </xf>
    <xf numFmtId="0" fontId="23" fillId="0" borderId="0" xfId="0" applyFont="1" applyProtection="1">
      <protection locked="0"/>
    </xf>
    <xf numFmtId="43" fontId="23" fillId="0" borderId="0" xfId="1" applyFont="1" applyProtection="1">
      <protection locked="0"/>
    </xf>
    <xf numFmtId="0" fontId="23" fillId="0" borderId="0" xfId="0" applyFont="1" applyProtection="1">
      <protection hidden="1"/>
    </xf>
    <xf numFmtId="43" fontId="23" fillId="0" borderId="0" xfId="1" applyFont="1" applyProtection="1"/>
    <xf numFmtId="43" fontId="23" fillId="0" borderId="0" xfId="1" applyFont="1" applyProtection="1">
      <protection hidden="1"/>
    </xf>
    <xf numFmtId="43" fontId="23" fillId="0" borderId="0" xfId="1" applyFont="1" applyAlignment="1" applyProtection="1">
      <alignment horizontal="right"/>
      <protection locked="0"/>
    </xf>
    <xf numFmtId="43" fontId="23" fillId="0" borderId="0" xfId="1" applyFont="1" applyAlignment="1" applyProtection="1">
      <alignment horizontal="right"/>
    </xf>
    <xf numFmtId="43" fontId="23" fillId="0" borderId="0" xfId="1" applyFont="1" applyAlignment="1" applyProtection="1">
      <alignment horizontal="right"/>
      <protection hidden="1"/>
    </xf>
    <xf numFmtId="43" fontId="23" fillId="15" borderId="0" xfId="1" applyFont="1" applyFill="1" applyAlignment="1" applyProtection="1">
      <alignment horizontal="right"/>
      <protection hidden="1"/>
    </xf>
    <xf numFmtId="43" fontId="23" fillId="15" borderId="0" xfId="1" applyFont="1" applyFill="1" applyBorder="1" applyProtection="1">
      <protection hidden="1"/>
    </xf>
    <xf numFmtId="0" fontId="1" fillId="0" borderId="0" xfId="9" applyFont="1" applyFill="1" applyBorder="1" applyAlignment="1" applyProtection="1">
      <alignment horizontal="center"/>
      <protection hidden="1"/>
    </xf>
    <xf numFmtId="2" fontId="9" fillId="0" borderId="0" xfId="9" applyNumberFormat="1" applyFont="1" applyAlignment="1" applyProtection="1">
      <alignment horizontal="center"/>
      <protection hidden="1"/>
    </xf>
    <xf numFmtId="43" fontId="9" fillId="0" borderId="0" xfId="9" applyNumberFormat="1" applyFont="1" applyAlignment="1" applyProtection="1">
      <alignment horizontal="center"/>
      <protection hidden="1"/>
    </xf>
    <xf numFmtId="0" fontId="1" fillId="0" borderId="0" xfId="9" applyFont="1" applyProtection="1">
      <protection hidden="1"/>
    </xf>
    <xf numFmtId="2" fontId="1" fillId="0" borderId="0" xfId="9" applyNumberFormat="1" applyFont="1" applyProtection="1">
      <protection hidden="1"/>
    </xf>
    <xf numFmtId="0" fontId="1" fillId="0" borderId="0" xfId="9" applyFont="1" applyAlignment="1" applyProtection="1">
      <alignment horizontal="right"/>
      <protection hidden="1"/>
    </xf>
    <xf numFmtId="15" fontId="1" fillId="0" borderId="0" xfId="9" applyNumberFormat="1" applyFont="1" applyProtection="1">
      <protection hidden="1"/>
    </xf>
    <xf numFmtId="43" fontId="1" fillId="0" borderId="0" xfId="9" applyNumberFormat="1" applyFont="1" applyBorder="1" applyProtection="1">
      <protection hidden="1"/>
    </xf>
    <xf numFmtId="43" fontId="1" fillId="0" borderId="0" xfId="9" applyNumberFormat="1" applyFont="1" applyFill="1" applyProtection="1">
      <protection hidden="1"/>
    </xf>
    <xf numFmtId="43" fontId="1" fillId="0" borderId="42" xfId="9" applyNumberFormat="1" applyFont="1" applyBorder="1" applyProtection="1">
      <protection hidden="1"/>
    </xf>
    <xf numFmtId="43" fontId="1" fillId="0" borderId="24" xfId="9" applyNumberFormat="1" applyFont="1" applyBorder="1" applyProtection="1">
      <protection hidden="1"/>
    </xf>
    <xf numFmtId="168" fontId="1" fillId="0" borderId="0" xfId="9" applyNumberFormat="1" applyFont="1" applyProtection="1">
      <protection hidden="1"/>
    </xf>
    <xf numFmtId="43" fontId="1" fillId="0" borderId="22" xfId="9" applyNumberFormat="1" applyFont="1" applyBorder="1" applyProtection="1">
      <protection hidden="1"/>
    </xf>
    <xf numFmtId="43" fontId="54" fillId="0" borderId="0" xfId="9" applyNumberFormat="1" applyFont="1" applyAlignment="1" applyProtection="1">
      <alignment horizontal="center"/>
      <protection hidden="1"/>
    </xf>
    <xf numFmtId="43" fontId="55" fillId="0" borderId="0" xfId="9" applyNumberFormat="1" applyFont="1" applyAlignment="1" applyProtection="1">
      <alignment horizontal="center"/>
      <protection hidden="1"/>
    </xf>
    <xf numFmtId="43" fontId="54" fillId="0" borderId="0" xfId="9" applyNumberFormat="1" applyFont="1" applyProtection="1">
      <protection hidden="1"/>
    </xf>
    <xf numFmtId="2" fontId="56" fillId="0" borderId="0" xfId="9" applyNumberFormat="1" applyFont="1" applyFill="1" applyBorder="1" applyProtection="1">
      <protection hidden="1"/>
    </xf>
    <xf numFmtId="43" fontId="56" fillId="0" borderId="0" xfId="9" applyNumberFormat="1" applyFont="1" applyFill="1" applyBorder="1" applyProtection="1">
      <protection hidden="1"/>
    </xf>
    <xf numFmtId="43" fontId="57" fillId="0" borderId="0" xfId="9" applyNumberFormat="1" applyFont="1" applyFill="1" applyBorder="1" applyProtection="1">
      <protection hidden="1"/>
    </xf>
    <xf numFmtId="0" fontId="56" fillId="0" borderId="0" xfId="9" applyFont="1" applyFill="1" applyBorder="1" applyProtection="1">
      <protection hidden="1"/>
    </xf>
    <xf numFmtId="43" fontId="57" fillId="0" borderId="0" xfId="9" applyNumberFormat="1" applyFont="1" applyFill="1" applyBorder="1" applyAlignment="1" applyProtection="1">
      <alignment horizontal="center"/>
      <protection hidden="1"/>
    </xf>
    <xf numFmtId="17" fontId="56" fillId="0" borderId="0" xfId="9" applyNumberFormat="1" applyFont="1" applyFill="1" applyBorder="1" applyProtection="1">
      <protection hidden="1"/>
    </xf>
    <xf numFmtId="43" fontId="56" fillId="0" borderId="24" xfId="9" applyNumberFormat="1" applyFont="1" applyFill="1" applyBorder="1" applyProtection="1">
      <protection hidden="1"/>
    </xf>
    <xf numFmtId="168" fontId="56" fillId="0" borderId="0" xfId="9" applyNumberFormat="1" applyFont="1" applyFill="1" applyBorder="1" applyProtection="1">
      <protection hidden="1"/>
    </xf>
    <xf numFmtId="43" fontId="56" fillId="0" borderId="22" xfId="9" applyNumberFormat="1" applyFont="1" applyFill="1" applyBorder="1" applyProtection="1">
      <protection hidden="1"/>
    </xf>
    <xf numFmtId="0" fontId="1" fillId="0" borderId="0" xfId="9" applyFont="1" applyAlignment="1" applyProtection="1">
      <alignment horizontal="center"/>
      <protection hidden="1"/>
    </xf>
    <xf numFmtId="2" fontId="56" fillId="0" borderId="0" xfId="9" applyNumberFormat="1" applyFont="1" applyFill="1" applyBorder="1" applyAlignment="1" applyProtection="1">
      <alignment horizontal="center"/>
      <protection hidden="1"/>
    </xf>
    <xf numFmtId="43" fontId="56" fillId="0" borderId="0" xfId="9" applyNumberFormat="1" applyFont="1" applyFill="1" applyBorder="1" applyAlignment="1" applyProtection="1">
      <alignment horizontal="center"/>
      <protection hidden="1"/>
    </xf>
    <xf numFmtId="0" fontId="56" fillId="0" borderId="0" xfId="9" applyFont="1" applyFill="1" applyBorder="1" applyAlignment="1" applyProtection="1">
      <alignment horizontal="center"/>
      <protection hidden="1"/>
    </xf>
    <xf numFmtId="0" fontId="9" fillId="0" borderId="0" xfId="9" applyFont="1" applyAlignment="1" applyProtection="1">
      <alignment horizontal="center"/>
      <protection hidden="1"/>
    </xf>
    <xf numFmtId="0" fontId="22" fillId="0" borderId="0" xfId="9" applyFont="1" applyProtection="1">
      <protection hidden="1"/>
    </xf>
    <xf numFmtId="43" fontId="57" fillId="0" borderId="24" xfId="9" applyNumberFormat="1" applyFont="1" applyFill="1" applyBorder="1" applyAlignment="1" applyProtection="1">
      <alignment horizontal="center"/>
      <protection hidden="1"/>
    </xf>
    <xf numFmtId="43" fontId="1" fillId="0" borderId="42" xfId="9" applyNumberFormat="1" applyFont="1" applyFill="1" applyBorder="1" applyProtection="1">
      <protection hidden="1"/>
    </xf>
    <xf numFmtId="0" fontId="9" fillId="0" borderId="0" xfId="9" applyFont="1"/>
    <xf numFmtId="49" fontId="9" fillId="0" borderId="0" xfId="9" applyNumberFormat="1" applyFont="1" applyProtection="1">
      <protection locked="0"/>
    </xf>
    <xf numFmtId="49" fontId="1" fillId="0" borderId="0" xfId="9" applyNumberFormat="1" applyFont="1" applyProtection="1">
      <protection locked="0"/>
    </xf>
    <xf numFmtId="43" fontId="9" fillId="0" borderId="0" xfId="1" applyFont="1" applyBorder="1" applyProtection="1">
      <protection locked="0"/>
    </xf>
    <xf numFmtId="43" fontId="22" fillId="0" borderId="0" xfId="1" applyFont="1" applyProtection="1">
      <protection hidden="1"/>
    </xf>
    <xf numFmtId="43" fontId="22" fillId="0" borderId="24" xfId="1" applyFont="1" applyBorder="1" applyProtection="1">
      <protection hidden="1"/>
    </xf>
    <xf numFmtId="43" fontId="22" fillId="0" borderId="39" xfId="1" applyFont="1" applyBorder="1" applyProtection="1">
      <protection hidden="1"/>
    </xf>
    <xf numFmtId="43" fontId="9" fillId="0" borderId="0" xfId="0" applyNumberFormat="1" applyFont="1" applyAlignment="1" applyProtection="1">
      <alignment horizontal="center"/>
      <protection hidden="1"/>
    </xf>
    <xf numFmtId="43" fontId="9" fillId="0" borderId="0" xfId="0" applyNumberFormat="1" applyFont="1" applyBorder="1" applyAlignment="1" applyProtection="1">
      <alignment horizontal="center"/>
      <protection hidden="1"/>
    </xf>
    <xf numFmtId="0" fontId="1" fillId="0" borderId="0" xfId="0" applyFont="1" applyAlignment="1" applyProtection="1">
      <alignment horizontal="right"/>
      <protection hidden="1"/>
    </xf>
    <xf numFmtId="43" fontId="1" fillId="0" borderId="0" xfId="0" applyNumberFormat="1" applyFont="1" applyProtection="1">
      <protection hidden="1"/>
    </xf>
    <xf numFmtId="43" fontId="1" fillId="0" borderId="0" xfId="0" applyNumberFormat="1" applyFont="1" applyBorder="1" applyProtection="1">
      <protection hidden="1"/>
    </xf>
    <xf numFmtId="17" fontId="1" fillId="0" borderId="0" xfId="0" applyNumberFormat="1" applyFont="1" applyProtection="1">
      <protection hidden="1"/>
    </xf>
    <xf numFmtId="43" fontId="1" fillId="0" borderId="24" xfId="0" applyNumberFormat="1" applyFont="1" applyBorder="1" applyProtection="1">
      <protection hidden="1"/>
    </xf>
    <xf numFmtId="43" fontId="1" fillId="0" borderId="39" xfId="0" applyNumberFormat="1" applyFont="1" applyBorder="1" applyProtection="1">
      <protection hidden="1"/>
    </xf>
    <xf numFmtId="0" fontId="1" fillId="0" borderId="39" xfId="0" applyFont="1" applyBorder="1" applyProtection="1">
      <protection hidden="1"/>
    </xf>
    <xf numFmtId="49" fontId="23" fillId="0" borderId="0" xfId="9" applyNumberFormat="1" applyFont="1" applyFill="1" applyBorder="1" applyAlignment="1" applyProtection="1">
      <alignment horizontal="center"/>
      <protection hidden="1"/>
    </xf>
    <xf numFmtId="0" fontId="1" fillId="0" borderId="0" xfId="0" applyFont="1" applyProtection="1">
      <protection locked="0"/>
    </xf>
    <xf numFmtId="0" fontId="60" fillId="0" borderId="0" xfId="0" applyFont="1" applyProtection="1">
      <protection locked="0"/>
    </xf>
    <xf numFmtId="4" fontId="1" fillId="0" borderId="0" xfId="0" applyNumberFormat="1" applyFont="1" applyAlignment="1" applyProtection="1">
      <alignment horizontal="center"/>
      <protection locked="0"/>
    </xf>
    <xf numFmtId="4" fontId="1" fillId="0" borderId="43" xfId="0" applyNumberFormat="1" applyFont="1" applyBorder="1" applyAlignment="1" applyProtection="1">
      <alignment horizontal="right"/>
      <protection locked="0"/>
    </xf>
    <xf numFmtId="2" fontId="1" fillId="0" borderId="0" xfId="0" applyNumberFormat="1" applyFont="1" applyAlignment="1" applyProtection="1">
      <alignment horizontal="right"/>
      <protection locked="0"/>
    </xf>
    <xf numFmtId="4" fontId="1" fillId="0" borderId="44" xfId="0" applyNumberFormat="1" applyFont="1" applyBorder="1" applyAlignment="1" applyProtection="1">
      <alignment horizontal="right"/>
      <protection locked="0"/>
    </xf>
    <xf numFmtId="4" fontId="1" fillId="0" borderId="45" xfId="0" applyNumberFormat="1" applyFont="1" applyBorder="1" applyAlignment="1" applyProtection="1">
      <alignment horizontal="right"/>
      <protection locked="0"/>
    </xf>
    <xf numFmtId="4" fontId="1" fillId="0" borderId="0" xfId="0" applyNumberFormat="1" applyFont="1" applyAlignment="1" applyProtection="1">
      <alignment horizontal="right"/>
      <protection locked="0"/>
    </xf>
    <xf numFmtId="4" fontId="1" fillId="0" borderId="46" xfId="0" applyNumberFormat="1" applyFont="1" applyBorder="1" applyAlignment="1" applyProtection="1">
      <alignment horizontal="right"/>
      <protection locked="0"/>
    </xf>
    <xf numFmtId="4" fontId="1" fillId="0" borderId="47" xfId="0" applyNumberFormat="1" applyFont="1" applyBorder="1" applyAlignment="1" applyProtection="1">
      <alignment horizontal="center"/>
      <protection locked="0"/>
    </xf>
    <xf numFmtId="4" fontId="1" fillId="0" borderId="47" xfId="0" applyNumberFormat="1" applyFont="1" applyBorder="1" applyAlignment="1" applyProtection="1">
      <alignment horizontal="right"/>
      <protection locked="0"/>
    </xf>
    <xf numFmtId="0" fontId="1" fillId="0" borderId="1" xfId="0" applyFont="1" applyBorder="1" applyProtection="1">
      <protection locked="0"/>
    </xf>
    <xf numFmtId="0" fontId="0" fillId="0" borderId="1" xfId="0" applyBorder="1" applyAlignment="1" applyProtection="1">
      <alignment horizontal="center"/>
      <protection locked="0"/>
    </xf>
    <xf numFmtId="4" fontId="0" fillId="0" borderId="1" xfId="0" applyNumberFormat="1" applyBorder="1" applyAlignment="1" applyProtection="1">
      <alignment horizontal="center"/>
      <protection locked="0"/>
    </xf>
    <xf numFmtId="4" fontId="0" fillId="0" borderId="1" xfId="1" applyNumberFormat="1" applyFont="1" applyBorder="1" applyAlignment="1" applyProtection="1">
      <alignment horizontal="center"/>
      <protection locked="0"/>
    </xf>
    <xf numFmtId="4" fontId="0" fillId="0" borderId="1" xfId="0" applyNumberFormat="1" applyBorder="1" applyAlignment="1" applyProtection="1">
      <alignment horizontal="right"/>
      <protection locked="0"/>
    </xf>
    <xf numFmtId="4" fontId="0" fillId="0" borderId="34" xfId="0" applyNumberFormat="1" applyFill="1" applyBorder="1" applyAlignment="1" applyProtection="1">
      <alignment horizontal="right"/>
      <protection locked="0"/>
    </xf>
    <xf numFmtId="4" fontId="0" fillId="0" borderId="0" xfId="0" applyNumberFormat="1" applyBorder="1" applyAlignment="1" applyProtection="1">
      <alignment horizontal="right"/>
      <protection locked="0"/>
    </xf>
    <xf numFmtId="4" fontId="0" fillId="0" borderId="34" xfId="0" applyNumberFormat="1" applyBorder="1" applyAlignment="1" applyProtection="1">
      <alignment horizontal="right"/>
      <protection locked="0"/>
    </xf>
    <xf numFmtId="4" fontId="0" fillId="0" borderId="14" xfId="0" applyNumberFormat="1" applyBorder="1" applyAlignment="1" applyProtection="1">
      <alignment horizontal="right"/>
      <protection locked="0"/>
    </xf>
    <xf numFmtId="2" fontId="1" fillId="0" borderId="1" xfId="0" applyNumberFormat="1" applyFont="1" applyBorder="1" applyAlignment="1" applyProtection="1">
      <alignment horizontal="right" wrapText="1"/>
      <protection locked="0"/>
    </xf>
    <xf numFmtId="2" fontId="1" fillId="0" borderId="0" xfId="0" applyNumberFormat="1" applyFont="1" applyBorder="1" applyAlignment="1" applyProtection="1">
      <alignment horizontal="right" wrapText="1"/>
      <protection locked="0"/>
    </xf>
    <xf numFmtId="2" fontId="1" fillId="0" borderId="0" xfId="0" applyNumberFormat="1" applyFont="1" applyAlignment="1" applyProtection="1">
      <alignment wrapText="1"/>
      <protection locked="0"/>
    </xf>
    <xf numFmtId="2" fontId="1" fillId="0" borderId="14" xfId="0" applyNumberFormat="1" applyFont="1" applyBorder="1" applyAlignment="1" applyProtection="1">
      <alignment horizontal="right" wrapText="1"/>
      <protection locked="0"/>
    </xf>
    <xf numFmtId="0" fontId="1" fillId="0" borderId="0" xfId="0" applyNumberFormat="1" applyFont="1" applyBorder="1" applyAlignment="1" applyProtection="1">
      <alignment horizontal="left"/>
      <protection locked="0"/>
    </xf>
    <xf numFmtId="0" fontId="1" fillId="0" borderId="0" xfId="0" applyNumberFormat="1" applyFont="1" applyBorder="1" applyAlignment="1" applyProtection="1">
      <alignment horizontal="left" wrapText="1"/>
      <protection locked="0"/>
    </xf>
    <xf numFmtId="2" fontId="1" fillId="0" borderId="2" xfId="0" applyNumberFormat="1" applyFont="1" applyBorder="1" applyAlignment="1" applyProtection="1">
      <alignment horizontal="right" wrapText="1"/>
      <protection locked="0"/>
    </xf>
    <xf numFmtId="0" fontId="1" fillId="0" borderId="1" xfId="0" applyNumberFormat="1" applyFont="1" applyBorder="1" applyAlignment="1" applyProtection="1">
      <alignment horizontal="left" wrapText="1"/>
      <protection locked="0"/>
    </xf>
    <xf numFmtId="4" fontId="1" fillId="0" borderId="0" xfId="0" applyNumberFormat="1" applyFont="1" applyAlignment="1" applyProtection="1">
      <alignment horizontal="center" wrapText="1"/>
      <protection locked="0"/>
    </xf>
    <xf numFmtId="0" fontId="61" fillId="18" borderId="48" xfId="9" applyFont="1" applyFill="1" applyBorder="1" applyAlignment="1">
      <alignment horizontal="right"/>
    </xf>
    <xf numFmtId="0" fontId="61" fillId="18" borderId="49" xfId="9" applyFont="1" applyFill="1" applyBorder="1" applyAlignment="1">
      <alignment horizontal="right"/>
    </xf>
    <xf numFmtId="169" fontId="61" fillId="18" borderId="49" xfId="9" applyNumberFormat="1" applyFont="1" applyFill="1" applyBorder="1" applyAlignment="1">
      <alignment horizontal="right"/>
    </xf>
    <xf numFmtId="0" fontId="1" fillId="0" borderId="0" xfId="9"/>
    <xf numFmtId="0" fontId="61" fillId="18" borderId="50" xfId="9" applyFont="1" applyFill="1" applyBorder="1" applyAlignment="1">
      <alignment horizontal="right"/>
    </xf>
    <xf numFmtId="0" fontId="61" fillId="18" borderId="0" xfId="9" applyFont="1" applyFill="1" applyBorder="1" applyAlignment="1">
      <alignment horizontal="right"/>
    </xf>
    <xf numFmtId="169" fontId="61" fillId="18" borderId="0" xfId="9" applyNumberFormat="1" applyFont="1" applyFill="1" applyBorder="1" applyAlignment="1">
      <alignment horizontal="right"/>
    </xf>
    <xf numFmtId="0" fontId="61" fillId="18" borderId="51" xfId="9" applyFont="1" applyFill="1" applyBorder="1" applyAlignment="1">
      <alignment horizontal="center"/>
    </xf>
    <xf numFmtId="0" fontId="61" fillId="18" borderId="52" xfId="9" applyFont="1" applyFill="1" applyBorder="1" applyAlignment="1">
      <alignment horizontal="right"/>
    </xf>
    <xf numFmtId="169" fontId="61" fillId="18" borderId="52" xfId="9" applyNumberFormat="1" applyFont="1" applyFill="1" applyBorder="1" applyAlignment="1">
      <alignment horizontal="right"/>
    </xf>
    <xf numFmtId="167" fontId="1" fillId="0" borderId="50" xfId="9" applyNumberFormat="1" applyFont="1" applyBorder="1" applyAlignment="1">
      <alignment horizontal="center"/>
    </xf>
    <xf numFmtId="169" fontId="1" fillId="0" borderId="0" xfId="9" applyNumberFormat="1" applyBorder="1" applyAlignment="1" applyProtection="1">
      <protection hidden="1"/>
    </xf>
    <xf numFmtId="169" fontId="1" fillId="0" borderId="0" xfId="9" applyNumberFormat="1" applyFont="1"/>
    <xf numFmtId="0" fontId="1" fillId="0" borderId="0" xfId="0" applyFont="1" applyAlignment="1" applyProtection="1">
      <alignment wrapText="1"/>
      <protection locked="0"/>
    </xf>
    <xf numFmtId="0" fontId="0" fillId="0" borderId="0" xfId="0" applyProtection="1">
      <protection locked="0" hidden="1"/>
    </xf>
    <xf numFmtId="4" fontId="0" fillId="0" borderId="0" xfId="0" applyNumberFormat="1" applyAlignment="1" applyProtection="1">
      <alignment horizontal="center"/>
      <protection locked="0" hidden="1"/>
    </xf>
    <xf numFmtId="0" fontId="1" fillId="0" borderId="2" xfId="0" applyNumberFormat="1" applyFont="1" applyBorder="1" applyAlignment="1" applyProtection="1">
      <alignment horizontal="left" wrapText="1"/>
      <protection locked="0"/>
    </xf>
    <xf numFmtId="0" fontId="1" fillId="0" borderId="2" xfId="0" applyNumberFormat="1" applyFont="1" applyBorder="1" applyAlignment="1" applyProtection="1">
      <alignment horizontal="left"/>
      <protection locked="0"/>
    </xf>
    <xf numFmtId="8" fontId="1" fillId="0" borderId="0" xfId="9" applyNumberFormat="1"/>
    <xf numFmtId="169" fontId="1" fillId="0" borderId="0" xfId="0" applyNumberFormat="1" applyFont="1" applyBorder="1" applyAlignment="1" applyProtection="1">
      <protection hidden="1"/>
    </xf>
    <xf numFmtId="49" fontId="1" fillId="0" borderId="0" xfId="0" applyNumberFormat="1" applyFont="1" applyFill="1" applyBorder="1" applyProtection="1">
      <protection hidden="1"/>
    </xf>
    <xf numFmtId="169" fontId="1" fillId="0" borderId="0" xfId="0" applyNumberFormat="1" applyFont="1" applyFill="1" applyBorder="1" applyAlignment="1" applyProtection="1">
      <protection hidden="1"/>
    </xf>
    <xf numFmtId="49" fontId="1" fillId="0" borderId="0" xfId="0" applyNumberFormat="1" applyFont="1" applyFill="1" applyBorder="1" applyAlignment="1" applyProtection="1">
      <protection hidden="1"/>
    </xf>
    <xf numFmtId="43" fontId="1" fillId="0" borderId="0" xfId="0" applyNumberFormat="1" applyFont="1" applyFill="1" applyBorder="1" applyProtection="1">
      <protection hidden="1"/>
    </xf>
    <xf numFmtId="49" fontId="0" fillId="0" borderId="0" xfId="0" applyNumberFormat="1" applyBorder="1" applyAlignment="1" applyProtection="1">
      <alignment horizontal="right"/>
      <protection hidden="1"/>
    </xf>
    <xf numFmtId="49" fontId="1" fillId="0" borderId="0" xfId="0" applyNumberFormat="1" applyFont="1" applyBorder="1" applyAlignment="1" applyProtection="1">
      <alignment horizontal="right"/>
      <protection hidden="1"/>
    </xf>
    <xf numFmtId="172" fontId="1" fillId="0" borderId="0" xfId="0" applyNumberFormat="1" applyFont="1" applyBorder="1" applyAlignment="1" applyProtection="1">
      <alignment horizontal="right"/>
      <protection hidden="1"/>
    </xf>
    <xf numFmtId="169" fontId="16" fillId="19" borderId="6" xfId="0" applyNumberFormat="1" applyFont="1" applyFill="1" applyBorder="1" applyAlignment="1" applyProtection="1">
      <protection hidden="1"/>
    </xf>
    <xf numFmtId="49" fontId="1" fillId="0" borderId="0" xfId="0" applyNumberFormat="1" applyFont="1" applyFill="1" applyBorder="1" applyAlignment="1" applyProtection="1">
      <alignment horizontal="right"/>
      <protection hidden="1"/>
    </xf>
    <xf numFmtId="49" fontId="0" fillId="0" borderId="0" xfId="0" applyNumberFormat="1" applyFill="1" applyBorder="1" applyAlignment="1" applyProtection="1">
      <alignment horizontal="right"/>
      <protection hidden="1"/>
    </xf>
    <xf numFmtId="0" fontId="0" fillId="0" borderId="0" xfId="0" applyAlignment="1">
      <alignment horizontal="right"/>
    </xf>
    <xf numFmtId="43" fontId="0" fillId="0" borderId="0" xfId="1" applyNumberFormat="1" applyFont="1" applyProtection="1">
      <protection hidden="1"/>
    </xf>
    <xf numFmtId="0" fontId="1" fillId="0" borderId="0" xfId="0" applyFont="1" applyFill="1" applyProtection="1">
      <protection hidden="1"/>
    </xf>
    <xf numFmtId="169" fontId="1" fillId="19" borderId="0" xfId="0" applyNumberFormat="1" applyFont="1" applyFill="1" applyBorder="1" applyAlignment="1" applyProtection="1">
      <protection hidden="1"/>
    </xf>
    <xf numFmtId="4" fontId="0" fillId="0" borderId="0" xfId="0" applyNumberFormat="1" applyFill="1" applyBorder="1" applyAlignment="1" applyProtection="1">
      <alignment horizontal="center" vertical="center" wrapText="1"/>
      <protection hidden="1"/>
    </xf>
    <xf numFmtId="165" fontId="58" fillId="13" borderId="18" xfId="0" applyNumberFormat="1" applyFont="1" applyFill="1" applyBorder="1" applyAlignment="1" applyProtection="1">
      <protection hidden="1"/>
    </xf>
    <xf numFmtId="165" fontId="58" fillId="13" borderId="25" xfId="0" applyNumberFormat="1" applyFont="1" applyFill="1" applyBorder="1" applyAlignment="1" applyProtection="1">
      <protection hidden="1"/>
    </xf>
    <xf numFmtId="0" fontId="9" fillId="0" borderId="0" xfId="0" applyFont="1" applyAlignment="1" applyProtection="1">
      <alignment horizontal="center"/>
      <protection hidden="1"/>
    </xf>
    <xf numFmtId="43" fontId="9" fillId="0" borderId="0" xfId="1" applyFont="1" applyAlignment="1" applyProtection="1">
      <alignment horizontal="center"/>
      <protection hidden="1"/>
    </xf>
    <xf numFmtId="0" fontId="14" fillId="0" borderId="0" xfId="9" applyFont="1" applyAlignment="1" applyProtection="1">
      <alignment horizontal="center" wrapText="1"/>
      <protection locked="0"/>
    </xf>
    <xf numFmtId="43" fontId="57" fillId="0" borderId="24" xfId="9" applyNumberFormat="1" applyFont="1" applyFill="1" applyBorder="1" applyAlignment="1" applyProtection="1">
      <alignment horizontal="center"/>
      <protection hidden="1"/>
    </xf>
    <xf numFmtId="0" fontId="13" fillId="0" borderId="0" xfId="8" applyFont="1" applyAlignment="1" applyProtection="1">
      <alignment horizontal="center" vertical="center"/>
      <protection locked="0"/>
    </xf>
    <xf numFmtId="0" fontId="13" fillId="0" borderId="0" xfId="8" applyFont="1" applyAlignment="1" applyProtection="1">
      <alignment horizontal="center"/>
      <protection locked="0"/>
    </xf>
    <xf numFmtId="43" fontId="37" fillId="0" borderId="0" xfId="2" applyFont="1" applyAlignment="1">
      <alignment horizontal="center"/>
    </xf>
    <xf numFmtId="0" fontId="14" fillId="0" borderId="0" xfId="0" applyFont="1" applyFill="1" applyAlignment="1" applyProtection="1">
      <alignment horizontal="left"/>
      <protection hidden="1"/>
    </xf>
    <xf numFmtId="43" fontId="14" fillId="0" borderId="0" xfId="1" applyFont="1" applyFill="1" applyAlignment="1" applyProtection="1">
      <alignment horizontal="left"/>
      <protection hidden="1"/>
    </xf>
    <xf numFmtId="0" fontId="0" fillId="0" borderId="0" xfId="0" applyFill="1" applyAlignment="1" applyProtection="1">
      <alignment horizontal="left"/>
      <protection locked="0"/>
    </xf>
    <xf numFmtId="43" fontId="22" fillId="0" borderId="0" xfId="1" applyFont="1" applyFill="1" applyBorder="1" applyAlignment="1" applyProtection="1">
      <alignment horizontal="left"/>
      <protection locked="0"/>
    </xf>
    <xf numFmtId="43" fontId="0" fillId="0" borderId="0" xfId="1" applyFont="1" applyFill="1" applyAlignment="1" applyProtection="1">
      <alignment horizontal="left"/>
      <protection locked="0"/>
    </xf>
    <xf numFmtId="43" fontId="1" fillId="0" borderId="0" xfId="1" applyFont="1" applyFill="1" applyAlignment="1" applyProtection="1">
      <alignment horizontal="left"/>
      <protection locked="0"/>
    </xf>
    <xf numFmtId="0" fontId="22" fillId="0" borderId="0" xfId="0" applyFont="1" applyFill="1" applyAlignment="1" applyProtection="1">
      <alignment horizontal="left"/>
      <protection locked="0"/>
    </xf>
    <xf numFmtId="0" fontId="1" fillId="0" borderId="26" xfId="0" applyFont="1" applyBorder="1" applyProtection="1">
      <protection hidden="1"/>
    </xf>
    <xf numFmtId="0" fontId="1" fillId="0" borderId="27" xfId="0" applyFont="1" applyBorder="1" applyProtection="1">
      <protection hidden="1"/>
    </xf>
    <xf numFmtId="0" fontId="1" fillId="0" borderId="12" xfId="0" applyFont="1" applyBorder="1" applyProtection="1">
      <protection hidden="1"/>
    </xf>
    <xf numFmtId="169" fontId="0" fillId="0" borderId="4" xfId="0" applyNumberFormat="1" applyBorder="1" applyAlignment="1" applyProtection="1">
      <protection hidden="1"/>
    </xf>
  </cellXfs>
  <cellStyles count="13">
    <cellStyle name="Comma" xfId="1" builtinId="3"/>
    <cellStyle name="Comma 2" xfId="2" xr:uid="{00000000-0005-0000-0000-000001000000}"/>
    <cellStyle name="Currency" xfId="3" builtinId="4"/>
    <cellStyle name="Dezimal [0]_Compiling Utility Macros" xfId="4" xr:uid="{00000000-0005-0000-0000-000003000000}"/>
    <cellStyle name="Dezimal_Compiling Utility Macros" xfId="5" xr:uid="{00000000-0005-0000-0000-000004000000}"/>
    <cellStyle name="Hyperlink" xfId="6" builtinId="8"/>
    <cellStyle name="Normal" xfId="0" builtinId="0"/>
    <cellStyle name="Normal 2" xfId="7" xr:uid="{00000000-0005-0000-0000-000007000000}"/>
    <cellStyle name="Normal 3" xfId="8" xr:uid="{00000000-0005-0000-0000-000008000000}"/>
    <cellStyle name="Normal 4" xfId="9" xr:uid="{00000000-0005-0000-0000-000009000000}"/>
    <cellStyle name="Standard_Anpassen der Amortisation" xfId="10" xr:uid="{00000000-0005-0000-0000-00000A000000}"/>
    <cellStyle name="Währung [0]_Compiling Utility Macros" xfId="11" xr:uid="{00000000-0005-0000-0000-00000B000000}"/>
    <cellStyle name="Währung_Compiling Utility Macros" xfId="12" xr:uid="{00000000-0005-0000-0000-00000C000000}"/>
  </cellStyles>
  <dxfs count="411">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solid">
          <fgColor rgb="FFC0C0C0"/>
          <bgColor rgb="FFC0C0C0"/>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E3E3E3"/>
          <bgColor rgb="FFE3E3E3"/>
        </patternFill>
      </fill>
      <border>
        <left/>
        <right/>
        <top/>
        <bottom/>
      </border>
    </dxf>
    <dxf>
      <fill>
        <patternFill patternType="solid">
          <fgColor rgb="FFD8D8D8"/>
          <bgColor rgb="FFD8D8D8"/>
        </patternFill>
      </fill>
      <border>
        <left/>
        <right/>
        <top/>
        <bottom/>
      </border>
    </dxf>
    <dxf>
      <fill>
        <patternFill patternType="none"/>
      </fill>
      <border>
        <left/>
        <right/>
        <top/>
        <bottom/>
      </border>
    </dxf>
    <dxf>
      <fill>
        <patternFill patternType="solid">
          <fgColor rgb="FFD8D8D8"/>
          <bgColor rgb="FFD8D8D8"/>
        </patternFill>
      </fill>
      <border>
        <left/>
        <right/>
        <top/>
        <bottom/>
      </border>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
      <fill>
        <patternFill patternType="lightGray">
          <bgColor theme="0" tint="-0.14996795556505021"/>
        </patternFill>
      </fill>
    </dxf>
    <dxf>
      <fill>
        <patternFill patternType="lightGray">
          <bgColor theme="0" tint="-0.14996795556505021"/>
        </patternFill>
      </fill>
    </dxf>
    <dxf>
      <numFmt numFmtId="30" formatCode="@"/>
      <fill>
        <patternFill patternType="lightGray">
          <bgColor theme="0" tint="-0.1499679555650502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Getting Started - FAQ'!A33"/><Relationship Id="rId3" Type="http://schemas.openxmlformats.org/officeDocument/2006/relationships/hyperlink" Target="#'Getting Started - FAQ'!A6"/><Relationship Id="rId7" Type="http://schemas.openxmlformats.org/officeDocument/2006/relationships/hyperlink" Target="#'Getting Started - FAQ'!A8"/><Relationship Id="rId12" Type="http://schemas.openxmlformats.org/officeDocument/2006/relationships/hyperlink" Target="#'Getting Started - FAQ'!A31"/><Relationship Id="rId17" Type="http://schemas.openxmlformats.org/officeDocument/2006/relationships/hyperlink" Target="#'Getting Started - FAQ'!A23"/><Relationship Id="rId2" Type="http://schemas.openxmlformats.org/officeDocument/2006/relationships/image" Target="../media/image2.png"/><Relationship Id="rId16" Type="http://schemas.openxmlformats.org/officeDocument/2006/relationships/image" Target="../media/image8.png"/><Relationship Id="rId1" Type="http://schemas.openxmlformats.org/officeDocument/2006/relationships/hyperlink" Target="#'Getting Started - FAQ'!A4"/><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Getting Started - FAQ'!A11"/><Relationship Id="rId15" Type="http://schemas.openxmlformats.org/officeDocument/2006/relationships/hyperlink" Target="#'Getting Started - FAQ'!A27"/><Relationship Id="rId10" Type="http://schemas.openxmlformats.org/officeDocument/2006/relationships/hyperlink" Target="#'Getting Started - FAQ'!A21"/><Relationship Id="rId4" Type="http://schemas.openxmlformats.org/officeDocument/2006/relationships/image" Target="../media/image3.png"/><Relationship Id="rId9" Type="http://schemas.openxmlformats.org/officeDocument/2006/relationships/hyperlink" Target="#'Getting Started - FAQ'!A13"/><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hyperlink" Target="#'Getting Started - FAQ'!A21"/><Relationship Id="rId13" Type="http://schemas.openxmlformats.org/officeDocument/2006/relationships/hyperlink" Target="#'Getting Started - FAQ'!A23"/><Relationship Id="rId3" Type="http://schemas.openxmlformats.org/officeDocument/2006/relationships/hyperlink" Target="#'Getting Started - FAQ'!A4"/><Relationship Id="rId7" Type="http://schemas.openxmlformats.org/officeDocument/2006/relationships/hyperlink" Target="#'Getting Started - FAQ'!A13"/><Relationship Id="rId12" Type="http://schemas.openxmlformats.org/officeDocument/2006/relationships/image" Target="../media/image4.png"/><Relationship Id="rId17" Type="http://schemas.openxmlformats.org/officeDocument/2006/relationships/image" Target="../media/image7.png"/><Relationship Id="rId2" Type="http://schemas.openxmlformats.org/officeDocument/2006/relationships/image" Target="../media/image5.png"/><Relationship Id="rId16" Type="http://schemas.openxmlformats.org/officeDocument/2006/relationships/hyperlink" Target="#'Getting Started - FAQ'!A33"/><Relationship Id="rId1" Type="http://schemas.openxmlformats.org/officeDocument/2006/relationships/hyperlink" Target="#'Getting Started - FAQ'!A8"/><Relationship Id="rId6" Type="http://schemas.openxmlformats.org/officeDocument/2006/relationships/image" Target="../media/image3.png"/><Relationship Id="rId11" Type="http://schemas.openxmlformats.org/officeDocument/2006/relationships/hyperlink" Target="#'Getting Started - FAQ'!A29"/><Relationship Id="rId5" Type="http://schemas.openxmlformats.org/officeDocument/2006/relationships/hyperlink" Target="#'Getting Started - FAQ'!A6"/><Relationship Id="rId15" Type="http://schemas.openxmlformats.org/officeDocument/2006/relationships/hyperlink" Target="#'Getting Started - FAQ'!A27"/><Relationship Id="rId10" Type="http://schemas.openxmlformats.org/officeDocument/2006/relationships/hyperlink" Target="#'Getting Started - FAQ'!A31"/><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image" Target="../media/image8.png"/></Relationships>
</file>

<file path=xl/drawings/_rels/drawing4.xml.rels><?xml version="1.0" encoding="UTF-8" standalone="yes"?>
<Relationships xmlns="http://schemas.openxmlformats.org/package/2006/relationships"><Relationship Id="rId8" Type="http://schemas.openxmlformats.org/officeDocument/2006/relationships/hyperlink" Target="#'Getting Started - FAQ'!A23"/><Relationship Id="rId13" Type="http://schemas.openxmlformats.org/officeDocument/2006/relationships/image" Target="../media/image4.png"/><Relationship Id="rId3" Type="http://schemas.openxmlformats.org/officeDocument/2006/relationships/hyperlink" Target="#'Getting Started - FAQ'!A4"/><Relationship Id="rId7" Type="http://schemas.openxmlformats.org/officeDocument/2006/relationships/hyperlink" Target="#'Getting Started - FAQ'!A13"/><Relationship Id="rId12" Type="http://schemas.openxmlformats.org/officeDocument/2006/relationships/hyperlink" Target="#'Getting Started - FAQ'!A29"/><Relationship Id="rId17" Type="http://schemas.openxmlformats.org/officeDocument/2006/relationships/image" Target="../media/image7.png"/><Relationship Id="rId2" Type="http://schemas.openxmlformats.org/officeDocument/2006/relationships/image" Target="../media/image5.png"/><Relationship Id="rId16" Type="http://schemas.openxmlformats.org/officeDocument/2006/relationships/hyperlink" Target="#'Getting Started - FAQ'!A33"/><Relationship Id="rId1" Type="http://schemas.openxmlformats.org/officeDocument/2006/relationships/hyperlink" Target="#'Getting Started - FAQ'!A8"/><Relationship Id="rId6" Type="http://schemas.openxmlformats.org/officeDocument/2006/relationships/image" Target="../media/image3.png"/><Relationship Id="rId11" Type="http://schemas.openxmlformats.org/officeDocument/2006/relationships/image" Target="../media/image6.png"/><Relationship Id="rId5" Type="http://schemas.openxmlformats.org/officeDocument/2006/relationships/hyperlink" Target="#'Getting Started - FAQ'!A6"/><Relationship Id="rId15" Type="http://schemas.openxmlformats.org/officeDocument/2006/relationships/hyperlink" Target="#'Getting Started - FAQ'!A27"/><Relationship Id="rId10" Type="http://schemas.openxmlformats.org/officeDocument/2006/relationships/hyperlink" Target="#'Getting Started - FAQ'!A31"/><Relationship Id="rId4" Type="http://schemas.openxmlformats.org/officeDocument/2006/relationships/image" Target="../media/image2.png"/><Relationship Id="rId9" Type="http://schemas.openxmlformats.org/officeDocument/2006/relationships/image" Target="../media/image8.png"/><Relationship Id="rId14" Type="http://schemas.openxmlformats.org/officeDocument/2006/relationships/hyperlink" Target="#'Getting Started - FAQ'!A21"/></Relationships>
</file>

<file path=xl/drawings/_rels/drawing5.xml.rels><?xml version="1.0" encoding="UTF-8" standalone="yes"?>
<Relationships xmlns="http://schemas.openxmlformats.org/package/2006/relationships"><Relationship Id="rId8" Type="http://schemas.openxmlformats.org/officeDocument/2006/relationships/hyperlink" Target="#'Getting Started - FAQ'!A23"/><Relationship Id="rId13" Type="http://schemas.openxmlformats.org/officeDocument/2006/relationships/image" Target="../media/image4.png"/><Relationship Id="rId3" Type="http://schemas.openxmlformats.org/officeDocument/2006/relationships/hyperlink" Target="#'Getting Started - FAQ'!A13"/><Relationship Id="rId7" Type="http://schemas.openxmlformats.org/officeDocument/2006/relationships/image" Target="../media/image3.png"/><Relationship Id="rId12" Type="http://schemas.openxmlformats.org/officeDocument/2006/relationships/hyperlink" Target="#'Getting Started - FAQ'!A29"/><Relationship Id="rId17" Type="http://schemas.openxmlformats.org/officeDocument/2006/relationships/image" Target="../media/image7.png"/><Relationship Id="rId2" Type="http://schemas.openxmlformats.org/officeDocument/2006/relationships/image" Target="../media/image5.png"/><Relationship Id="rId16" Type="http://schemas.openxmlformats.org/officeDocument/2006/relationships/hyperlink" Target="#'Getting Started - FAQ'!A33"/><Relationship Id="rId1" Type="http://schemas.openxmlformats.org/officeDocument/2006/relationships/hyperlink" Target="#'Getting Started - FAQ'!A8"/><Relationship Id="rId6" Type="http://schemas.openxmlformats.org/officeDocument/2006/relationships/hyperlink" Target="#'Getting Started - FAQ'!A6"/><Relationship Id="rId11" Type="http://schemas.openxmlformats.org/officeDocument/2006/relationships/image" Target="../media/image6.png"/><Relationship Id="rId5" Type="http://schemas.openxmlformats.org/officeDocument/2006/relationships/image" Target="../media/image2.png"/><Relationship Id="rId15" Type="http://schemas.openxmlformats.org/officeDocument/2006/relationships/hyperlink" Target="#'Getting Started - FAQ'!A31"/><Relationship Id="rId10" Type="http://schemas.openxmlformats.org/officeDocument/2006/relationships/hyperlink" Target="#'Getting Started - FAQ'!A21"/><Relationship Id="rId4" Type="http://schemas.openxmlformats.org/officeDocument/2006/relationships/hyperlink" Target="#'Getting Started - FAQ'!A4"/><Relationship Id="rId9" Type="http://schemas.openxmlformats.org/officeDocument/2006/relationships/image" Target="../media/image8.png"/><Relationship Id="rId14" Type="http://schemas.openxmlformats.org/officeDocument/2006/relationships/hyperlink" Target="#'Getting Started - FAQ'!A27"/></Relationships>
</file>

<file path=xl/drawings/_rels/drawing6.xml.rels><?xml version="1.0" encoding="UTF-8" standalone="yes"?>
<Relationships xmlns="http://schemas.openxmlformats.org/package/2006/relationships"><Relationship Id="rId8" Type="http://schemas.openxmlformats.org/officeDocument/2006/relationships/hyperlink" Target="#'Getting Started - FAQ'!A23"/><Relationship Id="rId13" Type="http://schemas.openxmlformats.org/officeDocument/2006/relationships/image" Target="../media/image4.png"/><Relationship Id="rId3" Type="http://schemas.openxmlformats.org/officeDocument/2006/relationships/hyperlink" Target="#'Getting Started - FAQ'!A13"/><Relationship Id="rId7" Type="http://schemas.openxmlformats.org/officeDocument/2006/relationships/image" Target="../media/image3.png"/><Relationship Id="rId12" Type="http://schemas.openxmlformats.org/officeDocument/2006/relationships/hyperlink" Target="#'Getting Started - FAQ'!A29"/><Relationship Id="rId17" Type="http://schemas.openxmlformats.org/officeDocument/2006/relationships/image" Target="../media/image7.png"/><Relationship Id="rId2" Type="http://schemas.openxmlformats.org/officeDocument/2006/relationships/image" Target="../media/image5.png"/><Relationship Id="rId16" Type="http://schemas.openxmlformats.org/officeDocument/2006/relationships/hyperlink" Target="#'Getting Started - FAQ'!A33"/><Relationship Id="rId1" Type="http://schemas.openxmlformats.org/officeDocument/2006/relationships/hyperlink" Target="#'Getting Started - FAQ'!A8"/><Relationship Id="rId6" Type="http://schemas.openxmlformats.org/officeDocument/2006/relationships/hyperlink" Target="#'Getting Started - FAQ'!A6"/><Relationship Id="rId11" Type="http://schemas.openxmlformats.org/officeDocument/2006/relationships/image" Target="../media/image6.png"/><Relationship Id="rId5" Type="http://schemas.openxmlformats.org/officeDocument/2006/relationships/image" Target="../media/image2.png"/><Relationship Id="rId15" Type="http://schemas.openxmlformats.org/officeDocument/2006/relationships/hyperlink" Target="#'Getting Started - FAQ'!A31"/><Relationship Id="rId10" Type="http://schemas.openxmlformats.org/officeDocument/2006/relationships/hyperlink" Target="#'Getting Started - FAQ'!A21"/><Relationship Id="rId4" Type="http://schemas.openxmlformats.org/officeDocument/2006/relationships/hyperlink" Target="#'Getting Started - FAQ'!A4"/><Relationship Id="rId9" Type="http://schemas.openxmlformats.org/officeDocument/2006/relationships/image" Target="../media/image8.png"/><Relationship Id="rId14" Type="http://schemas.openxmlformats.org/officeDocument/2006/relationships/hyperlink" Target="#'Getting Started - FAQ'!A27"/></Relationships>
</file>

<file path=xl/drawings/_rels/drawing7.xml.rels><?xml version="1.0" encoding="UTF-8" standalone="yes"?>
<Relationships xmlns="http://schemas.openxmlformats.org/package/2006/relationships"><Relationship Id="rId8" Type="http://schemas.openxmlformats.org/officeDocument/2006/relationships/hyperlink" Target="#'Getting Started - FAQ'!A23"/><Relationship Id="rId13" Type="http://schemas.openxmlformats.org/officeDocument/2006/relationships/image" Target="../media/image4.png"/><Relationship Id="rId3" Type="http://schemas.openxmlformats.org/officeDocument/2006/relationships/hyperlink" Target="#'Getting Started - FAQ'!A13"/><Relationship Id="rId7" Type="http://schemas.openxmlformats.org/officeDocument/2006/relationships/image" Target="../media/image3.png"/><Relationship Id="rId12" Type="http://schemas.openxmlformats.org/officeDocument/2006/relationships/hyperlink" Target="#'Getting Started - FAQ'!A29"/><Relationship Id="rId17" Type="http://schemas.openxmlformats.org/officeDocument/2006/relationships/image" Target="../media/image7.png"/><Relationship Id="rId2" Type="http://schemas.openxmlformats.org/officeDocument/2006/relationships/image" Target="../media/image5.png"/><Relationship Id="rId16" Type="http://schemas.openxmlformats.org/officeDocument/2006/relationships/hyperlink" Target="#'Getting Started - FAQ'!A33"/><Relationship Id="rId1" Type="http://schemas.openxmlformats.org/officeDocument/2006/relationships/hyperlink" Target="#'Getting Started - FAQ'!A8"/><Relationship Id="rId6" Type="http://schemas.openxmlformats.org/officeDocument/2006/relationships/hyperlink" Target="#'Getting Started - FAQ'!A6"/><Relationship Id="rId11" Type="http://schemas.openxmlformats.org/officeDocument/2006/relationships/image" Target="../media/image6.png"/><Relationship Id="rId5" Type="http://schemas.openxmlformats.org/officeDocument/2006/relationships/image" Target="../media/image2.png"/><Relationship Id="rId15" Type="http://schemas.openxmlformats.org/officeDocument/2006/relationships/hyperlink" Target="#'Getting Started - FAQ'!A31"/><Relationship Id="rId10" Type="http://schemas.openxmlformats.org/officeDocument/2006/relationships/hyperlink" Target="#'Getting Started - FAQ'!A21"/><Relationship Id="rId4" Type="http://schemas.openxmlformats.org/officeDocument/2006/relationships/hyperlink" Target="#'Getting Started - FAQ'!A4"/><Relationship Id="rId9" Type="http://schemas.openxmlformats.org/officeDocument/2006/relationships/image" Target="../media/image8.png"/><Relationship Id="rId14" Type="http://schemas.openxmlformats.org/officeDocument/2006/relationships/hyperlink" Target="#'Getting Started - FAQ'!A27"/></Relationships>
</file>

<file path=xl/drawings/_rels/drawing8.xml.rels><?xml version="1.0" encoding="UTF-8" standalone="yes"?>
<Relationships xmlns="http://schemas.openxmlformats.org/package/2006/relationships"><Relationship Id="rId8" Type="http://schemas.openxmlformats.org/officeDocument/2006/relationships/hyperlink" Target="#'Getting Started - FAQ'!A23"/><Relationship Id="rId13" Type="http://schemas.openxmlformats.org/officeDocument/2006/relationships/image" Target="../media/image4.png"/><Relationship Id="rId3" Type="http://schemas.openxmlformats.org/officeDocument/2006/relationships/hyperlink" Target="#'Getting Started - FAQ'!A13"/><Relationship Id="rId7" Type="http://schemas.openxmlformats.org/officeDocument/2006/relationships/image" Target="../media/image3.png"/><Relationship Id="rId12" Type="http://schemas.openxmlformats.org/officeDocument/2006/relationships/hyperlink" Target="#'Getting Started - FAQ'!A29"/><Relationship Id="rId17" Type="http://schemas.openxmlformats.org/officeDocument/2006/relationships/image" Target="../media/image7.png"/><Relationship Id="rId2" Type="http://schemas.openxmlformats.org/officeDocument/2006/relationships/image" Target="../media/image5.png"/><Relationship Id="rId16" Type="http://schemas.openxmlformats.org/officeDocument/2006/relationships/hyperlink" Target="#'Getting Started - FAQ'!A33"/><Relationship Id="rId1" Type="http://schemas.openxmlformats.org/officeDocument/2006/relationships/hyperlink" Target="#'Getting Started - FAQ'!A8"/><Relationship Id="rId6" Type="http://schemas.openxmlformats.org/officeDocument/2006/relationships/hyperlink" Target="#'Getting Started - FAQ'!A6"/><Relationship Id="rId11" Type="http://schemas.openxmlformats.org/officeDocument/2006/relationships/image" Target="../media/image6.png"/><Relationship Id="rId5" Type="http://schemas.openxmlformats.org/officeDocument/2006/relationships/image" Target="../media/image2.png"/><Relationship Id="rId15" Type="http://schemas.openxmlformats.org/officeDocument/2006/relationships/hyperlink" Target="#'Getting Started - FAQ'!A31"/><Relationship Id="rId10" Type="http://schemas.openxmlformats.org/officeDocument/2006/relationships/hyperlink" Target="#'Getting Started - FAQ'!A21"/><Relationship Id="rId4" Type="http://schemas.openxmlformats.org/officeDocument/2006/relationships/hyperlink" Target="#'Getting Started - FAQ'!A4"/><Relationship Id="rId9" Type="http://schemas.openxmlformats.org/officeDocument/2006/relationships/image" Target="../media/image8.png"/><Relationship Id="rId14" Type="http://schemas.openxmlformats.org/officeDocument/2006/relationships/hyperlink" Target="#'Getting Started - FAQ'!A27"/></Relationships>
</file>

<file path=xl/drawings/_rels/drawing9.xml.rels><?xml version="1.0" encoding="UTF-8" standalone="yes"?>
<Relationships xmlns="http://schemas.openxmlformats.org/package/2006/relationships"><Relationship Id="rId8" Type="http://schemas.openxmlformats.org/officeDocument/2006/relationships/hyperlink" Target="#'Getting Started - FAQ'!A23"/><Relationship Id="rId13" Type="http://schemas.openxmlformats.org/officeDocument/2006/relationships/hyperlink" Target="#'Getting Started - FAQ'!A29"/><Relationship Id="rId3" Type="http://schemas.openxmlformats.org/officeDocument/2006/relationships/hyperlink" Target="#'Getting Started - FAQ'!A13"/><Relationship Id="rId7" Type="http://schemas.openxmlformats.org/officeDocument/2006/relationships/image" Target="../media/image3.png"/><Relationship Id="rId12" Type="http://schemas.openxmlformats.org/officeDocument/2006/relationships/hyperlink" Target="#'Getting Started - FAQ'!A31"/><Relationship Id="rId17" Type="http://schemas.openxmlformats.org/officeDocument/2006/relationships/image" Target="../media/image7.png"/><Relationship Id="rId2" Type="http://schemas.openxmlformats.org/officeDocument/2006/relationships/image" Target="../media/image5.png"/><Relationship Id="rId16" Type="http://schemas.openxmlformats.org/officeDocument/2006/relationships/hyperlink" Target="#'Getting Started - FAQ'!A33"/><Relationship Id="rId1" Type="http://schemas.openxmlformats.org/officeDocument/2006/relationships/hyperlink" Target="#'Getting Started - FAQ'!A8"/><Relationship Id="rId6" Type="http://schemas.openxmlformats.org/officeDocument/2006/relationships/hyperlink" Target="#'Getting Started - FAQ'!A6"/><Relationship Id="rId11" Type="http://schemas.openxmlformats.org/officeDocument/2006/relationships/image" Target="../media/image6.png"/><Relationship Id="rId5" Type="http://schemas.openxmlformats.org/officeDocument/2006/relationships/image" Target="../media/image2.png"/><Relationship Id="rId15" Type="http://schemas.openxmlformats.org/officeDocument/2006/relationships/hyperlink" Target="#'Getting Started - FAQ'!A27"/><Relationship Id="rId10" Type="http://schemas.openxmlformats.org/officeDocument/2006/relationships/hyperlink" Target="#'Getting Started - FAQ'!A21"/><Relationship Id="rId4" Type="http://schemas.openxmlformats.org/officeDocument/2006/relationships/hyperlink" Target="#'Getting Started - FAQ'!A4"/><Relationship Id="rId9" Type="http://schemas.openxmlformats.org/officeDocument/2006/relationships/image" Target="../media/image8.png"/><Relationship Id="rId1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hyperlink" Target="#'Getting Started - FAQ'!A23"/><Relationship Id="rId13" Type="http://schemas.openxmlformats.org/officeDocument/2006/relationships/image" Target="../media/image4.png"/><Relationship Id="rId3" Type="http://schemas.openxmlformats.org/officeDocument/2006/relationships/hyperlink" Target="#'Getting Started - FAQ'!A13"/><Relationship Id="rId7" Type="http://schemas.openxmlformats.org/officeDocument/2006/relationships/image" Target="../media/image3.png"/><Relationship Id="rId12" Type="http://schemas.openxmlformats.org/officeDocument/2006/relationships/hyperlink" Target="#'Getting Started - FAQ'!A29"/><Relationship Id="rId17" Type="http://schemas.openxmlformats.org/officeDocument/2006/relationships/image" Target="../media/image7.png"/><Relationship Id="rId2" Type="http://schemas.openxmlformats.org/officeDocument/2006/relationships/image" Target="../media/image5.png"/><Relationship Id="rId16" Type="http://schemas.openxmlformats.org/officeDocument/2006/relationships/hyperlink" Target="#'Getting Started - FAQ'!A33"/><Relationship Id="rId1" Type="http://schemas.openxmlformats.org/officeDocument/2006/relationships/hyperlink" Target="#'Getting Started - FAQ'!A8"/><Relationship Id="rId6" Type="http://schemas.openxmlformats.org/officeDocument/2006/relationships/hyperlink" Target="#'Getting Started - FAQ'!A6"/><Relationship Id="rId11" Type="http://schemas.openxmlformats.org/officeDocument/2006/relationships/image" Target="../media/image6.png"/><Relationship Id="rId5" Type="http://schemas.openxmlformats.org/officeDocument/2006/relationships/image" Target="../media/image2.png"/><Relationship Id="rId15" Type="http://schemas.openxmlformats.org/officeDocument/2006/relationships/hyperlink" Target="#'Getting Started - FAQ'!A31"/><Relationship Id="rId10" Type="http://schemas.openxmlformats.org/officeDocument/2006/relationships/hyperlink" Target="#'Getting Started - FAQ'!A21"/><Relationship Id="rId4" Type="http://schemas.openxmlformats.org/officeDocument/2006/relationships/hyperlink" Target="#'Getting Started - FAQ'!A4"/><Relationship Id="rId9" Type="http://schemas.openxmlformats.org/officeDocument/2006/relationships/image" Target="../media/image8.png"/><Relationship Id="rId14" Type="http://schemas.openxmlformats.org/officeDocument/2006/relationships/hyperlink" Target="#'Getting Started - FAQ'!A27"/></Relationships>
</file>

<file path=xl/drawings/_rels/drawing11.xml.rels><?xml version="1.0" encoding="UTF-8" standalone="yes"?>
<Relationships xmlns="http://schemas.openxmlformats.org/package/2006/relationships"><Relationship Id="rId8" Type="http://schemas.openxmlformats.org/officeDocument/2006/relationships/hyperlink" Target="#'Getting Started - FAQ'!A23"/><Relationship Id="rId13" Type="http://schemas.openxmlformats.org/officeDocument/2006/relationships/hyperlink" Target="#'Getting Started - FAQ'!A29"/><Relationship Id="rId3" Type="http://schemas.openxmlformats.org/officeDocument/2006/relationships/hyperlink" Target="#'Getting Started - FAQ'!A13"/><Relationship Id="rId7" Type="http://schemas.openxmlformats.org/officeDocument/2006/relationships/image" Target="../media/image3.png"/><Relationship Id="rId12" Type="http://schemas.openxmlformats.org/officeDocument/2006/relationships/hyperlink" Target="#'Getting Started - FAQ'!A31"/><Relationship Id="rId17" Type="http://schemas.openxmlformats.org/officeDocument/2006/relationships/image" Target="../media/image7.png"/><Relationship Id="rId2" Type="http://schemas.openxmlformats.org/officeDocument/2006/relationships/image" Target="../media/image5.png"/><Relationship Id="rId16" Type="http://schemas.openxmlformats.org/officeDocument/2006/relationships/hyperlink" Target="#'Getting Started - FAQ'!A33"/><Relationship Id="rId1" Type="http://schemas.openxmlformats.org/officeDocument/2006/relationships/hyperlink" Target="#'Getting Started - FAQ'!A8"/><Relationship Id="rId6" Type="http://schemas.openxmlformats.org/officeDocument/2006/relationships/hyperlink" Target="#'Getting Started - FAQ'!A6"/><Relationship Id="rId11" Type="http://schemas.openxmlformats.org/officeDocument/2006/relationships/image" Target="../media/image6.png"/><Relationship Id="rId5" Type="http://schemas.openxmlformats.org/officeDocument/2006/relationships/image" Target="../media/image2.png"/><Relationship Id="rId15" Type="http://schemas.openxmlformats.org/officeDocument/2006/relationships/hyperlink" Target="#'Getting Started - FAQ'!A27"/><Relationship Id="rId10" Type="http://schemas.openxmlformats.org/officeDocument/2006/relationships/hyperlink" Target="#'Getting Started - FAQ'!A21"/><Relationship Id="rId4" Type="http://schemas.openxmlformats.org/officeDocument/2006/relationships/hyperlink" Target="#'Getting Started - FAQ'!A4"/><Relationship Id="rId9" Type="http://schemas.openxmlformats.org/officeDocument/2006/relationships/image" Target="../media/image8.png"/><Relationship Id="rId1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hyperlink" Target="#'Getting Started - FAQ'!A23"/><Relationship Id="rId13" Type="http://schemas.openxmlformats.org/officeDocument/2006/relationships/image" Target="../media/image4.png"/><Relationship Id="rId3" Type="http://schemas.openxmlformats.org/officeDocument/2006/relationships/hyperlink" Target="#'Getting Started - FAQ'!A13"/><Relationship Id="rId7" Type="http://schemas.openxmlformats.org/officeDocument/2006/relationships/image" Target="../media/image3.png"/><Relationship Id="rId12" Type="http://schemas.openxmlformats.org/officeDocument/2006/relationships/hyperlink" Target="#'Getting Started - FAQ'!A29"/><Relationship Id="rId17" Type="http://schemas.openxmlformats.org/officeDocument/2006/relationships/image" Target="../media/image7.png"/><Relationship Id="rId2" Type="http://schemas.openxmlformats.org/officeDocument/2006/relationships/image" Target="../media/image5.png"/><Relationship Id="rId16" Type="http://schemas.openxmlformats.org/officeDocument/2006/relationships/hyperlink" Target="#'Getting Started - FAQ'!A33"/><Relationship Id="rId1" Type="http://schemas.openxmlformats.org/officeDocument/2006/relationships/hyperlink" Target="#'Getting Started - FAQ'!A8"/><Relationship Id="rId6" Type="http://schemas.openxmlformats.org/officeDocument/2006/relationships/hyperlink" Target="#'Getting Started - FAQ'!A6"/><Relationship Id="rId11" Type="http://schemas.openxmlformats.org/officeDocument/2006/relationships/image" Target="../media/image6.png"/><Relationship Id="rId5" Type="http://schemas.openxmlformats.org/officeDocument/2006/relationships/image" Target="../media/image2.png"/><Relationship Id="rId15" Type="http://schemas.openxmlformats.org/officeDocument/2006/relationships/hyperlink" Target="#'Getting Started - FAQ'!A31"/><Relationship Id="rId10" Type="http://schemas.openxmlformats.org/officeDocument/2006/relationships/hyperlink" Target="#'Getting Started - FAQ'!A21"/><Relationship Id="rId4" Type="http://schemas.openxmlformats.org/officeDocument/2006/relationships/hyperlink" Target="#'Getting Started - FAQ'!A4"/><Relationship Id="rId9" Type="http://schemas.openxmlformats.org/officeDocument/2006/relationships/image" Target="../media/image8.png"/><Relationship Id="rId14" Type="http://schemas.openxmlformats.org/officeDocument/2006/relationships/hyperlink" Target="#'Getting Started - FAQ'!A27"/></Relationships>
</file>

<file path=xl/drawings/_rels/drawing13.xml.rels><?xml version="1.0" encoding="UTF-8" standalone="yes"?>
<Relationships xmlns="http://schemas.openxmlformats.org/package/2006/relationships"><Relationship Id="rId8" Type="http://schemas.openxmlformats.org/officeDocument/2006/relationships/hyperlink" Target="#'Getting Started - FAQ'!A23"/><Relationship Id="rId13" Type="http://schemas.openxmlformats.org/officeDocument/2006/relationships/image" Target="../media/image4.png"/><Relationship Id="rId3" Type="http://schemas.openxmlformats.org/officeDocument/2006/relationships/hyperlink" Target="#'Getting Started - FAQ'!A13"/><Relationship Id="rId7" Type="http://schemas.openxmlformats.org/officeDocument/2006/relationships/image" Target="../media/image3.png"/><Relationship Id="rId12" Type="http://schemas.openxmlformats.org/officeDocument/2006/relationships/hyperlink" Target="#'Getting Started - FAQ'!A29"/><Relationship Id="rId17" Type="http://schemas.openxmlformats.org/officeDocument/2006/relationships/image" Target="../media/image7.png"/><Relationship Id="rId2" Type="http://schemas.openxmlformats.org/officeDocument/2006/relationships/image" Target="../media/image5.png"/><Relationship Id="rId16" Type="http://schemas.openxmlformats.org/officeDocument/2006/relationships/hyperlink" Target="#'Getting Started - FAQ'!A33"/><Relationship Id="rId1" Type="http://schemas.openxmlformats.org/officeDocument/2006/relationships/hyperlink" Target="#'Getting Started - FAQ'!A8"/><Relationship Id="rId6" Type="http://schemas.openxmlformats.org/officeDocument/2006/relationships/hyperlink" Target="#'Getting Started - FAQ'!A6"/><Relationship Id="rId11" Type="http://schemas.openxmlformats.org/officeDocument/2006/relationships/image" Target="../media/image6.png"/><Relationship Id="rId5" Type="http://schemas.openxmlformats.org/officeDocument/2006/relationships/image" Target="../media/image2.png"/><Relationship Id="rId15" Type="http://schemas.openxmlformats.org/officeDocument/2006/relationships/hyperlink" Target="#'Getting Started - FAQ'!A31"/><Relationship Id="rId10" Type="http://schemas.openxmlformats.org/officeDocument/2006/relationships/hyperlink" Target="#'Getting Started - FAQ'!A21"/><Relationship Id="rId4" Type="http://schemas.openxmlformats.org/officeDocument/2006/relationships/hyperlink" Target="#'Getting Started - FAQ'!A4"/><Relationship Id="rId9" Type="http://schemas.openxmlformats.org/officeDocument/2006/relationships/image" Target="../media/image8.png"/><Relationship Id="rId14" Type="http://schemas.openxmlformats.org/officeDocument/2006/relationships/hyperlink" Target="#'Getting Started - FAQ'!A27"/></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Getting Started - FAQ'!A29"/></Relationships>
</file>

<file path=xl/drawings/drawing1.xml><?xml version="1.0" encoding="utf-8"?>
<xdr:wsDr xmlns:xdr="http://schemas.openxmlformats.org/drawingml/2006/spreadsheetDrawing" xmlns:a="http://schemas.openxmlformats.org/drawingml/2006/main">
  <xdr:twoCellAnchor editAs="oneCell">
    <xdr:from>
      <xdr:col>2</xdr:col>
      <xdr:colOff>1076325</xdr:colOff>
      <xdr:row>0</xdr:row>
      <xdr:rowOff>104775</xdr:rowOff>
    </xdr:from>
    <xdr:to>
      <xdr:col>3</xdr:col>
      <xdr:colOff>1257300</xdr:colOff>
      <xdr:row>5</xdr:row>
      <xdr:rowOff>152400</xdr:rowOff>
    </xdr:to>
    <xdr:pic>
      <xdr:nvPicPr>
        <xdr:cNvPr id="3242" name="Picture 7" descr="logo_splash copy">
          <a:extLst>
            <a:ext uri="{FF2B5EF4-FFF2-40B4-BE49-F238E27FC236}">
              <a16:creationId xmlns:a16="http://schemas.microsoft.com/office/drawing/2014/main" id="{00000000-0008-0000-0100-0000AA0C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14775" y="104775"/>
          <a:ext cx="14001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171450</xdr:colOff>
      <xdr:row>7</xdr:row>
      <xdr:rowOff>123825</xdr:rowOff>
    </xdr:from>
    <xdr:to>
      <xdr:col>5</xdr:col>
      <xdr:colOff>476250</xdr:colOff>
      <xdr:row>9</xdr:row>
      <xdr:rowOff>66675</xdr:rowOff>
    </xdr:to>
    <xdr:pic>
      <xdr:nvPicPr>
        <xdr:cNvPr id="35598" name="Picture 2">
          <a:hlinkClick xmlns:r="http://schemas.openxmlformats.org/officeDocument/2006/relationships" r:id="rId1" tooltip="IR35 Status: Enter Y or N in the yellow IR35 question box (cell E9)."/>
          <a:extLst>
            <a:ext uri="{FF2B5EF4-FFF2-40B4-BE49-F238E27FC236}">
              <a16:creationId xmlns:a16="http://schemas.microsoft.com/office/drawing/2014/main" id="{00000000-0008-0000-0200-00000E8B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75" y="16668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180975</xdr:colOff>
      <xdr:row>10</xdr:row>
      <xdr:rowOff>57150</xdr:rowOff>
    </xdr:from>
    <xdr:to>
      <xdr:col>5</xdr:col>
      <xdr:colOff>485775</xdr:colOff>
      <xdr:row>11</xdr:row>
      <xdr:rowOff>161925</xdr:rowOff>
    </xdr:to>
    <xdr:pic>
      <xdr:nvPicPr>
        <xdr:cNvPr id="35599" name="Picture 3">
          <a:hlinkClick xmlns:r="http://schemas.openxmlformats.org/officeDocument/2006/relationships" r:id="rId3"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200-00000F8B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76900" y="21717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209550</xdr:colOff>
      <xdr:row>9</xdr:row>
      <xdr:rowOff>28575</xdr:rowOff>
    </xdr:from>
    <xdr:to>
      <xdr:col>11</xdr:col>
      <xdr:colOff>523875</xdr:colOff>
      <xdr:row>10</xdr:row>
      <xdr:rowOff>133350</xdr:rowOff>
    </xdr:to>
    <xdr:pic>
      <xdr:nvPicPr>
        <xdr:cNvPr id="35600" name="Picture 5">
          <a:hlinkClick xmlns:r="http://schemas.openxmlformats.org/officeDocument/2006/relationships" r:id="rId5" tooltip="Opening Bank Balances: Enter the opening bank balances only in cells K10 and K11 of Month 1. These balances should be taken from your last Company accounts (not applicable for first company year)."/>
          <a:extLst>
            <a:ext uri="{FF2B5EF4-FFF2-40B4-BE49-F238E27FC236}">
              <a16:creationId xmlns:a16="http://schemas.microsoft.com/office/drawing/2014/main" id="{00000000-0008-0000-0200-0000108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125325" y="1943100"/>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95250</xdr:colOff>
      <xdr:row>6</xdr:row>
      <xdr:rowOff>19050</xdr:rowOff>
    </xdr:from>
    <xdr:to>
      <xdr:col>7</xdr:col>
      <xdr:colOff>390525</xdr:colOff>
      <xdr:row>7</xdr:row>
      <xdr:rowOff>38100</xdr:rowOff>
    </xdr:to>
    <xdr:pic>
      <xdr:nvPicPr>
        <xdr:cNvPr id="35601" name="Picture 8">
          <a:hlinkClick xmlns:r="http://schemas.openxmlformats.org/officeDocument/2006/relationships" r:id="rId7"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200-0000118B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419975" y="129540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114300</xdr:colOff>
      <xdr:row>6</xdr:row>
      <xdr:rowOff>9525</xdr:rowOff>
    </xdr:from>
    <xdr:to>
      <xdr:col>14</xdr:col>
      <xdr:colOff>409575</xdr:colOff>
      <xdr:row>7</xdr:row>
      <xdr:rowOff>28575</xdr:rowOff>
    </xdr:to>
    <xdr:pic>
      <xdr:nvPicPr>
        <xdr:cNvPr id="35602" name="Picture 10">
          <a:hlinkClick xmlns:r="http://schemas.openxmlformats.org/officeDocument/2006/relationships" r:id="rId9" tooltip="The bankings section is used to record money received into the company bank accounts."/>
          <a:extLst>
            <a:ext uri="{FF2B5EF4-FFF2-40B4-BE49-F238E27FC236}">
              <a16:creationId xmlns:a16="http://schemas.microsoft.com/office/drawing/2014/main" id="{00000000-0008-0000-0200-0000128B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973300" y="128587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371475</xdr:colOff>
      <xdr:row>74</xdr:row>
      <xdr:rowOff>28575</xdr:rowOff>
    </xdr:from>
    <xdr:to>
      <xdr:col>6</xdr:col>
      <xdr:colOff>676275</xdr:colOff>
      <xdr:row>76</xdr:row>
      <xdr:rowOff>28575</xdr:rowOff>
    </xdr:to>
    <xdr:pic>
      <xdr:nvPicPr>
        <xdr:cNvPr id="35603" name="Picture 2">
          <a:hlinkClick xmlns:r="http://schemas.openxmlformats.org/officeDocument/2006/relationships" r:id="rId10" tooltip="If you are using the VAT Flat Rate Scheme you do not need to enter a VAT figure in the expenditure section. VAT paid to HMRC is entered in column Y."/>
          <a:extLst>
            <a:ext uri="{FF2B5EF4-FFF2-40B4-BE49-F238E27FC236}">
              <a16:creationId xmlns:a16="http://schemas.microsoft.com/office/drawing/2014/main" id="{00000000-0008-0000-0200-0000138B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781800" y="8048625"/>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190500</xdr:colOff>
      <xdr:row>74</xdr:row>
      <xdr:rowOff>133350</xdr:rowOff>
    </xdr:from>
    <xdr:to>
      <xdr:col>31</xdr:col>
      <xdr:colOff>495300</xdr:colOff>
      <xdr:row>76</xdr:row>
      <xdr:rowOff>133350</xdr:rowOff>
    </xdr:to>
    <xdr:pic>
      <xdr:nvPicPr>
        <xdr:cNvPr id="35604" name="Picture 6">
          <a:hlinkClick xmlns:r="http://schemas.openxmlformats.org/officeDocument/2006/relationships" r:id="rId12"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200-0000148B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8032075" y="81534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203</xdr:row>
      <xdr:rowOff>0</xdr:rowOff>
    </xdr:from>
    <xdr:to>
      <xdr:col>9</xdr:col>
      <xdr:colOff>361950</xdr:colOff>
      <xdr:row>204</xdr:row>
      <xdr:rowOff>38100</xdr:rowOff>
    </xdr:to>
    <xdr:pic>
      <xdr:nvPicPr>
        <xdr:cNvPr id="35605" name="Picture 8">
          <a:hlinkClick xmlns:r="http://schemas.openxmlformats.org/officeDocument/2006/relationships" r:id="rId13" tooltip="Each month, to check that your spreadsheet reconciles to your bank statement."/>
          <a:extLst>
            <a:ext uri="{FF2B5EF4-FFF2-40B4-BE49-F238E27FC236}">
              <a16:creationId xmlns:a16="http://schemas.microsoft.com/office/drawing/2014/main" id="{00000000-0008-0000-0200-0000158B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420225" y="14944725"/>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200</xdr:row>
      <xdr:rowOff>114300</xdr:rowOff>
    </xdr:from>
    <xdr:to>
      <xdr:col>2</xdr:col>
      <xdr:colOff>323850</xdr:colOff>
      <xdr:row>202</xdr:row>
      <xdr:rowOff>57149</xdr:rowOff>
    </xdr:to>
    <xdr:pic>
      <xdr:nvPicPr>
        <xdr:cNvPr id="35606" name="Picture 19">
          <a:hlinkClick xmlns:r="http://schemas.openxmlformats.org/officeDocument/2006/relationships" r:id="rId12"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200-0000168B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14497050"/>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74</xdr:row>
      <xdr:rowOff>19050</xdr:rowOff>
    </xdr:from>
    <xdr:to>
      <xdr:col>4</xdr:col>
      <xdr:colOff>600075</xdr:colOff>
      <xdr:row>76</xdr:row>
      <xdr:rowOff>19050</xdr:rowOff>
    </xdr:to>
    <xdr:pic>
      <xdr:nvPicPr>
        <xdr:cNvPr id="35607" name="Picture 12">
          <a:hlinkClick xmlns:r="http://schemas.openxmlformats.org/officeDocument/2006/relationships" r:id="rId15" tooltip="At the end of each month any total in the cash column should be repaid to yourself as expenses. "/>
          <a:extLst>
            <a:ext uri="{FF2B5EF4-FFF2-40B4-BE49-F238E27FC236}">
              <a16:creationId xmlns:a16="http://schemas.microsoft.com/office/drawing/2014/main" id="{00000000-0008-0000-0200-0000178B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829175" y="8039100"/>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285750</xdr:colOff>
      <xdr:row>74</xdr:row>
      <xdr:rowOff>28575</xdr:rowOff>
    </xdr:from>
    <xdr:to>
      <xdr:col>3</xdr:col>
      <xdr:colOff>590550</xdr:colOff>
      <xdr:row>76</xdr:row>
      <xdr:rowOff>19050</xdr:rowOff>
    </xdr:to>
    <xdr:pic>
      <xdr:nvPicPr>
        <xdr:cNvPr id="35608" name="Picture 4">
          <a:hlinkClick xmlns:r="http://schemas.openxmlformats.org/officeDocument/2006/relationships" r:id="rId17" tooltip="Bank Account - enter all items that have been paid out of the company bank account."/>
          <a:extLst>
            <a:ext uri="{FF2B5EF4-FFF2-40B4-BE49-F238E27FC236}">
              <a16:creationId xmlns:a16="http://schemas.microsoft.com/office/drawing/2014/main" id="{00000000-0008-0000-0200-0000188B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5725" y="80486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114300</xdr:colOff>
          <xdr:row>214</xdr:row>
          <xdr:rowOff>114300</xdr:rowOff>
        </xdr:from>
        <xdr:to>
          <xdr:col>7</xdr:col>
          <xdr:colOff>495300</xdr:colOff>
          <xdr:row>216</xdr:row>
          <xdr:rowOff>28575</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2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7</xdr:col>
      <xdr:colOff>95250</xdr:colOff>
      <xdr:row>5</xdr:row>
      <xdr:rowOff>152400</xdr:rowOff>
    </xdr:from>
    <xdr:to>
      <xdr:col>7</xdr:col>
      <xdr:colOff>390525</xdr:colOff>
      <xdr:row>6</xdr:row>
      <xdr:rowOff>257175</xdr:rowOff>
    </xdr:to>
    <xdr:pic>
      <xdr:nvPicPr>
        <xdr:cNvPr id="52638" name="Picture 8">
          <a:hlinkClick xmlns:r="http://schemas.openxmlformats.org/officeDocument/2006/relationships" r:id="rId1" tooltip="Help"/>
          <a:extLst>
            <a:ext uri="{FF2B5EF4-FFF2-40B4-BE49-F238E27FC236}">
              <a16:creationId xmlns:a16="http://schemas.microsoft.com/office/drawing/2014/main" id="{00000000-0008-0000-0300-00009ECD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62825" y="1238250"/>
          <a:ext cx="2952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180975</xdr:colOff>
      <xdr:row>7</xdr:row>
      <xdr:rowOff>161925</xdr:rowOff>
    </xdr:from>
    <xdr:to>
      <xdr:col>5</xdr:col>
      <xdr:colOff>485775</xdr:colOff>
      <xdr:row>9</xdr:row>
      <xdr:rowOff>95250</xdr:rowOff>
    </xdr:to>
    <xdr:pic>
      <xdr:nvPicPr>
        <xdr:cNvPr id="52639" name="Picture 2">
          <a:hlinkClick xmlns:r="http://schemas.openxmlformats.org/officeDocument/2006/relationships" r:id="rId3" tooltip="Help"/>
          <a:extLst>
            <a:ext uri="{FF2B5EF4-FFF2-40B4-BE49-F238E27FC236}">
              <a16:creationId xmlns:a16="http://schemas.microsoft.com/office/drawing/2014/main" id="{00000000-0008-0000-0300-00009FCD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19750" y="16859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133350</xdr:colOff>
      <xdr:row>10</xdr:row>
      <xdr:rowOff>38100</xdr:rowOff>
    </xdr:from>
    <xdr:to>
      <xdr:col>5</xdr:col>
      <xdr:colOff>438150</xdr:colOff>
      <xdr:row>11</xdr:row>
      <xdr:rowOff>142875</xdr:rowOff>
    </xdr:to>
    <xdr:pic>
      <xdr:nvPicPr>
        <xdr:cNvPr id="52640" name="Picture 3">
          <a:hlinkClick xmlns:r="http://schemas.openxmlformats.org/officeDocument/2006/relationships" r:id="rId5" tooltip="Help"/>
          <a:extLst>
            <a:ext uri="{FF2B5EF4-FFF2-40B4-BE49-F238E27FC236}">
              <a16:creationId xmlns:a16="http://schemas.microsoft.com/office/drawing/2014/main" id="{00000000-0008-0000-0300-0000A0C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72125" y="21336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85725</xdr:colOff>
      <xdr:row>6</xdr:row>
      <xdr:rowOff>0</xdr:rowOff>
    </xdr:from>
    <xdr:to>
      <xdr:col>12</xdr:col>
      <xdr:colOff>381000</xdr:colOff>
      <xdr:row>7</xdr:row>
      <xdr:rowOff>19050</xdr:rowOff>
    </xdr:to>
    <xdr:pic>
      <xdr:nvPicPr>
        <xdr:cNvPr id="52641" name="Picture 10">
          <a:hlinkClick xmlns:r="http://schemas.openxmlformats.org/officeDocument/2006/relationships" r:id="rId7" tooltip="Help"/>
          <a:extLst>
            <a:ext uri="{FF2B5EF4-FFF2-40B4-BE49-F238E27FC236}">
              <a16:creationId xmlns:a16="http://schemas.microsoft.com/office/drawing/2014/main" id="{00000000-0008-0000-0300-0000A1CD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25425" y="125730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457200</xdr:colOff>
      <xdr:row>74</xdr:row>
      <xdr:rowOff>133350</xdr:rowOff>
    </xdr:from>
    <xdr:to>
      <xdr:col>6</xdr:col>
      <xdr:colOff>762000</xdr:colOff>
      <xdr:row>76</xdr:row>
      <xdr:rowOff>95251</xdr:rowOff>
    </xdr:to>
    <xdr:pic>
      <xdr:nvPicPr>
        <xdr:cNvPr id="52642" name="Picture 15">
          <a:hlinkClick xmlns:r="http://schemas.openxmlformats.org/officeDocument/2006/relationships" r:id="rId8" tooltip="If you are using the VAT Flat Rate Scheme you do not need to enter a VAT figure in the expenditure section. VAT paid to HMRC is entered in column Y."/>
          <a:extLst>
            <a:ext uri="{FF2B5EF4-FFF2-40B4-BE49-F238E27FC236}">
              <a16:creationId xmlns:a16="http://schemas.microsoft.com/office/drawing/2014/main" id="{00000000-0008-0000-0300-0000A2CD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810375" y="813435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114300</xdr:colOff>
      <xdr:row>75</xdr:row>
      <xdr:rowOff>0</xdr:rowOff>
    </xdr:from>
    <xdr:to>
      <xdr:col>31</xdr:col>
      <xdr:colOff>419100</xdr:colOff>
      <xdr:row>76</xdr:row>
      <xdr:rowOff>152401</xdr:rowOff>
    </xdr:to>
    <xdr:pic>
      <xdr:nvPicPr>
        <xdr:cNvPr id="52643" name="Picture 17">
          <a:hlinkClick xmlns:r="http://schemas.openxmlformats.org/officeDocument/2006/relationships" r:id="rId10" tooltip="If the expenses have been entered correctly the check total boxes (under the expenditure table – row 105) will agree. If not, an error message will flash up in column AF which will tell you which row to correct on the sheet."/>
          <a:extLst>
            <a:ext uri="{FF2B5EF4-FFF2-40B4-BE49-F238E27FC236}">
              <a16:creationId xmlns:a16="http://schemas.microsoft.com/office/drawing/2014/main" id="{00000000-0008-0000-0300-0000A3CD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7898725" y="81915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200</xdr:row>
      <xdr:rowOff>123825</xdr:rowOff>
    </xdr:from>
    <xdr:to>
      <xdr:col>2</xdr:col>
      <xdr:colOff>323850</xdr:colOff>
      <xdr:row>202</xdr:row>
      <xdr:rowOff>76200</xdr:rowOff>
    </xdr:to>
    <xdr:pic>
      <xdr:nvPicPr>
        <xdr:cNvPr id="52644" name="Picture 20">
          <a:hlinkClick xmlns:r="http://schemas.openxmlformats.org/officeDocument/2006/relationships" r:id="rId11" tooltip="Help"/>
          <a:extLst>
            <a:ext uri="{FF2B5EF4-FFF2-40B4-BE49-F238E27FC236}">
              <a16:creationId xmlns:a16="http://schemas.microsoft.com/office/drawing/2014/main" id="{00000000-0008-0000-0300-0000A4CD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4516100"/>
          <a:ext cx="3143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57150</xdr:colOff>
      <xdr:row>5</xdr:row>
      <xdr:rowOff>161925</xdr:rowOff>
    </xdr:from>
    <xdr:to>
      <xdr:col>7</xdr:col>
      <xdr:colOff>352425</xdr:colOff>
      <xdr:row>7</xdr:row>
      <xdr:rowOff>9525</xdr:rowOff>
    </xdr:to>
    <xdr:pic>
      <xdr:nvPicPr>
        <xdr:cNvPr id="52645" name="Picture 8">
          <a:hlinkClick xmlns:r="http://schemas.openxmlformats.org/officeDocument/2006/relationships" r:id="rId1"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300-0000A5CD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24725" y="124777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47625</xdr:colOff>
      <xdr:row>6</xdr:row>
      <xdr:rowOff>0</xdr:rowOff>
    </xdr:from>
    <xdr:to>
      <xdr:col>12</xdr:col>
      <xdr:colOff>342900</xdr:colOff>
      <xdr:row>7</xdr:row>
      <xdr:rowOff>19050</xdr:rowOff>
    </xdr:to>
    <xdr:pic>
      <xdr:nvPicPr>
        <xdr:cNvPr id="52646" name="Picture 10">
          <a:hlinkClick xmlns:r="http://schemas.openxmlformats.org/officeDocument/2006/relationships" r:id="rId7" tooltip="The bankings section is used to record money received into the company bank accounts."/>
          <a:extLst>
            <a:ext uri="{FF2B5EF4-FFF2-40B4-BE49-F238E27FC236}">
              <a16:creationId xmlns:a16="http://schemas.microsoft.com/office/drawing/2014/main" id="{00000000-0008-0000-0300-0000A6CD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87325" y="125730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190500</xdr:colOff>
      <xdr:row>8</xdr:row>
      <xdr:rowOff>19050</xdr:rowOff>
    </xdr:from>
    <xdr:to>
      <xdr:col>5</xdr:col>
      <xdr:colOff>495300</xdr:colOff>
      <xdr:row>9</xdr:row>
      <xdr:rowOff>133350</xdr:rowOff>
    </xdr:to>
    <xdr:pic>
      <xdr:nvPicPr>
        <xdr:cNvPr id="52647" name="Picture 2">
          <a:hlinkClick xmlns:r="http://schemas.openxmlformats.org/officeDocument/2006/relationships" r:id="rId3" tooltip="IR35 Status: Enter Y or N in the yellow IR35 question box (cell E9)."/>
          <a:extLst>
            <a:ext uri="{FF2B5EF4-FFF2-40B4-BE49-F238E27FC236}">
              <a16:creationId xmlns:a16="http://schemas.microsoft.com/office/drawing/2014/main" id="{00000000-0008-0000-0300-0000A7CD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29275" y="17145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152400</xdr:colOff>
      <xdr:row>10</xdr:row>
      <xdr:rowOff>76200</xdr:rowOff>
    </xdr:from>
    <xdr:to>
      <xdr:col>5</xdr:col>
      <xdr:colOff>457200</xdr:colOff>
      <xdr:row>11</xdr:row>
      <xdr:rowOff>180975</xdr:rowOff>
    </xdr:to>
    <xdr:pic>
      <xdr:nvPicPr>
        <xdr:cNvPr id="52648" name="Picture 3">
          <a:hlinkClick xmlns:r="http://schemas.openxmlformats.org/officeDocument/2006/relationships" r:id="rId5"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300-0000A8CD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91175" y="21717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276225</xdr:colOff>
      <xdr:row>74</xdr:row>
      <xdr:rowOff>38100</xdr:rowOff>
    </xdr:from>
    <xdr:to>
      <xdr:col>3</xdr:col>
      <xdr:colOff>581025</xdr:colOff>
      <xdr:row>75</xdr:row>
      <xdr:rowOff>161925</xdr:rowOff>
    </xdr:to>
    <xdr:pic>
      <xdr:nvPicPr>
        <xdr:cNvPr id="52649" name="Picture 26">
          <a:hlinkClick xmlns:r="http://schemas.openxmlformats.org/officeDocument/2006/relationships" r:id="rId13" tooltip="Bank Account - enter all items that have been paid out of the company bank account."/>
          <a:extLst>
            <a:ext uri="{FF2B5EF4-FFF2-40B4-BE49-F238E27FC236}">
              <a16:creationId xmlns:a16="http://schemas.microsoft.com/office/drawing/2014/main" id="{00000000-0008-0000-0300-0000A9CD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886200" y="80391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74</xdr:row>
      <xdr:rowOff>38100</xdr:rowOff>
    </xdr:from>
    <xdr:to>
      <xdr:col>4</xdr:col>
      <xdr:colOff>590550</xdr:colOff>
      <xdr:row>75</xdr:row>
      <xdr:rowOff>161925</xdr:rowOff>
    </xdr:to>
    <xdr:pic>
      <xdr:nvPicPr>
        <xdr:cNvPr id="52650" name="Picture 28">
          <a:hlinkClick xmlns:r="http://schemas.openxmlformats.org/officeDocument/2006/relationships" r:id="rId15" tooltip="At the end of each month any total in the cash column should be repaid to yourself as expenses. "/>
          <a:extLst>
            <a:ext uri="{FF2B5EF4-FFF2-40B4-BE49-F238E27FC236}">
              <a16:creationId xmlns:a16="http://schemas.microsoft.com/office/drawing/2014/main" id="{00000000-0008-0000-0300-0000AACD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810125" y="80391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200</xdr:row>
      <xdr:rowOff>123825</xdr:rowOff>
    </xdr:from>
    <xdr:to>
      <xdr:col>2</xdr:col>
      <xdr:colOff>323850</xdr:colOff>
      <xdr:row>202</xdr:row>
      <xdr:rowOff>76200</xdr:rowOff>
    </xdr:to>
    <xdr:pic>
      <xdr:nvPicPr>
        <xdr:cNvPr id="52651" name="Picture 30">
          <a:hlinkClick xmlns:r="http://schemas.openxmlformats.org/officeDocument/2006/relationships" r:id="rId10"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300-0000ABCD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4516100"/>
          <a:ext cx="3143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203</xdr:row>
      <xdr:rowOff>0</xdr:rowOff>
    </xdr:from>
    <xdr:to>
      <xdr:col>9</xdr:col>
      <xdr:colOff>361950</xdr:colOff>
      <xdr:row>204</xdr:row>
      <xdr:rowOff>66674</xdr:rowOff>
    </xdr:to>
    <xdr:pic>
      <xdr:nvPicPr>
        <xdr:cNvPr id="52652" name="Picture 23">
          <a:hlinkClick xmlns:r="http://schemas.openxmlformats.org/officeDocument/2006/relationships" r:id="rId16" tooltip="Each month, to check that your spreadsheet reconciles to your bank statement."/>
          <a:extLst>
            <a:ext uri="{FF2B5EF4-FFF2-40B4-BE49-F238E27FC236}">
              <a16:creationId xmlns:a16="http://schemas.microsoft.com/office/drawing/2014/main" id="{00000000-0008-0000-0300-0000ACCD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63075" y="1494472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342900</xdr:colOff>
          <xdr:row>214</xdr:row>
          <xdr:rowOff>152400</xdr:rowOff>
        </xdr:from>
        <xdr:to>
          <xdr:col>7</xdr:col>
          <xdr:colOff>838200</xdr:colOff>
          <xdr:row>216</xdr:row>
          <xdr:rowOff>0</xdr:rowOff>
        </xdr:to>
        <xdr:sp macro="" textlink="">
          <xdr:nvSpPr>
            <xdr:cNvPr id="9232" name="Check Box 16" hidden="1">
              <a:extLst>
                <a:ext uri="{63B3BB69-23CF-44E3-9099-C40C66FF867C}">
                  <a14:compatExt spid="_x0000_s9232"/>
                </a:ext>
                <a:ext uri="{FF2B5EF4-FFF2-40B4-BE49-F238E27FC236}">
                  <a16:creationId xmlns:a16="http://schemas.microsoft.com/office/drawing/2014/main" id="{00000000-0008-0000-03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7</xdr:col>
      <xdr:colOff>133350</xdr:colOff>
      <xdr:row>6</xdr:row>
      <xdr:rowOff>9525</xdr:rowOff>
    </xdr:from>
    <xdr:to>
      <xdr:col>7</xdr:col>
      <xdr:colOff>428625</xdr:colOff>
      <xdr:row>7</xdr:row>
      <xdr:rowOff>19050</xdr:rowOff>
    </xdr:to>
    <xdr:pic>
      <xdr:nvPicPr>
        <xdr:cNvPr id="39582" name="Picture 8">
          <a:hlinkClick xmlns:r="http://schemas.openxmlformats.org/officeDocument/2006/relationships" r:id="rId1" tooltip="Help"/>
          <a:extLst>
            <a:ext uri="{FF2B5EF4-FFF2-40B4-BE49-F238E27FC236}">
              <a16:creationId xmlns:a16="http://schemas.microsoft.com/office/drawing/2014/main" id="{00000000-0008-0000-0400-00009E9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00925" y="1266825"/>
          <a:ext cx="2952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171450</xdr:colOff>
      <xdr:row>7</xdr:row>
      <xdr:rowOff>123825</xdr:rowOff>
    </xdr:from>
    <xdr:to>
      <xdr:col>5</xdr:col>
      <xdr:colOff>476250</xdr:colOff>
      <xdr:row>9</xdr:row>
      <xdr:rowOff>66675</xdr:rowOff>
    </xdr:to>
    <xdr:pic>
      <xdr:nvPicPr>
        <xdr:cNvPr id="39583" name="Picture 2">
          <a:hlinkClick xmlns:r="http://schemas.openxmlformats.org/officeDocument/2006/relationships" r:id="rId3" tooltip="Help"/>
          <a:extLst>
            <a:ext uri="{FF2B5EF4-FFF2-40B4-BE49-F238E27FC236}">
              <a16:creationId xmlns:a16="http://schemas.microsoft.com/office/drawing/2014/main" id="{00000000-0008-0000-0400-00009F9A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10225" y="16478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180975</xdr:colOff>
      <xdr:row>10</xdr:row>
      <xdr:rowOff>57150</xdr:rowOff>
    </xdr:from>
    <xdr:to>
      <xdr:col>5</xdr:col>
      <xdr:colOff>485775</xdr:colOff>
      <xdr:row>11</xdr:row>
      <xdr:rowOff>161925</xdr:rowOff>
    </xdr:to>
    <xdr:pic>
      <xdr:nvPicPr>
        <xdr:cNvPr id="39584" name="Picture 3">
          <a:hlinkClick xmlns:r="http://schemas.openxmlformats.org/officeDocument/2006/relationships" r:id="rId5" tooltip="Help"/>
          <a:extLst>
            <a:ext uri="{FF2B5EF4-FFF2-40B4-BE49-F238E27FC236}">
              <a16:creationId xmlns:a16="http://schemas.microsoft.com/office/drawing/2014/main" id="{00000000-0008-0000-0400-0000A09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619750" y="21526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85725</xdr:colOff>
      <xdr:row>6</xdr:row>
      <xdr:rowOff>9525</xdr:rowOff>
    </xdr:from>
    <xdr:to>
      <xdr:col>12</xdr:col>
      <xdr:colOff>381000</xdr:colOff>
      <xdr:row>7</xdr:row>
      <xdr:rowOff>28575</xdr:rowOff>
    </xdr:to>
    <xdr:pic>
      <xdr:nvPicPr>
        <xdr:cNvPr id="39585" name="Picture 10">
          <a:hlinkClick xmlns:r="http://schemas.openxmlformats.org/officeDocument/2006/relationships" r:id="rId7" tooltip="Help"/>
          <a:extLst>
            <a:ext uri="{FF2B5EF4-FFF2-40B4-BE49-F238E27FC236}">
              <a16:creationId xmlns:a16="http://schemas.microsoft.com/office/drawing/2014/main" id="{00000000-0008-0000-0400-0000A19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25425" y="126682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257175</xdr:colOff>
      <xdr:row>74</xdr:row>
      <xdr:rowOff>28575</xdr:rowOff>
    </xdr:from>
    <xdr:to>
      <xdr:col>3</xdr:col>
      <xdr:colOff>561975</xdr:colOff>
      <xdr:row>75</xdr:row>
      <xdr:rowOff>152400</xdr:rowOff>
    </xdr:to>
    <xdr:pic>
      <xdr:nvPicPr>
        <xdr:cNvPr id="39586" name="Picture 17">
          <a:hlinkClick xmlns:r="http://schemas.openxmlformats.org/officeDocument/2006/relationships" r:id="rId8" tooltip="Bank Account - enter all items that have been paid out of the company bank account."/>
          <a:extLst>
            <a:ext uri="{FF2B5EF4-FFF2-40B4-BE49-F238E27FC236}">
              <a16:creationId xmlns:a16="http://schemas.microsoft.com/office/drawing/2014/main" id="{00000000-0008-0000-0400-0000A29A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67150" y="80295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200025</xdr:colOff>
      <xdr:row>75</xdr:row>
      <xdr:rowOff>0</xdr:rowOff>
    </xdr:from>
    <xdr:to>
      <xdr:col>31</xdr:col>
      <xdr:colOff>504825</xdr:colOff>
      <xdr:row>76</xdr:row>
      <xdr:rowOff>152400</xdr:rowOff>
    </xdr:to>
    <xdr:pic>
      <xdr:nvPicPr>
        <xdr:cNvPr id="39587" name="Picture 19">
          <a:hlinkClick xmlns:r="http://schemas.openxmlformats.org/officeDocument/2006/relationships" r:id="rId10" tooltip="If the expenses have been entered correctly the check total boxes (under the expenditure table – row 105) will agree. If not, an error message will flash up in column AF which will tell you which row to correct on the sheet."/>
          <a:extLst>
            <a:ext uri="{FF2B5EF4-FFF2-40B4-BE49-F238E27FC236}">
              <a16:creationId xmlns:a16="http://schemas.microsoft.com/office/drawing/2014/main" id="{00000000-0008-0000-0400-0000A39A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84450" y="81915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200</xdr:row>
      <xdr:rowOff>85725</xdr:rowOff>
    </xdr:from>
    <xdr:to>
      <xdr:col>2</xdr:col>
      <xdr:colOff>381000</xdr:colOff>
      <xdr:row>202</xdr:row>
      <xdr:rowOff>28575</xdr:rowOff>
    </xdr:to>
    <xdr:pic>
      <xdr:nvPicPr>
        <xdr:cNvPr id="39588" name="Picture 21">
          <a:hlinkClick xmlns:r="http://schemas.openxmlformats.org/officeDocument/2006/relationships" r:id="rId12" tooltip="Help"/>
          <a:extLst>
            <a:ext uri="{FF2B5EF4-FFF2-40B4-BE49-F238E27FC236}">
              <a16:creationId xmlns:a16="http://schemas.microsoft.com/office/drawing/2014/main" id="{00000000-0008-0000-0400-0000A49A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505075" y="144780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495300</xdr:colOff>
      <xdr:row>74</xdr:row>
      <xdr:rowOff>95250</xdr:rowOff>
    </xdr:from>
    <xdr:to>
      <xdr:col>6</xdr:col>
      <xdr:colOff>800100</xdr:colOff>
      <xdr:row>76</xdr:row>
      <xdr:rowOff>57150</xdr:rowOff>
    </xdr:to>
    <xdr:pic>
      <xdr:nvPicPr>
        <xdr:cNvPr id="39589" name="Picture 27">
          <a:hlinkClick xmlns:r="http://schemas.openxmlformats.org/officeDocument/2006/relationships" r:id="rId14" tooltip="Help"/>
          <a:extLst>
            <a:ext uri="{FF2B5EF4-FFF2-40B4-BE49-F238E27FC236}">
              <a16:creationId xmlns:a16="http://schemas.microsoft.com/office/drawing/2014/main" id="{00000000-0008-0000-0400-0000A59A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48475" y="809625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200</xdr:row>
      <xdr:rowOff>85725</xdr:rowOff>
    </xdr:from>
    <xdr:to>
      <xdr:col>2</xdr:col>
      <xdr:colOff>409575</xdr:colOff>
      <xdr:row>202</xdr:row>
      <xdr:rowOff>28575</xdr:rowOff>
    </xdr:to>
    <xdr:pic>
      <xdr:nvPicPr>
        <xdr:cNvPr id="39590" name="Picture 15">
          <a:hlinkClick xmlns:r="http://schemas.openxmlformats.org/officeDocument/2006/relationships" r:id="rId10"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400-0000A69A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524125" y="14478000"/>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142875</xdr:colOff>
      <xdr:row>6</xdr:row>
      <xdr:rowOff>28575</xdr:rowOff>
    </xdr:from>
    <xdr:to>
      <xdr:col>7</xdr:col>
      <xdr:colOff>438150</xdr:colOff>
      <xdr:row>7</xdr:row>
      <xdr:rowOff>47625</xdr:rowOff>
    </xdr:to>
    <xdr:pic>
      <xdr:nvPicPr>
        <xdr:cNvPr id="39591" name="Picture 8">
          <a:hlinkClick xmlns:r="http://schemas.openxmlformats.org/officeDocument/2006/relationships" r:id="rId1"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400-0000A79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10450" y="128587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190500</xdr:colOff>
      <xdr:row>7</xdr:row>
      <xdr:rowOff>133350</xdr:rowOff>
    </xdr:from>
    <xdr:to>
      <xdr:col>5</xdr:col>
      <xdr:colOff>495300</xdr:colOff>
      <xdr:row>9</xdr:row>
      <xdr:rowOff>76200</xdr:rowOff>
    </xdr:to>
    <xdr:pic>
      <xdr:nvPicPr>
        <xdr:cNvPr id="39592" name="Picture 2">
          <a:hlinkClick xmlns:r="http://schemas.openxmlformats.org/officeDocument/2006/relationships" r:id="rId3" tooltip="IR35 Status: Enter Y or N in the yellow IR35 question box (cell E9)."/>
          <a:extLst>
            <a:ext uri="{FF2B5EF4-FFF2-40B4-BE49-F238E27FC236}">
              <a16:creationId xmlns:a16="http://schemas.microsoft.com/office/drawing/2014/main" id="{00000000-0008-0000-0400-0000A89A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29275" y="165735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190500</xdr:colOff>
      <xdr:row>10</xdr:row>
      <xdr:rowOff>85725</xdr:rowOff>
    </xdr:from>
    <xdr:to>
      <xdr:col>5</xdr:col>
      <xdr:colOff>495300</xdr:colOff>
      <xdr:row>11</xdr:row>
      <xdr:rowOff>171450</xdr:rowOff>
    </xdr:to>
    <xdr:pic>
      <xdr:nvPicPr>
        <xdr:cNvPr id="39593" name="Picture 3">
          <a:hlinkClick xmlns:r="http://schemas.openxmlformats.org/officeDocument/2006/relationships" r:id="rId5"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400-0000A99A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629275" y="2181225"/>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95250</xdr:colOff>
      <xdr:row>6</xdr:row>
      <xdr:rowOff>28575</xdr:rowOff>
    </xdr:from>
    <xdr:to>
      <xdr:col>12</xdr:col>
      <xdr:colOff>390525</xdr:colOff>
      <xdr:row>7</xdr:row>
      <xdr:rowOff>47625</xdr:rowOff>
    </xdr:to>
    <xdr:pic>
      <xdr:nvPicPr>
        <xdr:cNvPr id="39594" name="Picture 10">
          <a:hlinkClick xmlns:r="http://schemas.openxmlformats.org/officeDocument/2006/relationships" r:id="rId7" tooltip="The bankings section is used to record money received into the company bank accounts."/>
          <a:extLst>
            <a:ext uri="{FF2B5EF4-FFF2-40B4-BE49-F238E27FC236}">
              <a16:creationId xmlns:a16="http://schemas.microsoft.com/office/drawing/2014/main" id="{00000000-0008-0000-0400-0000AA9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34950" y="128587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314325</xdr:colOff>
      <xdr:row>74</xdr:row>
      <xdr:rowOff>38100</xdr:rowOff>
    </xdr:from>
    <xdr:to>
      <xdr:col>4</xdr:col>
      <xdr:colOff>619125</xdr:colOff>
      <xdr:row>75</xdr:row>
      <xdr:rowOff>161925</xdr:rowOff>
    </xdr:to>
    <xdr:pic>
      <xdr:nvPicPr>
        <xdr:cNvPr id="39595" name="Picture 30">
          <a:hlinkClick xmlns:r="http://schemas.openxmlformats.org/officeDocument/2006/relationships" r:id="rId15" tooltip="At the end of each month any total in the cash column should be repaid to yourself as expenses. "/>
          <a:extLst>
            <a:ext uri="{FF2B5EF4-FFF2-40B4-BE49-F238E27FC236}">
              <a16:creationId xmlns:a16="http://schemas.microsoft.com/office/drawing/2014/main" id="{00000000-0008-0000-0400-0000AB9A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838700" y="80391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495300</xdr:colOff>
      <xdr:row>74</xdr:row>
      <xdr:rowOff>95250</xdr:rowOff>
    </xdr:from>
    <xdr:to>
      <xdr:col>6</xdr:col>
      <xdr:colOff>800100</xdr:colOff>
      <xdr:row>76</xdr:row>
      <xdr:rowOff>57150</xdr:rowOff>
    </xdr:to>
    <xdr:pic>
      <xdr:nvPicPr>
        <xdr:cNvPr id="39596" name="Picture 32">
          <a:hlinkClick xmlns:r="http://schemas.openxmlformats.org/officeDocument/2006/relationships" r:id="rId14" tooltip="If you are using the VAT Flat Rate Scheme you do not need to enter a VAT figure in the expenditure section. VAT paid to HMRC is entered in column Y."/>
          <a:extLst>
            <a:ext uri="{FF2B5EF4-FFF2-40B4-BE49-F238E27FC236}">
              <a16:creationId xmlns:a16="http://schemas.microsoft.com/office/drawing/2014/main" id="{00000000-0008-0000-0400-0000AC9A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48475" y="809625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202</xdr:row>
      <xdr:rowOff>133350</xdr:rowOff>
    </xdr:from>
    <xdr:to>
      <xdr:col>9</xdr:col>
      <xdr:colOff>361950</xdr:colOff>
      <xdr:row>204</xdr:row>
      <xdr:rowOff>9524</xdr:rowOff>
    </xdr:to>
    <xdr:pic>
      <xdr:nvPicPr>
        <xdr:cNvPr id="39597" name="Picture 28">
          <a:hlinkClick xmlns:r="http://schemas.openxmlformats.org/officeDocument/2006/relationships" r:id="rId16" tooltip="Each month, to check that your spreadsheet reconciles to your bank statement."/>
          <a:extLst>
            <a:ext uri="{FF2B5EF4-FFF2-40B4-BE49-F238E27FC236}">
              <a16:creationId xmlns:a16="http://schemas.microsoft.com/office/drawing/2014/main" id="{00000000-0008-0000-0400-0000AD9A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63075" y="148875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161925</xdr:colOff>
          <xdr:row>214</xdr:row>
          <xdr:rowOff>142875</xdr:rowOff>
        </xdr:from>
        <xdr:to>
          <xdr:col>7</xdr:col>
          <xdr:colOff>657225</xdr:colOff>
          <xdr:row>215</xdr:row>
          <xdr:rowOff>171450</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4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7</xdr:col>
      <xdr:colOff>133350</xdr:colOff>
      <xdr:row>6</xdr:row>
      <xdr:rowOff>0</xdr:rowOff>
    </xdr:from>
    <xdr:to>
      <xdr:col>7</xdr:col>
      <xdr:colOff>428625</xdr:colOff>
      <xdr:row>7</xdr:row>
      <xdr:rowOff>19050</xdr:rowOff>
    </xdr:to>
    <xdr:pic>
      <xdr:nvPicPr>
        <xdr:cNvPr id="42600" name="Picture 3">
          <a:hlinkClick xmlns:r="http://schemas.openxmlformats.org/officeDocument/2006/relationships" r:id="rId1" tooltip="Help"/>
          <a:extLst>
            <a:ext uri="{FF2B5EF4-FFF2-40B4-BE49-F238E27FC236}">
              <a16:creationId xmlns:a16="http://schemas.microsoft.com/office/drawing/2014/main" id="{00000000-0008-0000-0500-000068A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00925" y="125730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95250</xdr:colOff>
      <xdr:row>6</xdr:row>
      <xdr:rowOff>0</xdr:rowOff>
    </xdr:from>
    <xdr:to>
      <xdr:col>12</xdr:col>
      <xdr:colOff>390525</xdr:colOff>
      <xdr:row>7</xdr:row>
      <xdr:rowOff>0</xdr:rowOff>
    </xdr:to>
    <xdr:pic>
      <xdr:nvPicPr>
        <xdr:cNvPr id="42601" name="Picture 10">
          <a:hlinkClick xmlns:r="http://schemas.openxmlformats.org/officeDocument/2006/relationships" r:id="rId3" tooltip="Help"/>
          <a:extLst>
            <a:ext uri="{FF2B5EF4-FFF2-40B4-BE49-F238E27FC236}">
              <a16:creationId xmlns:a16="http://schemas.microsoft.com/office/drawing/2014/main" id="{00000000-0008-0000-0500-000069A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34950" y="1257300"/>
          <a:ext cx="2952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123825</xdr:colOff>
      <xdr:row>7</xdr:row>
      <xdr:rowOff>123825</xdr:rowOff>
    </xdr:from>
    <xdr:to>
      <xdr:col>5</xdr:col>
      <xdr:colOff>428625</xdr:colOff>
      <xdr:row>9</xdr:row>
      <xdr:rowOff>57150</xdr:rowOff>
    </xdr:to>
    <xdr:pic>
      <xdr:nvPicPr>
        <xdr:cNvPr id="42602" name="Picture 2">
          <a:hlinkClick xmlns:r="http://schemas.openxmlformats.org/officeDocument/2006/relationships" r:id="rId4" tooltip="Help"/>
          <a:extLst>
            <a:ext uri="{FF2B5EF4-FFF2-40B4-BE49-F238E27FC236}">
              <a16:creationId xmlns:a16="http://schemas.microsoft.com/office/drawing/2014/main" id="{00000000-0008-0000-0500-00006AA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62600" y="16478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133350</xdr:colOff>
      <xdr:row>10</xdr:row>
      <xdr:rowOff>9525</xdr:rowOff>
    </xdr:from>
    <xdr:to>
      <xdr:col>5</xdr:col>
      <xdr:colOff>438150</xdr:colOff>
      <xdr:row>11</xdr:row>
      <xdr:rowOff>114300</xdr:rowOff>
    </xdr:to>
    <xdr:pic>
      <xdr:nvPicPr>
        <xdr:cNvPr id="42603" name="Picture 3">
          <a:hlinkClick xmlns:r="http://schemas.openxmlformats.org/officeDocument/2006/relationships" r:id="rId6" tooltip="Help"/>
          <a:extLst>
            <a:ext uri="{FF2B5EF4-FFF2-40B4-BE49-F238E27FC236}">
              <a16:creationId xmlns:a16="http://schemas.microsoft.com/office/drawing/2014/main" id="{00000000-0008-0000-0500-00006BA6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72125" y="21050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257175</xdr:colOff>
      <xdr:row>74</xdr:row>
      <xdr:rowOff>28575</xdr:rowOff>
    </xdr:from>
    <xdr:to>
      <xdr:col>3</xdr:col>
      <xdr:colOff>552450</xdr:colOff>
      <xdr:row>75</xdr:row>
      <xdr:rowOff>142875</xdr:rowOff>
    </xdr:to>
    <xdr:pic>
      <xdr:nvPicPr>
        <xdr:cNvPr id="42604" name="Picture 12">
          <a:hlinkClick xmlns:r="http://schemas.openxmlformats.org/officeDocument/2006/relationships" r:id="rId8" tooltip="Bank Account - enter all items that have been paid out of the company bank account."/>
          <a:extLst>
            <a:ext uri="{FF2B5EF4-FFF2-40B4-BE49-F238E27FC236}">
              <a16:creationId xmlns:a16="http://schemas.microsoft.com/office/drawing/2014/main" id="{00000000-0008-0000-0500-00006CA6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67150" y="8029575"/>
          <a:ext cx="2952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495300</xdr:colOff>
      <xdr:row>74</xdr:row>
      <xdr:rowOff>28575</xdr:rowOff>
    </xdr:from>
    <xdr:to>
      <xdr:col>6</xdr:col>
      <xdr:colOff>800100</xdr:colOff>
      <xdr:row>75</xdr:row>
      <xdr:rowOff>161925</xdr:rowOff>
    </xdr:to>
    <xdr:pic>
      <xdr:nvPicPr>
        <xdr:cNvPr id="42605" name="Picture 16">
          <a:hlinkClick xmlns:r="http://schemas.openxmlformats.org/officeDocument/2006/relationships" r:id="rId10" tooltip="Help"/>
          <a:extLst>
            <a:ext uri="{FF2B5EF4-FFF2-40B4-BE49-F238E27FC236}">
              <a16:creationId xmlns:a16="http://schemas.microsoft.com/office/drawing/2014/main" id="{00000000-0008-0000-0500-00006DA6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48475" y="8029575"/>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219075</xdr:colOff>
      <xdr:row>74</xdr:row>
      <xdr:rowOff>180975</xdr:rowOff>
    </xdr:from>
    <xdr:to>
      <xdr:col>31</xdr:col>
      <xdr:colOff>523875</xdr:colOff>
      <xdr:row>76</xdr:row>
      <xdr:rowOff>142875</xdr:rowOff>
    </xdr:to>
    <xdr:pic>
      <xdr:nvPicPr>
        <xdr:cNvPr id="42606" name="Picture 17">
          <a:hlinkClick xmlns:r="http://schemas.openxmlformats.org/officeDocument/2006/relationships" r:id="rId12" tooltip="Help"/>
          <a:extLst>
            <a:ext uri="{FF2B5EF4-FFF2-40B4-BE49-F238E27FC236}">
              <a16:creationId xmlns:a16="http://schemas.microsoft.com/office/drawing/2014/main" id="{00000000-0008-0000-0500-00006EA6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8003500" y="81819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200</xdr:row>
      <xdr:rowOff>104775</xdr:rowOff>
    </xdr:from>
    <xdr:to>
      <xdr:col>2</xdr:col>
      <xdr:colOff>361950</xdr:colOff>
      <xdr:row>202</xdr:row>
      <xdr:rowOff>47625</xdr:rowOff>
    </xdr:to>
    <xdr:pic>
      <xdr:nvPicPr>
        <xdr:cNvPr id="42607" name="Picture 19">
          <a:hlinkClick xmlns:r="http://schemas.openxmlformats.org/officeDocument/2006/relationships" r:id="rId12" tooltip="Help"/>
          <a:extLst>
            <a:ext uri="{FF2B5EF4-FFF2-40B4-BE49-F238E27FC236}">
              <a16:creationId xmlns:a16="http://schemas.microsoft.com/office/drawing/2014/main" id="{00000000-0008-0000-0500-00006FA6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86025" y="144970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142875</xdr:colOff>
      <xdr:row>6</xdr:row>
      <xdr:rowOff>19050</xdr:rowOff>
    </xdr:from>
    <xdr:to>
      <xdr:col>7</xdr:col>
      <xdr:colOff>438150</xdr:colOff>
      <xdr:row>7</xdr:row>
      <xdr:rowOff>38100</xdr:rowOff>
    </xdr:to>
    <xdr:pic>
      <xdr:nvPicPr>
        <xdr:cNvPr id="42608" name="Picture 8">
          <a:hlinkClick xmlns:r="http://schemas.openxmlformats.org/officeDocument/2006/relationships" r:id="rId1"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500-000070A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10450" y="127635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114300</xdr:colOff>
      <xdr:row>6</xdr:row>
      <xdr:rowOff>19050</xdr:rowOff>
    </xdr:from>
    <xdr:to>
      <xdr:col>12</xdr:col>
      <xdr:colOff>409575</xdr:colOff>
      <xdr:row>7</xdr:row>
      <xdr:rowOff>38100</xdr:rowOff>
    </xdr:to>
    <xdr:pic>
      <xdr:nvPicPr>
        <xdr:cNvPr id="42609" name="Picture 10">
          <a:hlinkClick xmlns:r="http://schemas.openxmlformats.org/officeDocument/2006/relationships" r:id="rId3" tooltip="The bankings section is used to record money received into the company bank accounts."/>
          <a:extLst>
            <a:ext uri="{FF2B5EF4-FFF2-40B4-BE49-F238E27FC236}">
              <a16:creationId xmlns:a16="http://schemas.microsoft.com/office/drawing/2014/main" id="{00000000-0008-0000-0500-000071A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4000" y="127635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133350</xdr:colOff>
      <xdr:row>7</xdr:row>
      <xdr:rowOff>142875</xdr:rowOff>
    </xdr:from>
    <xdr:to>
      <xdr:col>5</xdr:col>
      <xdr:colOff>438150</xdr:colOff>
      <xdr:row>9</xdr:row>
      <xdr:rowOff>85725</xdr:rowOff>
    </xdr:to>
    <xdr:pic>
      <xdr:nvPicPr>
        <xdr:cNvPr id="42610" name="Picture 2">
          <a:hlinkClick xmlns:r="http://schemas.openxmlformats.org/officeDocument/2006/relationships" r:id="rId4" tooltip="IR35 Status: Enter Y or N in the yellow IR35 question box (cell E9)."/>
          <a:extLst>
            <a:ext uri="{FF2B5EF4-FFF2-40B4-BE49-F238E27FC236}">
              <a16:creationId xmlns:a16="http://schemas.microsoft.com/office/drawing/2014/main" id="{00000000-0008-0000-0500-000072A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72125" y="16668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142875</xdr:colOff>
      <xdr:row>10</xdr:row>
      <xdr:rowOff>47625</xdr:rowOff>
    </xdr:from>
    <xdr:to>
      <xdr:col>5</xdr:col>
      <xdr:colOff>447675</xdr:colOff>
      <xdr:row>11</xdr:row>
      <xdr:rowOff>142875</xdr:rowOff>
    </xdr:to>
    <xdr:pic>
      <xdr:nvPicPr>
        <xdr:cNvPr id="42611" name="Picture 3">
          <a:hlinkClick xmlns:r="http://schemas.openxmlformats.org/officeDocument/2006/relationships" r:id="rId6"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500-000073A6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81650" y="21431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74</xdr:row>
      <xdr:rowOff>28575</xdr:rowOff>
    </xdr:from>
    <xdr:to>
      <xdr:col>4</xdr:col>
      <xdr:colOff>619125</xdr:colOff>
      <xdr:row>75</xdr:row>
      <xdr:rowOff>152400</xdr:rowOff>
    </xdr:to>
    <xdr:pic>
      <xdr:nvPicPr>
        <xdr:cNvPr id="42612" name="Picture 26">
          <a:hlinkClick xmlns:r="http://schemas.openxmlformats.org/officeDocument/2006/relationships" r:id="rId14" tooltip="At the end of each month any total in the cash column should be repaid to yourself as expenses. "/>
          <a:extLst>
            <a:ext uri="{FF2B5EF4-FFF2-40B4-BE49-F238E27FC236}">
              <a16:creationId xmlns:a16="http://schemas.microsoft.com/office/drawing/2014/main" id="{00000000-0008-0000-0500-000074A6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829175" y="8029575"/>
          <a:ext cx="3143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200025</xdr:colOff>
      <xdr:row>74</xdr:row>
      <xdr:rowOff>161925</xdr:rowOff>
    </xdr:from>
    <xdr:to>
      <xdr:col>31</xdr:col>
      <xdr:colOff>504825</xdr:colOff>
      <xdr:row>76</xdr:row>
      <xdr:rowOff>123825</xdr:rowOff>
    </xdr:to>
    <xdr:pic>
      <xdr:nvPicPr>
        <xdr:cNvPr id="42613" name="Picture 30">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a:extLst>
            <a:ext uri="{FF2B5EF4-FFF2-40B4-BE49-F238E27FC236}">
              <a16:creationId xmlns:a16="http://schemas.microsoft.com/office/drawing/2014/main" id="{00000000-0008-0000-0500-000075A6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84450" y="81629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200</xdr:row>
      <xdr:rowOff>133350</xdr:rowOff>
    </xdr:from>
    <xdr:to>
      <xdr:col>2</xdr:col>
      <xdr:colOff>381000</xdr:colOff>
      <xdr:row>202</xdr:row>
      <xdr:rowOff>85725</xdr:rowOff>
    </xdr:to>
    <xdr:pic>
      <xdr:nvPicPr>
        <xdr:cNvPr id="42614" name="Picture 32">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500-000076A6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505075" y="145256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202</xdr:row>
      <xdr:rowOff>133350</xdr:rowOff>
    </xdr:from>
    <xdr:to>
      <xdr:col>9</xdr:col>
      <xdr:colOff>361950</xdr:colOff>
      <xdr:row>204</xdr:row>
      <xdr:rowOff>9525</xdr:rowOff>
    </xdr:to>
    <xdr:pic>
      <xdr:nvPicPr>
        <xdr:cNvPr id="42615" name="Picture 20">
          <a:hlinkClick xmlns:r="http://schemas.openxmlformats.org/officeDocument/2006/relationships" r:id="rId16" tooltip="Each month, to check that your spreadsheet reconciles to your bank statement."/>
          <a:extLst>
            <a:ext uri="{FF2B5EF4-FFF2-40B4-BE49-F238E27FC236}">
              <a16:creationId xmlns:a16="http://schemas.microsoft.com/office/drawing/2014/main" id="{00000000-0008-0000-0500-000077A6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63075" y="148875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76200</xdr:colOff>
          <xdr:row>214</xdr:row>
          <xdr:rowOff>152400</xdr:rowOff>
        </xdr:from>
        <xdr:to>
          <xdr:col>7</xdr:col>
          <xdr:colOff>571500</xdr:colOff>
          <xdr:row>216</xdr:row>
          <xdr:rowOff>9525</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5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7</xdr:col>
      <xdr:colOff>104775</xdr:colOff>
      <xdr:row>6</xdr:row>
      <xdr:rowOff>28575</xdr:rowOff>
    </xdr:from>
    <xdr:to>
      <xdr:col>7</xdr:col>
      <xdr:colOff>400050</xdr:colOff>
      <xdr:row>7</xdr:row>
      <xdr:rowOff>38100</xdr:rowOff>
    </xdr:to>
    <xdr:pic>
      <xdr:nvPicPr>
        <xdr:cNvPr id="36584" name="Picture 2">
          <a:hlinkClick xmlns:r="http://schemas.openxmlformats.org/officeDocument/2006/relationships" r:id="rId1" tooltip="Help"/>
          <a:extLst>
            <a:ext uri="{FF2B5EF4-FFF2-40B4-BE49-F238E27FC236}">
              <a16:creationId xmlns:a16="http://schemas.microsoft.com/office/drawing/2014/main" id="{00000000-0008-0000-0600-0000E88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1285875"/>
          <a:ext cx="2952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123825</xdr:colOff>
      <xdr:row>5</xdr:row>
      <xdr:rowOff>152400</xdr:rowOff>
    </xdr:from>
    <xdr:to>
      <xdr:col>12</xdr:col>
      <xdr:colOff>419100</xdr:colOff>
      <xdr:row>6</xdr:row>
      <xdr:rowOff>247650</xdr:rowOff>
    </xdr:to>
    <xdr:pic>
      <xdr:nvPicPr>
        <xdr:cNvPr id="36585" name="Picture 10">
          <a:hlinkClick xmlns:r="http://schemas.openxmlformats.org/officeDocument/2006/relationships" r:id="rId3" tooltip="Help"/>
          <a:extLst>
            <a:ext uri="{FF2B5EF4-FFF2-40B4-BE49-F238E27FC236}">
              <a16:creationId xmlns:a16="http://schemas.microsoft.com/office/drawing/2014/main" id="{00000000-0008-0000-0600-0000E98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63525" y="1238250"/>
          <a:ext cx="2952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104775</xdr:colOff>
      <xdr:row>8</xdr:row>
      <xdr:rowOff>0</xdr:rowOff>
    </xdr:from>
    <xdr:to>
      <xdr:col>5</xdr:col>
      <xdr:colOff>409575</xdr:colOff>
      <xdr:row>9</xdr:row>
      <xdr:rowOff>104775</xdr:rowOff>
    </xdr:to>
    <xdr:pic>
      <xdr:nvPicPr>
        <xdr:cNvPr id="36586" name="Picture 2">
          <a:hlinkClick xmlns:r="http://schemas.openxmlformats.org/officeDocument/2006/relationships" r:id="rId4" tooltip="Help"/>
          <a:extLst>
            <a:ext uri="{FF2B5EF4-FFF2-40B4-BE49-F238E27FC236}">
              <a16:creationId xmlns:a16="http://schemas.microsoft.com/office/drawing/2014/main" id="{00000000-0008-0000-0600-0000EA8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43550" y="16954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123825</xdr:colOff>
      <xdr:row>10</xdr:row>
      <xdr:rowOff>28575</xdr:rowOff>
    </xdr:from>
    <xdr:to>
      <xdr:col>5</xdr:col>
      <xdr:colOff>428625</xdr:colOff>
      <xdr:row>11</xdr:row>
      <xdr:rowOff>133350</xdr:rowOff>
    </xdr:to>
    <xdr:pic>
      <xdr:nvPicPr>
        <xdr:cNvPr id="36587" name="Picture 3">
          <a:hlinkClick xmlns:r="http://schemas.openxmlformats.org/officeDocument/2006/relationships" r:id="rId6" tooltip="Help"/>
          <a:extLst>
            <a:ext uri="{FF2B5EF4-FFF2-40B4-BE49-F238E27FC236}">
              <a16:creationId xmlns:a16="http://schemas.microsoft.com/office/drawing/2014/main" id="{00000000-0008-0000-0600-0000EB8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62600" y="21240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276225</xdr:colOff>
      <xdr:row>74</xdr:row>
      <xdr:rowOff>57150</xdr:rowOff>
    </xdr:from>
    <xdr:to>
      <xdr:col>3</xdr:col>
      <xdr:colOff>581025</xdr:colOff>
      <xdr:row>76</xdr:row>
      <xdr:rowOff>9525</xdr:rowOff>
    </xdr:to>
    <xdr:pic>
      <xdr:nvPicPr>
        <xdr:cNvPr id="36588" name="Picture 10">
          <a:hlinkClick xmlns:r="http://schemas.openxmlformats.org/officeDocument/2006/relationships" r:id="rId8" tooltip="Bank Account - enter all items that have been paid out of the company bank account."/>
          <a:extLst>
            <a:ext uri="{FF2B5EF4-FFF2-40B4-BE49-F238E27FC236}">
              <a16:creationId xmlns:a16="http://schemas.microsoft.com/office/drawing/2014/main" id="{00000000-0008-0000-0600-0000EC8E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86200" y="8058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476250</xdr:colOff>
      <xdr:row>74</xdr:row>
      <xdr:rowOff>66675</xdr:rowOff>
    </xdr:from>
    <xdr:to>
      <xdr:col>6</xdr:col>
      <xdr:colOff>781050</xdr:colOff>
      <xdr:row>76</xdr:row>
      <xdr:rowOff>19050</xdr:rowOff>
    </xdr:to>
    <xdr:pic>
      <xdr:nvPicPr>
        <xdr:cNvPr id="36589" name="Picture 14">
          <a:hlinkClick xmlns:r="http://schemas.openxmlformats.org/officeDocument/2006/relationships" r:id="rId10" tooltip="Help"/>
          <a:extLst>
            <a:ext uri="{FF2B5EF4-FFF2-40B4-BE49-F238E27FC236}">
              <a16:creationId xmlns:a16="http://schemas.microsoft.com/office/drawing/2014/main" id="{00000000-0008-0000-0600-0000ED8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29425" y="80676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247650</xdr:colOff>
      <xdr:row>74</xdr:row>
      <xdr:rowOff>152400</xdr:rowOff>
    </xdr:from>
    <xdr:to>
      <xdr:col>31</xdr:col>
      <xdr:colOff>552450</xdr:colOff>
      <xdr:row>76</xdr:row>
      <xdr:rowOff>114300</xdr:rowOff>
    </xdr:to>
    <xdr:pic>
      <xdr:nvPicPr>
        <xdr:cNvPr id="36590" name="Picture 16">
          <a:hlinkClick xmlns:r="http://schemas.openxmlformats.org/officeDocument/2006/relationships" r:id="rId12" tooltip="Help"/>
          <a:extLst>
            <a:ext uri="{FF2B5EF4-FFF2-40B4-BE49-F238E27FC236}">
              <a16:creationId xmlns:a16="http://schemas.microsoft.com/office/drawing/2014/main" id="{00000000-0008-0000-0600-0000EE8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8032075" y="81534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200</xdr:row>
      <xdr:rowOff>95250</xdr:rowOff>
    </xdr:from>
    <xdr:to>
      <xdr:col>2</xdr:col>
      <xdr:colOff>352425</xdr:colOff>
      <xdr:row>202</xdr:row>
      <xdr:rowOff>38100</xdr:rowOff>
    </xdr:to>
    <xdr:pic>
      <xdr:nvPicPr>
        <xdr:cNvPr id="36591" name="Picture 18">
          <a:hlinkClick xmlns:r="http://schemas.openxmlformats.org/officeDocument/2006/relationships" r:id="rId12" tooltip="Help"/>
          <a:extLst>
            <a:ext uri="{FF2B5EF4-FFF2-40B4-BE49-F238E27FC236}">
              <a16:creationId xmlns:a16="http://schemas.microsoft.com/office/drawing/2014/main" id="{00000000-0008-0000-0600-0000EF8E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66975" y="14487525"/>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123825</xdr:colOff>
      <xdr:row>6</xdr:row>
      <xdr:rowOff>47625</xdr:rowOff>
    </xdr:from>
    <xdr:to>
      <xdr:col>7</xdr:col>
      <xdr:colOff>419100</xdr:colOff>
      <xdr:row>7</xdr:row>
      <xdr:rowOff>66675</xdr:rowOff>
    </xdr:to>
    <xdr:pic>
      <xdr:nvPicPr>
        <xdr:cNvPr id="36592" name="Picture 8">
          <a:hlinkClick xmlns:r="http://schemas.openxmlformats.org/officeDocument/2006/relationships" r:id="rId1"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600-0000F08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91400" y="130492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142875</xdr:colOff>
      <xdr:row>5</xdr:row>
      <xdr:rowOff>161925</xdr:rowOff>
    </xdr:from>
    <xdr:to>
      <xdr:col>12</xdr:col>
      <xdr:colOff>438150</xdr:colOff>
      <xdr:row>7</xdr:row>
      <xdr:rowOff>9525</xdr:rowOff>
    </xdr:to>
    <xdr:pic>
      <xdr:nvPicPr>
        <xdr:cNvPr id="36593" name="Picture 10">
          <a:hlinkClick xmlns:r="http://schemas.openxmlformats.org/officeDocument/2006/relationships" r:id="rId3" tooltip="The bankings section is used to record money received into the company bank accounts."/>
          <a:extLst>
            <a:ext uri="{FF2B5EF4-FFF2-40B4-BE49-F238E27FC236}">
              <a16:creationId xmlns:a16="http://schemas.microsoft.com/office/drawing/2014/main" id="{00000000-0008-0000-0600-0000F18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82575" y="124777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114300</xdr:colOff>
      <xdr:row>8</xdr:row>
      <xdr:rowOff>28575</xdr:rowOff>
    </xdr:from>
    <xdr:to>
      <xdr:col>5</xdr:col>
      <xdr:colOff>419100</xdr:colOff>
      <xdr:row>9</xdr:row>
      <xdr:rowOff>142875</xdr:rowOff>
    </xdr:to>
    <xdr:pic>
      <xdr:nvPicPr>
        <xdr:cNvPr id="36594" name="Picture 2">
          <a:hlinkClick xmlns:r="http://schemas.openxmlformats.org/officeDocument/2006/relationships" r:id="rId4" tooltip="IR35 Status: Enter Y or N in the yellow IR35 question box (cell E9)."/>
          <a:extLst>
            <a:ext uri="{FF2B5EF4-FFF2-40B4-BE49-F238E27FC236}">
              <a16:creationId xmlns:a16="http://schemas.microsoft.com/office/drawing/2014/main" id="{00000000-0008-0000-0600-0000F28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53075" y="17240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133350</xdr:colOff>
      <xdr:row>10</xdr:row>
      <xdr:rowOff>66675</xdr:rowOff>
    </xdr:from>
    <xdr:to>
      <xdr:col>5</xdr:col>
      <xdr:colOff>438150</xdr:colOff>
      <xdr:row>11</xdr:row>
      <xdr:rowOff>152400</xdr:rowOff>
    </xdr:to>
    <xdr:pic>
      <xdr:nvPicPr>
        <xdr:cNvPr id="36595" name="Picture 3">
          <a:hlinkClick xmlns:r="http://schemas.openxmlformats.org/officeDocument/2006/relationships" r:id="rId6"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600-0000F38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72125" y="2162175"/>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74</xdr:row>
      <xdr:rowOff>38100</xdr:rowOff>
    </xdr:from>
    <xdr:to>
      <xdr:col>4</xdr:col>
      <xdr:colOff>581025</xdr:colOff>
      <xdr:row>76</xdr:row>
      <xdr:rowOff>0</xdr:rowOff>
    </xdr:to>
    <xdr:pic>
      <xdr:nvPicPr>
        <xdr:cNvPr id="36596" name="Picture 24">
          <a:hlinkClick xmlns:r="http://schemas.openxmlformats.org/officeDocument/2006/relationships" r:id="rId14" tooltip="At the end of each month any total in the cash column should be repaid to yourself as expenses. "/>
          <a:extLst>
            <a:ext uri="{FF2B5EF4-FFF2-40B4-BE49-F238E27FC236}">
              <a16:creationId xmlns:a16="http://schemas.microsoft.com/office/drawing/2014/main" id="{00000000-0008-0000-0600-0000F48E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800600" y="80391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447675</xdr:colOff>
      <xdr:row>74</xdr:row>
      <xdr:rowOff>28575</xdr:rowOff>
    </xdr:from>
    <xdr:to>
      <xdr:col>6</xdr:col>
      <xdr:colOff>752475</xdr:colOff>
      <xdr:row>75</xdr:row>
      <xdr:rowOff>152400</xdr:rowOff>
    </xdr:to>
    <xdr:pic>
      <xdr:nvPicPr>
        <xdr:cNvPr id="36597" name="Picture 26">
          <a:hlinkClick xmlns:r="http://schemas.openxmlformats.org/officeDocument/2006/relationships" r:id="rId10" tooltip="If you are using the VAT Flat Rate Scheme you do not need to enter a VAT figure in the expenditure section. VAT paid to HMRC is entered in column Y."/>
          <a:extLst>
            <a:ext uri="{FF2B5EF4-FFF2-40B4-BE49-F238E27FC236}">
              <a16:creationId xmlns:a16="http://schemas.microsoft.com/office/drawing/2014/main" id="{00000000-0008-0000-0600-0000F58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00850" y="80295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219075</xdr:colOff>
      <xdr:row>74</xdr:row>
      <xdr:rowOff>171450</xdr:rowOff>
    </xdr:from>
    <xdr:to>
      <xdr:col>31</xdr:col>
      <xdr:colOff>523875</xdr:colOff>
      <xdr:row>76</xdr:row>
      <xdr:rowOff>133350</xdr:rowOff>
    </xdr:to>
    <xdr:pic>
      <xdr:nvPicPr>
        <xdr:cNvPr id="36598" name="Picture 28">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a:extLst>
            <a:ext uri="{FF2B5EF4-FFF2-40B4-BE49-F238E27FC236}">
              <a16:creationId xmlns:a16="http://schemas.microsoft.com/office/drawing/2014/main" id="{00000000-0008-0000-0600-0000F68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8003500" y="817245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200</xdr:row>
      <xdr:rowOff>95250</xdr:rowOff>
    </xdr:from>
    <xdr:to>
      <xdr:col>2</xdr:col>
      <xdr:colOff>352425</xdr:colOff>
      <xdr:row>202</xdr:row>
      <xdr:rowOff>38100</xdr:rowOff>
    </xdr:to>
    <xdr:pic>
      <xdr:nvPicPr>
        <xdr:cNvPr id="36599" name="Picture 30">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600-0000F78E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66975" y="14487525"/>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202</xdr:row>
      <xdr:rowOff>133350</xdr:rowOff>
    </xdr:from>
    <xdr:to>
      <xdr:col>9</xdr:col>
      <xdr:colOff>361950</xdr:colOff>
      <xdr:row>204</xdr:row>
      <xdr:rowOff>9524</xdr:rowOff>
    </xdr:to>
    <xdr:pic>
      <xdr:nvPicPr>
        <xdr:cNvPr id="36600" name="Picture 20">
          <a:hlinkClick xmlns:r="http://schemas.openxmlformats.org/officeDocument/2006/relationships" r:id="rId16" tooltip="Each month, to check that your spreadsheet reconciles to your bank statement."/>
          <a:extLst>
            <a:ext uri="{FF2B5EF4-FFF2-40B4-BE49-F238E27FC236}">
              <a16:creationId xmlns:a16="http://schemas.microsoft.com/office/drawing/2014/main" id="{00000000-0008-0000-0600-0000F88E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63075" y="148875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66675</xdr:colOff>
          <xdr:row>214</xdr:row>
          <xdr:rowOff>142875</xdr:rowOff>
        </xdr:from>
        <xdr:to>
          <xdr:col>7</xdr:col>
          <xdr:colOff>561975</xdr:colOff>
          <xdr:row>215</xdr:row>
          <xdr:rowOff>171450</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06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7</xdr:col>
      <xdr:colOff>95250</xdr:colOff>
      <xdr:row>6</xdr:row>
      <xdr:rowOff>0</xdr:rowOff>
    </xdr:from>
    <xdr:to>
      <xdr:col>7</xdr:col>
      <xdr:colOff>390525</xdr:colOff>
      <xdr:row>7</xdr:row>
      <xdr:rowOff>19050</xdr:rowOff>
    </xdr:to>
    <xdr:pic>
      <xdr:nvPicPr>
        <xdr:cNvPr id="43624" name="Picture 2">
          <a:hlinkClick xmlns:r="http://schemas.openxmlformats.org/officeDocument/2006/relationships" r:id="rId1" tooltip="Help"/>
          <a:extLst>
            <a:ext uri="{FF2B5EF4-FFF2-40B4-BE49-F238E27FC236}">
              <a16:creationId xmlns:a16="http://schemas.microsoft.com/office/drawing/2014/main" id="{00000000-0008-0000-0700-000068A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62825" y="125730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5</xdr:row>
      <xdr:rowOff>161925</xdr:rowOff>
    </xdr:from>
    <xdr:to>
      <xdr:col>12</xdr:col>
      <xdr:colOff>428625</xdr:colOff>
      <xdr:row>7</xdr:row>
      <xdr:rowOff>0</xdr:rowOff>
    </xdr:to>
    <xdr:pic>
      <xdr:nvPicPr>
        <xdr:cNvPr id="43625" name="Picture 10">
          <a:hlinkClick xmlns:r="http://schemas.openxmlformats.org/officeDocument/2006/relationships" r:id="rId3" tooltip="Help"/>
          <a:extLst>
            <a:ext uri="{FF2B5EF4-FFF2-40B4-BE49-F238E27FC236}">
              <a16:creationId xmlns:a16="http://schemas.microsoft.com/office/drawing/2014/main" id="{00000000-0008-0000-0700-000069A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73050" y="1247775"/>
          <a:ext cx="2952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123825</xdr:colOff>
      <xdr:row>7</xdr:row>
      <xdr:rowOff>152400</xdr:rowOff>
    </xdr:from>
    <xdr:to>
      <xdr:col>5</xdr:col>
      <xdr:colOff>428625</xdr:colOff>
      <xdr:row>9</xdr:row>
      <xdr:rowOff>85725</xdr:rowOff>
    </xdr:to>
    <xdr:pic>
      <xdr:nvPicPr>
        <xdr:cNvPr id="43626" name="Picture 2">
          <a:hlinkClick xmlns:r="http://schemas.openxmlformats.org/officeDocument/2006/relationships" r:id="rId4" tooltip="Help"/>
          <a:extLst>
            <a:ext uri="{FF2B5EF4-FFF2-40B4-BE49-F238E27FC236}">
              <a16:creationId xmlns:a16="http://schemas.microsoft.com/office/drawing/2014/main" id="{00000000-0008-0000-0700-00006AA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62600" y="16764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152400</xdr:colOff>
      <xdr:row>10</xdr:row>
      <xdr:rowOff>66675</xdr:rowOff>
    </xdr:from>
    <xdr:to>
      <xdr:col>5</xdr:col>
      <xdr:colOff>457200</xdr:colOff>
      <xdr:row>11</xdr:row>
      <xdr:rowOff>171450</xdr:rowOff>
    </xdr:to>
    <xdr:pic>
      <xdr:nvPicPr>
        <xdr:cNvPr id="43627" name="Picture 3">
          <a:hlinkClick xmlns:r="http://schemas.openxmlformats.org/officeDocument/2006/relationships" r:id="rId6" tooltip="Help"/>
          <a:extLst>
            <a:ext uri="{FF2B5EF4-FFF2-40B4-BE49-F238E27FC236}">
              <a16:creationId xmlns:a16="http://schemas.microsoft.com/office/drawing/2014/main" id="{00000000-0008-0000-0700-00006BA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91175" y="21621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257175</xdr:colOff>
      <xdr:row>74</xdr:row>
      <xdr:rowOff>38100</xdr:rowOff>
    </xdr:from>
    <xdr:to>
      <xdr:col>3</xdr:col>
      <xdr:colOff>561975</xdr:colOff>
      <xdr:row>76</xdr:row>
      <xdr:rowOff>0</xdr:rowOff>
    </xdr:to>
    <xdr:pic>
      <xdr:nvPicPr>
        <xdr:cNvPr id="43628" name="Picture 11">
          <a:hlinkClick xmlns:r="http://schemas.openxmlformats.org/officeDocument/2006/relationships" r:id="rId8" tooltip="Bank Account - enter all items that have been paid out of the company bank account."/>
          <a:extLst>
            <a:ext uri="{FF2B5EF4-FFF2-40B4-BE49-F238E27FC236}">
              <a16:creationId xmlns:a16="http://schemas.microsoft.com/office/drawing/2014/main" id="{00000000-0008-0000-0700-00006CAA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67150" y="80391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504825</xdr:colOff>
      <xdr:row>74</xdr:row>
      <xdr:rowOff>28575</xdr:rowOff>
    </xdr:from>
    <xdr:to>
      <xdr:col>6</xdr:col>
      <xdr:colOff>809625</xdr:colOff>
      <xdr:row>75</xdr:row>
      <xdr:rowOff>152400</xdr:rowOff>
    </xdr:to>
    <xdr:pic>
      <xdr:nvPicPr>
        <xdr:cNvPr id="43629" name="Picture 15">
          <a:hlinkClick xmlns:r="http://schemas.openxmlformats.org/officeDocument/2006/relationships" r:id="rId10" tooltip="Help"/>
          <a:extLst>
            <a:ext uri="{FF2B5EF4-FFF2-40B4-BE49-F238E27FC236}">
              <a16:creationId xmlns:a16="http://schemas.microsoft.com/office/drawing/2014/main" id="{00000000-0008-0000-0700-00006DAA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58000" y="80295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152400</xdr:colOff>
      <xdr:row>74</xdr:row>
      <xdr:rowOff>152400</xdr:rowOff>
    </xdr:from>
    <xdr:to>
      <xdr:col>31</xdr:col>
      <xdr:colOff>457200</xdr:colOff>
      <xdr:row>76</xdr:row>
      <xdr:rowOff>114300</xdr:rowOff>
    </xdr:to>
    <xdr:pic>
      <xdr:nvPicPr>
        <xdr:cNvPr id="43630" name="Picture 17">
          <a:hlinkClick xmlns:r="http://schemas.openxmlformats.org/officeDocument/2006/relationships" r:id="rId12" tooltip="Help"/>
          <a:extLst>
            <a:ext uri="{FF2B5EF4-FFF2-40B4-BE49-F238E27FC236}">
              <a16:creationId xmlns:a16="http://schemas.microsoft.com/office/drawing/2014/main" id="{00000000-0008-0000-0700-00006EAA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36825" y="81534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200</xdr:row>
      <xdr:rowOff>114300</xdr:rowOff>
    </xdr:from>
    <xdr:to>
      <xdr:col>2</xdr:col>
      <xdr:colOff>371475</xdr:colOff>
      <xdr:row>202</xdr:row>
      <xdr:rowOff>66675</xdr:rowOff>
    </xdr:to>
    <xdr:pic>
      <xdr:nvPicPr>
        <xdr:cNvPr id="43631" name="Picture 21">
          <a:hlinkClick xmlns:r="http://schemas.openxmlformats.org/officeDocument/2006/relationships" r:id="rId12" tooltip="Help"/>
          <a:extLst>
            <a:ext uri="{FF2B5EF4-FFF2-40B4-BE49-F238E27FC236}">
              <a16:creationId xmlns:a16="http://schemas.microsoft.com/office/drawing/2014/main" id="{00000000-0008-0000-0700-00006FAA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95550" y="145065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104775</xdr:colOff>
      <xdr:row>6</xdr:row>
      <xdr:rowOff>19050</xdr:rowOff>
    </xdr:from>
    <xdr:to>
      <xdr:col>7</xdr:col>
      <xdr:colOff>400050</xdr:colOff>
      <xdr:row>7</xdr:row>
      <xdr:rowOff>38100</xdr:rowOff>
    </xdr:to>
    <xdr:pic>
      <xdr:nvPicPr>
        <xdr:cNvPr id="43632" name="Picture 8">
          <a:hlinkClick xmlns:r="http://schemas.openxmlformats.org/officeDocument/2006/relationships" r:id="rId1"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700-000070A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127635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152400</xdr:colOff>
      <xdr:row>6</xdr:row>
      <xdr:rowOff>0</xdr:rowOff>
    </xdr:from>
    <xdr:to>
      <xdr:col>12</xdr:col>
      <xdr:colOff>447675</xdr:colOff>
      <xdr:row>7</xdr:row>
      <xdr:rowOff>19050</xdr:rowOff>
    </xdr:to>
    <xdr:pic>
      <xdr:nvPicPr>
        <xdr:cNvPr id="43633" name="Picture 10">
          <a:hlinkClick xmlns:r="http://schemas.openxmlformats.org/officeDocument/2006/relationships" r:id="rId3" tooltip="The bankings section is used to record money received into the company bank accounts."/>
          <a:extLst>
            <a:ext uri="{FF2B5EF4-FFF2-40B4-BE49-F238E27FC236}">
              <a16:creationId xmlns:a16="http://schemas.microsoft.com/office/drawing/2014/main" id="{00000000-0008-0000-0700-000071AA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92100" y="125730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133350</xdr:colOff>
      <xdr:row>8</xdr:row>
      <xdr:rowOff>0</xdr:rowOff>
    </xdr:from>
    <xdr:to>
      <xdr:col>5</xdr:col>
      <xdr:colOff>438150</xdr:colOff>
      <xdr:row>9</xdr:row>
      <xdr:rowOff>114300</xdr:rowOff>
    </xdr:to>
    <xdr:pic>
      <xdr:nvPicPr>
        <xdr:cNvPr id="43634" name="Picture 2">
          <a:hlinkClick xmlns:r="http://schemas.openxmlformats.org/officeDocument/2006/relationships" r:id="rId4" tooltip="IR35 Status: Enter Y or N in the yellow IR35 question box (cell E9)."/>
          <a:extLst>
            <a:ext uri="{FF2B5EF4-FFF2-40B4-BE49-F238E27FC236}">
              <a16:creationId xmlns:a16="http://schemas.microsoft.com/office/drawing/2014/main" id="{00000000-0008-0000-0700-000072AA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72125" y="169545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161925</xdr:colOff>
      <xdr:row>10</xdr:row>
      <xdr:rowOff>104775</xdr:rowOff>
    </xdr:from>
    <xdr:to>
      <xdr:col>5</xdr:col>
      <xdr:colOff>466725</xdr:colOff>
      <xdr:row>11</xdr:row>
      <xdr:rowOff>190500</xdr:rowOff>
    </xdr:to>
    <xdr:pic>
      <xdr:nvPicPr>
        <xdr:cNvPr id="43635" name="Picture 3">
          <a:hlinkClick xmlns:r="http://schemas.openxmlformats.org/officeDocument/2006/relationships" r:id="rId6"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700-000073AA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600700" y="2200275"/>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74</xdr:row>
      <xdr:rowOff>19050</xdr:rowOff>
    </xdr:from>
    <xdr:to>
      <xdr:col>4</xdr:col>
      <xdr:colOff>581025</xdr:colOff>
      <xdr:row>75</xdr:row>
      <xdr:rowOff>142875</xdr:rowOff>
    </xdr:to>
    <xdr:pic>
      <xdr:nvPicPr>
        <xdr:cNvPr id="43636" name="Picture 26">
          <a:hlinkClick xmlns:r="http://schemas.openxmlformats.org/officeDocument/2006/relationships" r:id="rId14" tooltip="At the end of each month any total in the cash column should be repaid to yourself as expenses. "/>
          <a:extLst>
            <a:ext uri="{FF2B5EF4-FFF2-40B4-BE49-F238E27FC236}">
              <a16:creationId xmlns:a16="http://schemas.microsoft.com/office/drawing/2014/main" id="{00000000-0008-0000-0700-000074AA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800600" y="802005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161925</xdr:colOff>
      <xdr:row>74</xdr:row>
      <xdr:rowOff>180975</xdr:rowOff>
    </xdr:from>
    <xdr:to>
      <xdr:col>31</xdr:col>
      <xdr:colOff>466725</xdr:colOff>
      <xdr:row>76</xdr:row>
      <xdr:rowOff>142875</xdr:rowOff>
    </xdr:to>
    <xdr:pic>
      <xdr:nvPicPr>
        <xdr:cNvPr id="43637" name="Picture 30">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a:extLst>
            <a:ext uri="{FF2B5EF4-FFF2-40B4-BE49-F238E27FC236}">
              <a16:creationId xmlns:a16="http://schemas.microsoft.com/office/drawing/2014/main" id="{00000000-0008-0000-0700-000075AA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46350" y="81819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85725</xdr:colOff>
      <xdr:row>200</xdr:row>
      <xdr:rowOff>95250</xdr:rowOff>
    </xdr:from>
    <xdr:to>
      <xdr:col>2</xdr:col>
      <xdr:colOff>400050</xdr:colOff>
      <xdr:row>202</xdr:row>
      <xdr:rowOff>38100</xdr:rowOff>
    </xdr:to>
    <xdr:pic>
      <xdr:nvPicPr>
        <xdr:cNvPr id="43638" name="Picture 32">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700-000076AA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514600" y="14487525"/>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202</xdr:row>
      <xdr:rowOff>133350</xdr:rowOff>
    </xdr:from>
    <xdr:to>
      <xdr:col>9</xdr:col>
      <xdr:colOff>361950</xdr:colOff>
      <xdr:row>204</xdr:row>
      <xdr:rowOff>9524</xdr:rowOff>
    </xdr:to>
    <xdr:pic>
      <xdr:nvPicPr>
        <xdr:cNvPr id="43639" name="Picture 20">
          <a:hlinkClick xmlns:r="http://schemas.openxmlformats.org/officeDocument/2006/relationships" r:id="rId16" tooltip="Each month, to check that your spreadsheet reconciles to your bank statement."/>
          <a:extLst>
            <a:ext uri="{FF2B5EF4-FFF2-40B4-BE49-F238E27FC236}">
              <a16:creationId xmlns:a16="http://schemas.microsoft.com/office/drawing/2014/main" id="{00000000-0008-0000-0700-000077AA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63075" y="148875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57150</xdr:colOff>
          <xdr:row>214</xdr:row>
          <xdr:rowOff>142875</xdr:rowOff>
        </xdr:from>
        <xdr:to>
          <xdr:col>7</xdr:col>
          <xdr:colOff>552450</xdr:colOff>
          <xdr:row>216</xdr:row>
          <xdr:rowOff>0</xdr:rowOff>
        </xdr:to>
        <xdr:sp macro="" textlink="">
          <xdr:nvSpPr>
            <xdr:cNvPr id="13332" name="Check Box 20" hidden="1">
              <a:extLst>
                <a:ext uri="{63B3BB69-23CF-44E3-9099-C40C66FF867C}">
                  <a14:compatExt spid="_x0000_s13332"/>
                </a:ext>
                <a:ext uri="{FF2B5EF4-FFF2-40B4-BE49-F238E27FC236}">
                  <a16:creationId xmlns:a16="http://schemas.microsoft.com/office/drawing/2014/main" id="{00000000-0008-0000-0700-00001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7</xdr:col>
      <xdr:colOff>38100</xdr:colOff>
      <xdr:row>5</xdr:row>
      <xdr:rowOff>161925</xdr:rowOff>
    </xdr:from>
    <xdr:to>
      <xdr:col>7</xdr:col>
      <xdr:colOff>333375</xdr:colOff>
      <xdr:row>7</xdr:row>
      <xdr:rowOff>0</xdr:rowOff>
    </xdr:to>
    <xdr:pic>
      <xdr:nvPicPr>
        <xdr:cNvPr id="44648" name="Picture 2">
          <a:hlinkClick xmlns:r="http://schemas.openxmlformats.org/officeDocument/2006/relationships" r:id="rId1" tooltip="Help"/>
          <a:extLst>
            <a:ext uri="{FF2B5EF4-FFF2-40B4-BE49-F238E27FC236}">
              <a16:creationId xmlns:a16="http://schemas.microsoft.com/office/drawing/2014/main" id="{00000000-0008-0000-0800-000068A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05675" y="1247775"/>
          <a:ext cx="2952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38100</xdr:colOff>
      <xdr:row>6</xdr:row>
      <xdr:rowOff>0</xdr:rowOff>
    </xdr:from>
    <xdr:to>
      <xdr:col>12</xdr:col>
      <xdr:colOff>333375</xdr:colOff>
      <xdr:row>7</xdr:row>
      <xdr:rowOff>0</xdr:rowOff>
    </xdr:to>
    <xdr:pic>
      <xdr:nvPicPr>
        <xdr:cNvPr id="44649" name="Picture 10">
          <a:hlinkClick xmlns:r="http://schemas.openxmlformats.org/officeDocument/2006/relationships" r:id="rId3" tooltip="Help"/>
          <a:extLst>
            <a:ext uri="{FF2B5EF4-FFF2-40B4-BE49-F238E27FC236}">
              <a16:creationId xmlns:a16="http://schemas.microsoft.com/office/drawing/2014/main" id="{00000000-0008-0000-0800-000069A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77800" y="1257300"/>
          <a:ext cx="2952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161925</xdr:colOff>
      <xdr:row>7</xdr:row>
      <xdr:rowOff>161925</xdr:rowOff>
    </xdr:from>
    <xdr:to>
      <xdr:col>5</xdr:col>
      <xdr:colOff>466725</xdr:colOff>
      <xdr:row>9</xdr:row>
      <xdr:rowOff>95250</xdr:rowOff>
    </xdr:to>
    <xdr:pic>
      <xdr:nvPicPr>
        <xdr:cNvPr id="44650" name="Picture 2">
          <a:hlinkClick xmlns:r="http://schemas.openxmlformats.org/officeDocument/2006/relationships" r:id="rId4" tooltip="Help"/>
          <a:extLst>
            <a:ext uri="{FF2B5EF4-FFF2-40B4-BE49-F238E27FC236}">
              <a16:creationId xmlns:a16="http://schemas.microsoft.com/office/drawing/2014/main" id="{00000000-0008-0000-0800-00006AA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600700" y="16859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152400</xdr:colOff>
      <xdr:row>10</xdr:row>
      <xdr:rowOff>28575</xdr:rowOff>
    </xdr:from>
    <xdr:to>
      <xdr:col>5</xdr:col>
      <xdr:colOff>457200</xdr:colOff>
      <xdr:row>11</xdr:row>
      <xdr:rowOff>133350</xdr:rowOff>
    </xdr:to>
    <xdr:pic>
      <xdr:nvPicPr>
        <xdr:cNvPr id="44651" name="Picture 3">
          <a:hlinkClick xmlns:r="http://schemas.openxmlformats.org/officeDocument/2006/relationships" r:id="rId6" tooltip="Help"/>
          <a:extLst>
            <a:ext uri="{FF2B5EF4-FFF2-40B4-BE49-F238E27FC236}">
              <a16:creationId xmlns:a16="http://schemas.microsoft.com/office/drawing/2014/main" id="{00000000-0008-0000-0800-00006BA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91175" y="21240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247650</xdr:colOff>
      <xdr:row>74</xdr:row>
      <xdr:rowOff>19050</xdr:rowOff>
    </xdr:from>
    <xdr:to>
      <xdr:col>3</xdr:col>
      <xdr:colOff>542925</xdr:colOff>
      <xdr:row>75</xdr:row>
      <xdr:rowOff>142875</xdr:rowOff>
    </xdr:to>
    <xdr:pic>
      <xdr:nvPicPr>
        <xdr:cNvPr id="44652" name="Picture 11">
          <a:hlinkClick xmlns:r="http://schemas.openxmlformats.org/officeDocument/2006/relationships" r:id="rId8" tooltip="Bank Account - enter all items that have been paid out of the company bank account."/>
          <a:extLst>
            <a:ext uri="{FF2B5EF4-FFF2-40B4-BE49-F238E27FC236}">
              <a16:creationId xmlns:a16="http://schemas.microsoft.com/office/drawing/2014/main" id="{00000000-0008-0000-0800-00006CAE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57625" y="8020050"/>
          <a:ext cx="2952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514350</xdr:colOff>
      <xdr:row>74</xdr:row>
      <xdr:rowOff>38100</xdr:rowOff>
    </xdr:from>
    <xdr:to>
      <xdr:col>6</xdr:col>
      <xdr:colOff>819150</xdr:colOff>
      <xdr:row>76</xdr:row>
      <xdr:rowOff>0</xdr:rowOff>
    </xdr:to>
    <xdr:pic>
      <xdr:nvPicPr>
        <xdr:cNvPr id="44653" name="Picture 15">
          <a:hlinkClick xmlns:r="http://schemas.openxmlformats.org/officeDocument/2006/relationships" r:id="rId10" tooltip="Help"/>
          <a:extLst>
            <a:ext uri="{FF2B5EF4-FFF2-40B4-BE49-F238E27FC236}">
              <a16:creationId xmlns:a16="http://schemas.microsoft.com/office/drawing/2014/main" id="{00000000-0008-0000-0800-00006DA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67525" y="80391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161925</xdr:colOff>
      <xdr:row>74</xdr:row>
      <xdr:rowOff>161925</xdr:rowOff>
    </xdr:from>
    <xdr:to>
      <xdr:col>31</xdr:col>
      <xdr:colOff>466725</xdr:colOff>
      <xdr:row>76</xdr:row>
      <xdr:rowOff>123825</xdr:rowOff>
    </xdr:to>
    <xdr:pic>
      <xdr:nvPicPr>
        <xdr:cNvPr id="44654" name="Picture 17">
          <a:hlinkClick xmlns:r="http://schemas.openxmlformats.org/officeDocument/2006/relationships" r:id="rId12" tooltip="Help"/>
          <a:extLst>
            <a:ext uri="{FF2B5EF4-FFF2-40B4-BE49-F238E27FC236}">
              <a16:creationId xmlns:a16="http://schemas.microsoft.com/office/drawing/2014/main" id="{00000000-0008-0000-0800-00006EA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46350" y="81629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200</xdr:row>
      <xdr:rowOff>114300</xdr:rowOff>
    </xdr:from>
    <xdr:to>
      <xdr:col>2</xdr:col>
      <xdr:colOff>323850</xdr:colOff>
      <xdr:row>202</xdr:row>
      <xdr:rowOff>66675</xdr:rowOff>
    </xdr:to>
    <xdr:pic>
      <xdr:nvPicPr>
        <xdr:cNvPr id="44655" name="Picture 12">
          <a:hlinkClick xmlns:r="http://schemas.openxmlformats.org/officeDocument/2006/relationships" r:id="rId12" tooltip="Help"/>
          <a:extLst>
            <a:ext uri="{FF2B5EF4-FFF2-40B4-BE49-F238E27FC236}">
              <a16:creationId xmlns:a16="http://schemas.microsoft.com/office/drawing/2014/main" id="{00000000-0008-0000-0800-00006FAE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38400" y="14506575"/>
          <a:ext cx="3143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47625</xdr:colOff>
      <xdr:row>6</xdr:row>
      <xdr:rowOff>0</xdr:rowOff>
    </xdr:from>
    <xdr:to>
      <xdr:col>7</xdr:col>
      <xdr:colOff>342900</xdr:colOff>
      <xdr:row>7</xdr:row>
      <xdr:rowOff>19050</xdr:rowOff>
    </xdr:to>
    <xdr:pic>
      <xdr:nvPicPr>
        <xdr:cNvPr id="44656" name="Picture 8">
          <a:hlinkClick xmlns:r="http://schemas.openxmlformats.org/officeDocument/2006/relationships" r:id="rId1"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800-000070A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15200" y="125730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57150</xdr:colOff>
      <xdr:row>6</xdr:row>
      <xdr:rowOff>19050</xdr:rowOff>
    </xdr:from>
    <xdr:to>
      <xdr:col>12</xdr:col>
      <xdr:colOff>352425</xdr:colOff>
      <xdr:row>7</xdr:row>
      <xdr:rowOff>38100</xdr:rowOff>
    </xdr:to>
    <xdr:pic>
      <xdr:nvPicPr>
        <xdr:cNvPr id="44657" name="Picture 10">
          <a:hlinkClick xmlns:r="http://schemas.openxmlformats.org/officeDocument/2006/relationships" r:id="rId3" tooltip="The bankings section is used to record money received into the company bank accounts."/>
          <a:extLst>
            <a:ext uri="{FF2B5EF4-FFF2-40B4-BE49-F238E27FC236}">
              <a16:creationId xmlns:a16="http://schemas.microsoft.com/office/drawing/2014/main" id="{00000000-0008-0000-0800-000071A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96850" y="127635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171450</xdr:colOff>
      <xdr:row>8</xdr:row>
      <xdr:rowOff>19050</xdr:rowOff>
    </xdr:from>
    <xdr:to>
      <xdr:col>5</xdr:col>
      <xdr:colOff>476250</xdr:colOff>
      <xdr:row>9</xdr:row>
      <xdr:rowOff>133350</xdr:rowOff>
    </xdr:to>
    <xdr:pic>
      <xdr:nvPicPr>
        <xdr:cNvPr id="44658" name="Picture 2">
          <a:hlinkClick xmlns:r="http://schemas.openxmlformats.org/officeDocument/2006/relationships" r:id="rId4" tooltip="IR35 Status: Enter Y or N in the yellow IR35 question box (cell E9)."/>
          <a:extLst>
            <a:ext uri="{FF2B5EF4-FFF2-40B4-BE49-F238E27FC236}">
              <a16:creationId xmlns:a16="http://schemas.microsoft.com/office/drawing/2014/main" id="{00000000-0008-0000-0800-000072A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610225" y="17145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161925</xdr:colOff>
      <xdr:row>10</xdr:row>
      <xdr:rowOff>66675</xdr:rowOff>
    </xdr:from>
    <xdr:to>
      <xdr:col>5</xdr:col>
      <xdr:colOff>466725</xdr:colOff>
      <xdr:row>11</xdr:row>
      <xdr:rowOff>152400</xdr:rowOff>
    </xdr:to>
    <xdr:pic>
      <xdr:nvPicPr>
        <xdr:cNvPr id="44659" name="Picture 3">
          <a:hlinkClick xmlns:r="http://schemas.openxmlformats.org/officeDocument/2006/relationships" r:id="rId6"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800-000073A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600700" y="2162175"/>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247650</xdr:colOff>
      <xdr:row>74</xdr:row>
      <xdr:rowOff>9525</xdr:rowOff>
    </xdr:from>
    <xdr:to>
      <xdr:col>4</xdr:col>
      <xdr:colOff>552450</xdr:colOff>
      <xdr:row>75</xdr:row>
      <xdr:rowOff>133350</xdr:rowOff>
    </xdr:to>
    <xdr:pic>
      <xdr:nvPicPr>
        <xdr:cNvPr id="44660" name="Picture 25">
          <a:hlinkClick xmlns:r="http://schemas.openxmlformats.org/officeDocument/2006/relationships" r:id="rId14" tooltip="At the end of each month any total in the cash column should be repaid to yourself as expenses. "/>
          <a:extLst>
            <a:ext uri="{FF2B5EF4-FFF2-40B4-BE49-F238E27FC236}">
              <a16:creationId xmlns:a16="http://schemas.microsoft.com/office/drawing/2014/main" id="{00000000-0008-0000-0800-000074AE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772025" y="80105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171450</xdr:colOff>
      <xdr:row>74</xdr:row>
      <xdr:rowOff>114300</xdr:rowOff>
    </xdr:from>
    <xdr:to>
      <xdr:col>31</xdr:col>
      <xdr:colOff>476250</xdr:colOff>
      <xdr:row>76</xdr:row>
      <xdr:rowOff>76200</xdr:rowOff>
    </xdr:to>
    <xdr:pic>
      <xdr:nvPicPr>
        <xdr:cNvPr id="44661" name="Picture 29">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a:extLst>
            <a:ext uri="{FF2B5EF4-FFF2-40B4-BE49-F238E27FC236}">
              <a16:creationId xmlns:a16="http://schemas.microsoft.com/office/drawing/2014/main" id="{00000000-0008-0000-0800-000075A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55875" y="81153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200</xdr:row>
      <xdr:rowOff>114300</xdr:rowOff>
    </xdr:from>
    <xdr:to>
      <xdr:col>2</xdr:col>
      <xdr:colOff>323850</xdr:colOff>
      <xdr:row>202</xdr:row>
      <xdr:rowOff>57150</xdr:rowOff>
    </xdr:to>
    <xdr:pic>
      <xdr:nvPicPr>
        <xdr:cNvPr id="44662" name="Picture 31">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800-000076AE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38400" y="14506575"/>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202</xdr:row>
      <xdr:rowOff>133350</xdr:rowOff>
    </xdr:from>
    <xdr:to>
      <xdr:col>9</xdr:col>
      <xdr:colOff>361950</xdr:colOff>
      <xdr:row>204</xdr:row>
      <xdr:rowOff>9525</xdr:rowOff>
    </xdr:to>
    <xdr:pic>
      <xdr:nvPicPr>
        <xdr:cNvPr id="44663" name="Picture 22">
          <a:hlinkClick xmlns:r="http://schemas.openxmlformats.org/officeDocument/2006/relationships" r:id="rId16" tooltip="Each month, to check that your spreadsheet reconciles to your bank statement."/>
          <a:extLst>
            <a:ext uri="{FF2B5EF4-FFF2-40B4-BE49-F238E27FC236}">
              <a16:creationId xmlns:a16="http://schemas.microsoft.com/office/drawing/2014/main" id="{00000000-0008-0000-0800-000077AE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63075" y="148875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47625</xdr:colOff>
          <xdr:row>214</xdr:row>
          <xdr:rowOff>152400</xdr:rowOff>
        </xdr:from>
        <xdr:to>
          <xdr:col>7</xdr:col>
          <xdr:colOff>542925</xdr:colOff>
          <xdr:row>216</xdr:row>
          <xdr:rowOff>19050</xdr:rowOff>
        </xdr:to>
        <xdr:sp macro="" textlink="">
          <xdr:nvSpPr>
            <xdr:cNvPr id="14356" name="Check Box 20" hidden="1">
              <a:extLst>
                <a:ext uri="{63B3BB69-23CF-44E3-9099-C40C66FF867C}">
                  <a14:compatExt spid="_x0000_s14356"/>
                </a:ext>
                <a:ext uri="{FF2B5EF4-FFF2-40B4-BE49-F238E27FC236}">
                  <a16:creationId xmlns:a16="http://schemas.microsoft.com/office/drawing/2014/main" id="{00000000-0008-0000-0800-00001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7</xdr:col>
      <xdr:colOff>104775</xdr:colOff>
      <xdr:row>6</xdr:row>
      <xdr:rowOff>9525</xdr:rowOff>
    </xdr:from>
    <xdr:to>
      <xdr:col>7</xdr:col>
      <xdr:colOff>400050</xdr:colOff>
      <xdr:row>7</xdr:row>
      <xdr:rowOff>28575</xdr:rowOff>
    </xdr:to>
    <xdr:pic>
      <xdr:nvPicPr>
        <xdr:cNvPr id="40578" name="Picture 2">
          <a:hlinkClick xmlns:r="http://schemas.openxmlformats.org/officeDocument/2006/relationships" r:id="rId1" tooltip="Help"/>
          <a:extLst>
            <a:ext uri="{FF2B5EF4-FFF2-40B4-BE49-F238E27FC236}">
              <a16:creationId xmlns:a16="http://schemas.microsoft.com/office/drawing/2014/main" id="{00000000-0008-0000-0900-0000829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126682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104775</xdr:colOff>
      <xdr:row>6</xdr:row>
      <xdr:rowOff>0</xdr:rowOff>
    </xdr:from>
    <xdr:to>
      <xdr:col>12</xdr:col>
      <xdr:colOff>400050</xdr:colOff>
      <xdr:row>7</xdr:row>
      <xdr:rowOff>0</xdr:rowOff>
    </xdr:to>
    <xdr:pic>
      <xdr:nvPicPr>
        <xdr:cNvPr id="40579" name="Picture 10">
          <a:hlinkClick xmlns:r="http://schemas.openxmlformats.org/officeDocument/2006/relationships" r:id="rId3" tooltip="Help"/>
          <a:extLst>
            <a:ext uri="{FF2B5EF4-FFF2-40B4-BE49-F238E27FC236}">
              <a16:creationId xmlns:a16="http://schemas.microsoft.com/office/drawing/2014/main" id="{00000000-0008-0000-0900-0000839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44475" y="1257300"/>
          <a:ext cx="2952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104775</xdr:colOff>
      <xdr:row>8</xdr:row>
      <xdr:rowOff>9525</xdr:rowOff>
    </xdr:from>
    <xdr:to>
      <xdr:col>5</xdr:col>
      <xdr:colOff>409575</xdr:colOff>
      <xdr:row>9</xdr:row>
      <xdr:rowOff>123825</xdr:rowOff>
    </xdr:to>
    <xdr:pic>
      <xdr:nvPicPr>
        <xdr:cNvPr id="40580" name="Picture 2">
          <a:hlinkClick xmlns:r="http://schemas.openxmlformats.org/officeDocument/2006/relationships" r:id="rId4" tooltip="Help"/>
          <a:extLst>
            <a:ext uri="{FF2B5EF4-FFF2-40B4-BE49-F238E27FC236}">
              <a16:creationId xmlns:a16="http://schemas.microsoft.com/office/drawing/2014/main" id="{00000000-0008-0000-0900-0000849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43550" y="17049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104775</xdr:colOff>
      <xdr:row>10</xdr:row>
      <xdr:rowOff>0</xdr:rowOff>
    </xdr:from>
    <xdr:to>
      <xdr:col>5</xdr:col>
      <xdr:colOff>409575</xdr:colOff>
      <xdr:row>11</xdr:row>
      <xdr:rowOff>104775</xdr:rowOff>
    </xdr:to>
    <xdr:pic>
      <xdr:nvPicPr>
        <xdr:cNvPr id="40581" name="Picture 3">
          <a:hlinkClick xmlns:r="http://schemas.openxmlformats.org/officeDocument/2006/relationships" r:id="rId6" tooltip="Help"/>
          <a:extLst>
            <a:ext uri="{FF2B5EF4-FFF2-40B4-BE49-F238E27FC236}">
              <a16:creationId xmlns:a16="http://schemas.microsoft.com/office/drawing/2014/main" id="{00000000-0008-0000-0900-0000859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43550" y="20955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266700</xdr:colOff>
      <xdr:row>74</xdr:row>
      <xdr:rowOff>38100</xdr:rowOff>
    </xdr:from>
    <xdr:to>
      <xdr:col>3</xdr:col>
      <xdr:colOff>571500</xdr:colOff>
      <xdr:row>75</xdr:row>
      <xdr:rowOff>152400</xdr:rowOff>
    </xdr:to>
    <xdr:pic>
      <xdr:nvPicPr>
        <xdr:cNvPr id="40582" name="Picture 10">
          <a:hlinkClick xmlns:r="http://schemas.openxmlformats.org/officeDocument/2006/relationships" r:id="rId8" tooltip="Bank Account - enter all items that have been paid out of the company bank account."/>
          <a:extLst>
            <a:ext uri="{FF2B5EF4-FFF2-40B4-BE49-F238E27FC236}">
              <a16:creationId xmlns:a16="http://schemas.microsoft.com/office/drawing/2014/main" id="{00000000-0008-0000-0900-0000869E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76675" y="80391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504825</xdr:colOff>
      <xdr:row>74</xdr:row>
      <xdr:rowOff>66675</xdr:rowOff>
    </xdr:from>
    <xdr:to>
      <xdr:col>6</xdr:col>
      <xdr:colOff>809625</xdr:colOff>
      <xdr:row>76</xdr:row>
      <xdr:rowOff>19050</xdr:rowOff>
    </xdr:to>
    <xdr:pic>
      <xdr:nvPicPr>
        <xdr:cNvPr id="40583" name="Picture 14">
          <a:hlinkClick xmlns:r="http://schemas.openxmlformats.org/officeDocument/2006/relationships" r:id="rId10" tooltip="Help"/>
          <a:extLst>
            <a:ext uri="{FF2B5EF4-FFF2-40B4-BE49-F238E27FC236}">
              <a16:creationId xmlns:a16="http://schemas.microsoft.com/office/drawing/2014/main" id="{00000000-0008-0000-0900-0000879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58000" y="80676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180975</xdr:colOff>
      <xdr:row>74</xdr:row>
      <xdr:rowOff>180975</xdr:rowOff>
    </xdr:from>
    <xdr:to>
      <xdr:col>31</xdr:col>
      <xdr:colOff>485775</xdr:colOff>
      <xdr:row>76</xdr:row>
      <xdr:rowOff>142875</xdr:rowOff>
    </xdr:to>
    <xdr:pic>
      <xdr:nvPicPr>
        <xdr:cNvPr id="40584" name="Picture 15">
          <a:hlinkClick xmlns:r="http://schemas.openxmlformats.org/officeDocument/2006/relationships" r:id="rId12" tooltip="Help"/>
          <a:extLst>
            <a:ext uri="{FF2B5EF4-FFF2-40B4-BE49-F238E27FC236}">
              <a16:creationId xmlns:a16="http://schemas.microsoft.com/office/drawing/2014/main" id="{00000000-0008-0000-0900-0000889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65400" y="81819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200</xdr:row>
      <xdr:rowOff>114300</xdr:rowOff>
    </xdr:from>
    <xdr:to>
      <xdr:col>2</xdr:col>
      <xdr:colOff>361950</xdr:colOff>
      <xdr:row>202</xdr:row>
      <xdr:rowOff>66675</xdr:rowOff>
    </xdr:to>
    <xdr:pic>
      <xdr:nvPicPr>
        <xdr:cNvPr id="40585" name="Picture 13">
          <a:hlinkClick xmlns:r="http://schemas.openxmlformats.org/officeDocument/2006/relationships" r:id="rId13" tooltip="Help"/>
          <a:extLst>
            <a:ext uri="{FF2B5EF4-FFF2-40B4-BE49-F238E27FC236}">
              <a16:creationId xmlns:a16="http://schemas.microsoft.com/office/drawing/2014/main" id="{00000000-0008-0000-0900-0000899E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486025" y="145065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123825</xdr:colOff>
      <xdr:row>6</xdr:row>
      <xdr:rowOff>28575</xdr:rowOff>
    </xdr:from>
    <xdr:to>
      <xdr:col>7</xdr:col>
      <xdr:colOff>419100</xdr:colOff>
      <xdr:row>7</xdr:row>
      <xdr:rowOff>47625</xdr:rowOff>
    </xdr:to>
    <xdr:pic>
      <xdr:nvPicPr>
        <xdr:cNvPr id="40586" name="Picture 8">
          <a:hlinkClick xmlns:r="http://schemas.openxmlformats.org/officeDocument/2006/relationships" r:id="rId1"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900-00008A9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91400" y="128587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123825</xdr:colOff>
      <xdr:row>6</xdr:row>
      <xdr:rowOff>19050</xdr:rowOff>
    </xdr:from>
    <xdr:to>
      <xdr:col>12</xdr:col>
      <xdr:colOff>419100</xdr:colOff>
      <xdr:row>7</xdr:row>
      <xdr:rowOff>38100</xdr:rowOff>
    </xdr:to>
    <xdr:pic>
      <xdr:nvPicPr>
        <xdr:cNvPr id="40587" name="Picture 10">
          <a:hlinkClick xmlns:r="http://schemas.openxmlformats.org/officeDocument/2006/relationships" r:id="rId3" tooltip="The bankings section is used to record money received into the company bank accounts."/>
          <a:extLst>
            <a:ext uri="{FF2B5EF4-FFF2-40B4-BE49-F238E27FC236}">
              <a16:creationId xmlns:a16="http://schemas.microsoft.com/office/drawing/2014/main" id="{00000000-0008-0000-0900-00008B9E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63525" y="127635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114300</xdr:colOff>
      <xdr:row>8</xdr:row>
      <xdr:rowOff>47625</xdr:rowOff>
    </xdr:from>
    <xdr:to>
      <xdr:col>5</xdr:col>
      <xdr:colOff>419100</xdr:colOff>
      <xdr:row>9</xdr:row>
      <xdr:rowOff>161925</xdr:rowOff>
    </xdr:to>
    <xdr:pic>
      <xdr:nvPicPr>
        <xdr:cNvPr id="40588" name="Picture 2">
          <a:hlinkClick xmlns:r="http://schemas.openxmlformats.org/officeDocument/2006/relationships" r:id="rId4" tooltip="IR35 Status: Enter Y or N in the yellow IR35 question box (cell E9)."/>
          <a:extLst>
            <a:ext uri="{FF2B5EF4-FFF2-40B4-BE49-F238E27FC236}">
              <a16:creationId xmlns:a16="http://schemas.microsoft.com/office/drawing/2014/main" id="{00000000-0008-0000-0900-00008C9E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53075" y="17430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114300</xdr:colOff>
      <xdr:row>10</xdr:row>
      <xdr:rowOff>38100</xdr:rowOff>
    </xdr:from>
    <xdr:to>
      <xdr:col>5</xdr:col>
      <xdr:colOff>419100</xdr:colOff>
      <xdr:row>11</xdr:row>
      <xdr:rowOff>123825</xdr:rowOff>
    </xdr:to>
    <xdr:pic>
      <xdr:nvPicPr>
        <xdr:cNvPr id="40589" name="Picture 3">
          <a:hlinkClick xmlns:r="http://schemas.openxmlformats.org/officeDocument/2006/relationships" r:id="rId6"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900-00008D9E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53075" y="213360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74</xdr:row>
      <xdr:rowOff>28575</xdr:rowOff>
    </xdr:from>
    <xdr:to>
      <xdr:col>4</xdr:col>
      <xdr:colOff>581025</xdr:colOff>
      <xdr:row>75</xdr:row>
      <xdr:rowOff>152400</xdr:rowOff>
    </xdr:to>
    <xdr:pic>
      <xdr:nvPicPr>
        <xdr:cNvPr id="40590" name="Picture 26">
          <a:hlinkClick xmlns:r="http://schemas.openxmlformats.org/officeDocument/2006/relationships" r:id="rId15" tooltip="At the end of each month any total in the cash column should be repaid to yourself as expenses. "/>
          <a:extLst>
            <a:ext uri="{FF2B5EF4-FFF2-40B4-BE49-F238E27FC236}">
              <a16:creationId xmlns:a16="http://schemas.microsoft.com/office/drawing/2014/main" id="{00000000-0008-0000-0900-00008E9E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800600" y="80295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476250</xdr:colOff>
      <xdr:row>74</xdr:row>
      <xdr:rowOff>85725</xdr:rowOff>
    </xdr:from>
    <xdr:to>
      <xdr:col>6</xdr:col>
      <xdr:colOff>781050</xdr:colOff>
      <xdr:row>76</xdr:row>
      <xdr:rowOff>47625</xdr:rowOff>
    </xdr:to>
    <xdr:pic>
      <xdr:nvPicPr>
        <xdr:cNvPr id="40591" name="Picture 28">
          <a:hlinkClick xmlns:r="http://schemas.openxmlformats.org/officeDocument/2006/relationships" r:id="rId10" tooltip="If you are using the VAT Flat Rate Scheme you do not need to enter a VAT figure in the expenditure section. VAT paid to HMRC is entered in column Y."/>
          <a:extLst>
            <a:ext uri="{FF2B5EF4-FFF2-40B4-BE49-F238E27FC236}">
              <a16:creationId xmlns:a16="http://schemas.microsoft.com/office/drawing/2014/main" id="{00000000-0008-0000-0900-00008F9E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29425" y="80867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200</xdr:row>
      <xdr:rowOff>133350</xdr:rowOff>
    </xdr:from>
    <xdr:to>
      <xdr:col>2</xdr:col>
      <xdr:colOff>361950</xdr:colOff>
      <xdr:row>202</xdr:row>
      <xdr:rowOff>85725</xdr:rowOff>
    </xdr:to>
    <xdr:pic>
      <xdr:nvPicPr>
        <xdr:cNvPr id="40592" name="Picture 32">
          <a:hlinkClick xmlns:r="http://schemas.openxmlformats.org/officeDocument/2006/relationships" r:id="rId12"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900-0000909E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486025" y="145256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202</xdr:row>
      <xdr:rowOff>133350</xdr:rowOff>
    </xdr:from>
    <xdr:to>
      <xdr:col>9</xdr:col>
      <xdr:colOff>361950</xdr:colOff>
      <xdr:row>204</xdr:row>
      <xdr:rowOff>9525</xdr:rowOff>
    </xdr:to>
    <xdr:pic>
      <xdr:nvPicPr>
        <xdr:cNvPr id="40593" name="Picture 21">
          <a:hlinkClick xmlns:r="http://schemas.openxmlformats.org/officeDocument/2006/relationships" r:id="rId16" tooltip="Each month, to check that your spreadsheet reconciles to your bank statement."/>
          <a:extLst>
            <a:ext uri="{FF2B5EF4-FFF2-40B4-BE49-F238E27FC236}">
              <a16:creationId xmlns:a16="http://schemas.microsoft.com/office/drawing/2014/main" id="{00000000-0008-0000-0900-0000919E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63075" y="148875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57150</xdr:colOff>
          <xdr:row>214</xdr:row>
          <xdr:rowOff>133350</xdr:rowOff>
        </xdr:from>
        <xdr:to>
          <xdr:col>7</xdr:col>
          <xdr:colOff>552450</xdr:colOff>
          <xdr:row>215</xdr:row>
          <xdr:rowOff>171450</xdr:rowOff>
        </xdr:to>
        <xdr:sp macro="" textlink="">
          <xdr:nvSpPr>
            <xdr:cNvPr id="15380" name="Check Box 20" hidden="1">
              <a:extLst>
                <a:ext uri="{63B3BB69-23CF-44E3-9099-C40C66FF867C}">
                  <a14:compatExt spid="_x0000_s15380"/>
                </a:ext>
                <a:ext uri="{FF2B5EF4-FFF2-40B4-BE49-F238E27FC236}">
                  <a16:creationId xmlns:a16="http://schemas.microsoft.com/office/drawing/2014/main" id="{00000000-0008-0000-0900-00001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7</xdr:col>
      <xdr:colOff>104775</xdr:colOff>
      <xdr:row>6</xdr:row>
      <xdr:rowOff>28575</xdr:rowOff>
    </xdr:from>
    <xdr:to>
      <xdr:col>7</xdr:col>
      <xdr:colOff>400050</xdr:colOff>
      <xdr:row>7</xdr:row>
      <xdr:rowOff>38100</xdr:rowOff>
    </xdr:to>
    <xdr:pic>
      <xdr:nvPicPr>
        <xdr:cNvPr id="45672" name="Picture 2">
          <a:hlinkClick xmlns:r="http://schemas.openxmlformats.org/officeDocument/2006/relationships" r:id="rId1" tooltip="Help"/>
          <a:extLst>
            <a:ext uri="{FF2B5EF4-FFF2-40B4-BE49-F238E27FC236}">
              <a16:creationId xmlns:a16="http://schemas.microsoft.com/office/drawing/2014/main" id="{00000000-0008-0000-0A00-000068B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1285875"/>
          <a:ext cx="2952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180975</xdr:colOff>
      <xdr:row>6</xdr:row>
      <xdr:rowOff>0</xdr:rowOff>
    </xdr:from>
    <xdr:to>
      <xdr:col>12</xdr:col>
      <xdr:colOff>476250</xdr:colOff>
      <xdr:row>7</xdr:row>
      <xdr:rowOff>0</xdr:rowOff>
    </xdr:to>
    <xdr:pic>
      <xdr:nvPicPr>
        <xdr:cNvPr id="45673" name="Picture 10">
          <a:hlinkClick xmlns:r="http://schemas.openxmlformats.org/officeDocument/2006/relationships" r:id="rId3" tooltip="Help"/>
          <a:extLst>
            <a:ext uri="{FF2B5EF4-FFF2-40B4-BE49-F238E27FC236}">
              <a16:creationId xmlns:a16="http://schemas.microsoft.com/office/drawing/2014/main" id="{00000000-0008-0000-0A00-000069B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20675" y="1257300"/>
          <a:ext cx="2952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104775</xdr:colOff>
      <xdr:row>7</xdr:row>
      <xdr:rowOff>152400</xdr:rowOff>
    </xdr:from>
    <xdr:to>
      <xdr:col>5</xdr:col>
      <xdr:colOff>409575</xdr:colOff>
      <xdr:row>9</xdr:row>
      <xdr:rowOff>85725</xdr:rowOff>
    </xdr:to>
    <xdr:pic>
      <xdr:nvPicPr>
        <xdr:cNvPr id="45674" name="Picture 2">
          <a:hlinkClick xmlns:r="http://schemas.openxmlformats.org/officeDocument/2006/relationships" r:id="rId4" tooltip="Help"/>
          <a:extLst>
            <a:ext uri="{FF2B5EF4-FFF2-40B4-BE49-F238E27FC236}">
              <a16:creationId xmlns:a16="http://schemas.microsoft.com/office/drawing/2014/main" id="{00000000-0008-0000-0A00-00006AB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43550" y="16764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104775</xdr:colOff>
      <xdr:row>10</xdr:row>
      <xdr:rowOff>0</xdr:rowOff>
    </xdr:from>
    <xdr:to>
      <xdr:col>5</xdr:col>
      <xdr:colOff>409575</xdr:colOff>
      <xdr:row>11</xdr:row>
      <xdr:rowOff>104775</xdr:rowOff>
    </xdr:to>
    <xdr:pic>
      <xdr:nvPicPr>
        <xdr:cNvPr id="45675" name="Picture 3">
          <a:hlinkClick xmlns:r="http://schemas.openxmlformats.org/officeDocument/2006/relationships" r:id="rId6" tooltip="Help"/>
          <a:extLst>
            <a:ext uri="{FF2B5EF4-FFF2-40B4-BE49-F238E27FC236}">
              <a16:creationId xmlns:a16="http://schemas.microsoft.com/office/drawing/2014/main" id="{00000000-0008-0000-0A00-00006BB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43550" y="20955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257175</xdr:colOff>
      <xdr:row>74</xdr:row>
      <xdr:rowOff>19050</xdr:rowOff>
    </xdr:from>
    <xdr:to>
      <xdr:col>3</xdr:col>
      <xdr:colOff>552450</xdr:colOff>
      <xdr:row>75</xdr:row>
      <xdr:rowOff>142875</xdr:rowOff>
    </xdr:to>
    <xdr:pic>
      <xdr:nvPicPr>
        <xdr:cNvPr id="45676" name="Picture 10">
          <a:hlinkClick xmlns:r="http://schemas.openxmlformats.org/officeDocument/2006/relationships" r:id="rId8" tooltip="Bank Account - enter all items that have been paid out of the company bank account."/>
          <a:extLst>
            <a:ext uri="{FF2B5EF4-FFF2-40B4-BE49-F238E27FC236}">
              <a16:creationId xmlns:a16="http://schemas.microsoft.com/office/drawing/2014/main" id="{00000000-0008-0000-0A00-00006CB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67150" y="8020050"/>
          <a:ext cx="2952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561975</xdr:colOff>
      <xdr:row>74</xdr:row>
      <xdr:rowOff>66675</xdr:rowOff>
    </xdr:from>
    <xdr:to>
      <xdr:col>6</xdr:col>
      <xdr:colOff>866775</xdr:colOff>
      <xdr:row>76</xdr:row>
      <xdr:rowOff>19050</xdr:rowOff>
    </xdr:to>
    <xdr:pic>
      <xdr:nvPicPr>
        <xdr:cNvPr id="45677" name="Picture 14">
          <a:hlinkClick xmlns:r="http://schemas.openxmlformats.org/officeDocument/2006/relationships" r:id="rId10" tooltip="Help"/>
          <a:extLst>
            <a:ext uri="{FF2B5EF4-FFF2-40B4-BE49-F238E27FC236}">
              <a16:creationId xmlns:a16="http://schemas.microsoft.com/office/drawing/2014/main" id="{00000000-0008-0000-0A00-00006DB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915150" y="80676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161925</xdr:colOff>
      <xdr:row>74</xdr:row>
      <xdr:rowOff>180975</xdr:rowOff>
    </xdr:from>
    <xdr:to>
      <xdr:col>31</xdr:col>
      <xdr:colOff>466725</xdr:colOff>
      <xdr:row>76</xdr:row>
      <xdr:rowOff>142875</xdr:rowOff>
    </xdr:to>
    <xdr:pic>
      <xdr:nvPicPr>
        <xdr:cNvPr id="45678" name="Picture 16">
          <a:hlinkClick xmlns:r="http://schemas.openxmlformats.org/officeDocument/2006/relationships" r:id="rId12" tooltip="Help"/>
          <a:extLst>
            <a:ext uri="{FF2B5EF4-FFF2-40B4-BE49-F238E27FC236}">
              <a16:creationId xmlns:a16="http://schemas.microsoft.com/office/drawing/2014/main" id="{00000000-0008-0000-0A00-00006EB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46350" y="81819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200</xdr:row>
      <xdr:rowOff>85725</xdr:rowOff>
    </xdr:from>
    <xdr:to>
      <xdr:col>2</xdr:col>
      <xdr:colOff>323850</xdr:colOff>
      <xdr:row>202</xdr:row>
      <xdr:rowOff>28575</xdr:rowOff>
    </xdr:to>
    <xdr:pic>
      <xdr:nvPicPr>
        <xdr:cNvPr id="45679" name="Picture 11">
          <a:hlinkClick xmlns:r="http://schemas.openxmlformats.org/officeDocument/2006/relationships" r:id="rId12" tooltip="Help"/>
          <a:extLst>
            <a:ext uri="{FF2B5EF4-FFF2-40B4-BE49-F238E27FC236}">
              <a16:creationId xmlns:a16="http://schemas.microsoft.com/office/drawing/2014/main" id="{00000000-0008-0000-0A00-00006FB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38400" y="14478000"/>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123825</xdr:colOff>
      <xdr:row>6</xdr:row>
      <xdr:rowOff>47625</xdr:rowOff>
    </xdr:from>
    <xdr:to>
      <xdr:col>7</xdr:col>
      <xdr:colOff>419100</xdr:colOff>
      <xdr:row>7</xdr:row>
      <xdr:rowOff>66675</xdr:rowOff>
    </xdr:to>
    <xdr:pic>
      <xdr:nvPicPr>
        <xdr:cNvPr id="45680" name="Picture 8">
          <a:hlinkClick xmlns:r="http://schemas.openxmlformats.org/officeDocument/2006/relationships" r:id="rId1"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A00-000070B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91400" y="130492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190500</xdr:colOff>
      <xdr:row>6</xdr:row>
      <xdr:rowOff>19050</xdr:rowOff>
    </xdr:from>
    <xdr:to>
      <xdr:col>12</xdr:col>
      <xdr:colOff>485775</xdr:colOff>
      <xdr:row>7</xdr:row>
      <xdr:rowOff>38100</xdr:rowOff>
    </xdr:to>
    <xdr:pic>
      <xdr:nvPicPr>
        <xdr:cNvPr id="45681" name="Picture 10">
          <a:hlinkClick xmlns:r="http://schemas.openxmlformats.org/officeDocument/2006/relationships" r:id="rId3" tooltip="The bankings section is used to record money received into the company bank accounts."/>
          <a:extLst>
            <a:ext uri="{FF2B5EF4-FFF2-40B4-BE49-F238E27FC236}">
              <a16:creationId xmlns:a16="http://schemas.microsoft.com/office/drawing/2014/main" id="{00000000-0008-0000-0A00-000071B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30200" y="127635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114300</xdr:colOff>
      <xdr:row>8</xdr:row>
      <xdr:rowOff>0</xdr:rowOff>
    </xdr:from>
    <xdr:to>
      <xdr:col>5</xdr:col>
      <xdr:colOff>419100</xdr:colOff>
      <xdr:row>9</xdr:row>
      <xdr:rowOff>114300</xdr:rowOff>
    </xdr:to>
    <xdr:pic>
      <xdr:nvPicPr>
        <xdr:cNvPr id="45682" name="Picture 2">
          <a:hlinkClick xmlns:r="http://schemas.openxmlformats.org/officeDocument/2006/relationships" r:id="rId4" tooltip="IR35 Status: Enter Y or N in the yellow IR35 question box (cell E9)."/>
          <a:extLst>
            <a:ext uri="{FF2B5EF4-FFF2-40B4-BE49-F238E27FC236}">
              <a16:creationId xmlns:a16="http://schemas.microsoft.com/office/drawing/2014/main" id="{00000000-0008-0000-0A00-000072B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53075" y="169545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114300</xdr:colOff>
      <xdr:row>10</xdr:row>
      <xdr:rowOff>38100</xdr:rowOff>
    </xdr:from>
    <xdr:to>
      <xdr:col>5</xdr:col>
      <xdr:colOff>419100</xdr:colOff>
      <xdr:row>11</xdr:row>
      <xdr:rowOff>123825</xdr:rowOff>
    </xdr:to>
    <xdr:pic>
      <xdr:nvPicPr>
        <xdr:cNvPr id="45683" name="Picture 3">
          <a:hlinkClick xmlns:r="http://schemas.openxmlformats.org/officeDocument/2006/relationships" r:id="rId6"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A00-000073B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53075" y="213360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247650</xdr:colOff>
      <xdr:row>74</xdr:row>
      <xdr:rowOff>28575</xdr:rowOff>
    </xdr:from>
    <xdr:to>
      <xdr:col>4</xdr:col>
      <xdr:colOff>552450</xdr:colOff>
      <xdr:row>75</xdr:row>
      <xdr:rowOff>152400</xdr:rowOff>
    </xdr:to>
    <xdr:pic>
      <xdr:nvPicPr>
        <xdr:cNvPr id="45684" name="Picture 25">
          <a:hlinkClick xmlns:r="http://schemas.openxmlformats.org/officeDocument/2006/relationships" r:id="rId14" tooltip="At the end of each month any total in the cash column should be repaid to yourself as expenses. "/>
          <a:extLst>
            <a:ext uri="{FF2B5EF4-FFF2-40B4-BE49-F238E27FC236}">
              <a16:creationId xmlns:a16="http://schemas.microsoft.com/office/drawing/2014/main" id="{00000000-0008-0000-0A00-000074B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772025" y="80295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133350</xdr:colOff>
      <xdr:row>74</xdr:row>
      <xdr:rowOff>180975</xdr:rowOff>
    </xdr:from>
    <xdr:to>
      <xdr:col>31</xdr:col>
      <xdr:colOff>438150</xdr:colOff>
      <xdr:row>76</xdr:row>
      <xdr:rowOff>142875</xdr:rowOff>
    </xdr:to>
    <xdr:pic>
      <xdr:nvPicPr>
        <xdr:cNvPr id="45685" name="Picture 29">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a:extLst>
            <a:ext uri="{FF2B5EF4-FFF2-40B4-BE49-F238E27FC236}">
              <a16:creationId xmlns:a16="http://schemas.microsoft.com/office/drawing/2014/main" id="{00000000-0008-0000-0A00-000075B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17775" y="81819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1819275</xdr:colOff>
      <xdr:row>200</xdr:row>
      <xdr:rowOff>95250</xdr:rowOff>
    </xdr:from>
    <xdr:to>
      <xdr:col>2</xdr:col>
      <xdr:colOff>304800</xdr:colOff>
      <xdr:row>202</xdr:row>
      <xdr:rowOff>38100</xdr:rowOff>
    </xdr:to>
    <xdr:pic>
      <xdr:nvPicPr>
        <xdr:cNvPr id="45686" name="Picture 31">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A00-000076B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28875" y="144875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202</xdr:row>
      <xdr:rowOff>133350</xdr:rowOff>
    </xdr:from>
    <xdr:to>
      <xdr:col>9</xdr:col>
      <xdr:colOff>361950</xdr:colOff>
      <xdr:row>204</xdr:row>
      <xdr:rowOff>9524</xdr:rowOff>
    </xdr:to>
    <xdr:pic>
      <xdr:nvPicPr>
        <xdr:cNvPr id="45687" name="Picture 20">
          <a:hlinkClick xmlns:r="http://schemas.openxmlformats.org/officeDocument/2006/relationships" r:id="rId16" tooltip="Each month, to check that your spreadsheet reconciles to your bank statement."/>
          <a:extLst>
            <a:ext uri="{FF2B5EF4-FFF2-40B4-BE49-F238E27FC236}">
              <a16:creationId xmlns:a16="http://schemas.microsoft.com/office/drawing/2014/main" id="{00000000-0008-0000-0A00-000077B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63075" y="148875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66675</xdr:colOff>
          <xdr:row>214</xdr:row>
          <xdr:rowOff>142875</xdr:rowOff>
        </xdr:from>
        <xdr:to>
          <xdr:col>7</xdr:col>
          <xdr:colOff>561975</xdr:colOff>
          <xdr:row>216</xdr:row>
          <xdr:rowOff>9525</xdr:rowOff>
        </xdr:to>
        <xdr:sp macro="" textlink="">
          <xdr:nvSpPr>
            <xdr:cNvPr id="16404" name="Check Box 20" hidden="1">
              <a:extLst>
                <a:ext uri="{63B3BB69-23CF-44E3-9099-C40C66FF867C}">
                  <a14:compatExt spid="_x0000_s16404"/>
                </a:ext>
                <a:ext uri="{FF2B5EF4-FFF2-40B4-BE49-F238E27FC236}">
                  <a16:creationId xmlns:a16="http://schemas.microsoft.com/office/drawing/2014/main" id="{00000000-0008-0000-0A00-00001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7</xdr:col>
      <xdr:colOff>95250</xdr:colOff>
      <xdr:row>6</xdr:row>
      <xdr:rowOff>9525</xdr:rowOff>
    </xdr:from>
    <xdr:to>
      <xdr:col>7</xdr:col>
      <xdr:colOff>390525</xdr:colOff>
      <xdr:row>7</xdr:row>
      <xdr:rowOff>28575</xdr:rowOff>
    </xdr:to>
    <xdr:pic>
      <xdr:nvPicPr>
        <xdr:cNvPr id="41602" name="Picture 2">
          <a:hlinkClick xmlns:r="http://schemas.openxmlformats.org/officeDocument/2006/relationships" r:id="rId1" tooltip="Help"/>
          <a:extLst>
            <a:ext uri="{FF2B5EF4-FFF2-40B4-BE49-F238E27FC236}">
              <a16:creationId xmlns:a16="http://schemas.microsoft.com/office/drawing/2014/main" id="{00000000-0008-0000-0B00-000082A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62825" y="126682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95250</xdr:colOff>
      <xdr:row>6</xdr:row>
      <xdr:rowOff>0</xdr:rowOff>
    </xdr:from>
    <xdr:to>
      <xdr:col>12</xdr:col>
      <xdr:colOff>390525</xdr:colOff>
      <xdr:row>7</xdr:row>
      <xdr:rowOff>0</xdr:rowOff>
    </xdr:to>
    <xdr:pic>
      <xdr:nvPicPr>
        <xdr:cNvPr id="41603" name="Picture 10">
          <a:hlinkClick xmlns:r="http://schemas.openxmlformats.org/officeDocument/2006/relationships" r:id="rId3" tooltip="Help"/>
          <a:extLst>
            <a:ext uri="{FF2B5EF4-FFF2-40B4-BE49-F238E27FC236}">
              <a16:creationId xmlns:a16="http://schemas.microsoft.com/office/drawing/2014/main" id="{00000000-0008-0000-0B00-000083A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34950" y="1257300"/>
          <a:ext cx="2952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xdr:row>
      <xdr:rowOff>133350</xdr:rowOff>
    </xdr:from>
    <xdr:to>
      <xdr:col>5</xdr:col>
      <xdr:colOff>400050</xdr:colOff>
      <xdr:row>9</xdr:row>
      <xdr:rowOff>66675</xdr:rowOff>
    </xdr:to>
    <xdr:pic>
      <xdr:nvPicPr>
        <xdr:cNvPr id="41604" name="Picture 2">
          <a:hlinkClick xmlns:r="http://schemas.openxmlformats.org/officeDocument/2006/relationships" r:id="rId4" tooltip="Help"/>
          <a:extLst>
            <a:ext uri="{FF2B5EF4-FFF2-40B4-BE49-F238E27FC236}">
              <a16:creationId xmlns:a16="http://schemas.microsoft.com/office/drawing/2014/main" id="{00000000-0008-0000-0B00-000084A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34025" y="16573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85725</xdr:colOff>
      <xdr:row>10</xdr:row>
      <xdr:rowOff>9525</xdr:rowOff>
    </xdr:from>
    <xdr:to>
      <xdr:col>5</xdr:col>
      <xdr:colOff>390525</xdr:colOff>
      <xdr:row>11</xdr:row>
      <xdr:rowOff>114300</xdr:rowOff>
    </xdr:to>
    <xdr:pic>
      <xdr:nvPicPr>
        <xdr:cNvPr id="41605" name="Picture 3">
          <a:hlinkClick xmlns:r="http://schemas.openxmlformats.org/officeDocument/2006/relationships" r:id="rId6" tooltip="Help"/>
          <a:extLst>
            <a:ext uri="{FF2B5EF4-FFF2-40B4-BE49-F238E27FC236}">
              <a16:creationId xmlns:a16="http://schemas.microsoft.com/office/drawing/2014/main" id="{00000000-0008-0000-0B00-000085A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24500" y="21050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276225</xdr:colOff>
      <xdr:row>74</xdr:row>
      <xdr:rowOff>28575</xdr:rowOff>
    </xdr:from>
    <xdr:to>
      <xdr:col>3</xdr:col>
      <xdr:colOff>581025</xdr:colOff>
      <xdr:row>75</xdr:row>
      <xdr:rowOff>142875</xdr:rowOff>
    </xdr:to>
    <xdr:pic>
      <xdr:nvPicPr>
        <xdr:cNvPr id="41606" name="Picture 10">
          <a:hlinkClick xmlns:r="http://schemas.openxmlformats.org/officeDocument/2006/relationships" r:id="rId8" tooltip="Bank Account - enter all items that have been paid out of the company bank account."/>
          <a:extLst>
            <a:ext uri="{FF2B5EF4-FFF2-40B4-BE49-F238E27FC236}">
              <a16:creationId xmlns:a16="http://schemas.microsoft.com/office/drawing/2014/main" id="{00000000-0008-0000-0B00-000086A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86200" y="80295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533400</xdr:colOff>
      <xdr:row>74</xdr:row>
      <xdr:rowOff>76200</xdr:rowOff>
    </xdr:from>
    <xdr:to>
      <xdr:col>6</xdr:col>
      <xdr:colOff>838200</xdr:colOff>
      <xdr:row>76</xdr:row>
      <xdr:rowOff>28575</xdr:rowOff>
    </xdr:to>
    <xdr:pic>
      <xdr:nvPicPr>
        <xdr:cNvPr id="41607" name="Picture 14">
          <a:hlinkClick xmlns:r="http://schemas.openxmlformats.org/officeDocument/2006/relationships" r:id="rId10" tooltip="Help"/>
          <a:extLst>
            <a:ext uri="{FF2B5EF4-FFF2-40B4-BE49-F238E27FC236}">
              <a16:creationId xmlns:a16="http://schemas.microsoft.com/office/drawing/2014/main" id="{00000000-0008-0000-0B00-000087A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86575" y="80772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161925</xdr:colOff>
      <xdr:row>74</xdr:row>
      <xdr:rowOff>123825</xdr:rowOff>
    </xdr:from>
    <xdr:to>
      <xdr:col>31</xdr:col>
      <xdr:colOff>466725</xdr:colOff>
      <xdr:row>76</xdr:row>
      <xdr:rowOff>85725</xdr:rowOff>
    </xdr:to>
    <xdr:pic>
      <xdr:nvPicPr>
        <xdr:cNvPr id="41608" name="Picture 16">
          <a:hlinkClick xmlns:r="http://schemas.openxmlformats.org/officeDocument/2006/relationships" r:id="rId12" tooltip="Help"/>
          <a:extLst>
            <a:ext uri="{FF2B5EF4-FFF2-40B4-BE49-F238E27FC236}">
              <a16:creationId xmlns:a16="http://schemas.microsoft.com/office/drawing/2014/main" id="{00000000-0008-0000-0B00-000088A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46350" y="81248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200</xdr:row>
      <xdr:rowOff>95250</xdr:rowOff>
    </xdr:from>
    <xdr:to>
      <xdr:col>2</xdr:col>
      <xdr:colOff>352425</xdr:colOff>
      <xdr:row>202</xdr:row>
      <xdr:rowOff>38100</xdr:rowOff>
    </xdr:to>
    <xdr:pic>
      <xdr:nvPicPr>
        <xdr:cNvPr id="41609" name="Picture 11">
          <a:hlinkClick xmlns:r="http://schemas.openxmlformats.org/officeDocument/2006/relationships" r:id="rId13" tooltip="Help"/>
          <a:extLst>
            <a:ext uri="{FF2B5EF4-FFF2-40B4-BE49-F238E27FC236}">
              <a16:creationId xmlns:a16="http://schemas.microsoft.com/office/drawing/2014/main" id="{00000000-0008-0000-0B00-000089A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466975" y="14487525"/>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104775</xdr:colOff>
      <xdr:row>6</xdr:row>
      <xdr:rowOff>28575</xdr:rowOff>
    </xdr:from>
    <xdr:to>
      <xdr:col>7</xdr:col>
      <xdr:colOff>400050</xdr:colOff>
      <xdr:row>7</xdr:row>
      <xdr:rowOff>47625</xdr:rowOff>
    </xdr:to>
    <xdr:pic>
      <xdr:nvPicPr>
        <xdr:cNvPr id="41610" name="Picture 8">
          <a:hlinkClick xmlns:r="http://schemas.openxmlformats.org/officeDocument/2006/relationships" r:id="rId1"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B00-00008AA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128587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114300</xdr:colOff>
      <xdr:row>6</xdr:row>
      <xdr:rowOff>19050</xdr:rowOff>
    </xdr:from>
    <xdr:to>
      <xdr:col>12</xdr:col>
      <xdr:colOff>409575</xdr:colOff>
      <xdr:row>7</xdr:row>
      <xdr:rowOff>38100</xdr:rowOff>
    </xdr:to>
    <xdr:pic>
      <xdr:nvPicPr>
        <xdr:cNvPr id="41611" name="Picture 10">
          <a:hlinkClick xmlns:r="http://schemas.openxmlformats.org/officeDocument/2006/relationships" r:id="rId3" tooltip="The bankings section is used to record money received into the company bank accounts."/>
          <a:extLst>
            <a:ext uri="{FF2B5EF4-FFF2-40B4-BE49-F238E27FC236}">
              <a16:creationId xmlns:a16="http://schemas.microsoft.com/office/drawing/2014/main" id="{00000000-0008-0000-0B00-00008BA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4000" y="1276350"/>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104775</xdr:colOff>
      <xdr:row>7</xdr:row>
      <xdr:rowOff>161925</xdr:rowOff>
    </xdr:from>
    <xdr:to>
      <xdr:col>5</xdr:col>
      <xdr:colOff>409575</xdr:colOff>
      <xdr:row>9</xdr:row>
      <xdr:rowOff>104775</xdr:rowOff>
    </xdr:to>
    <xdr:pic>
      <xdr:nvPicPr>
        <xdr:cNvPr id="41612" name="Picture 2">
          <a:hlinkClick xmlns:r="http://schemas.openxmlformats.org/officeDocument/2006/relationships" r:id="rId4" tooltip="IR35 Status: Enter Y or N in the yellow IR35 question box (cell E9)."/>
          <a:extLst>
            <a:ext uri="{FF2B5EF4-FFF2-40B4-BE49-F238E27FC236}">
              <a16:creationId xmlns:a16="http://schemas.microsoft.com/office/drawing/2014/main" id="{00000000-0008-0000-0B00-00008CA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43550" y="16859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85725</xdr:colOff>
      <xdr:row>10</xdr:row>
      <xdr:rowOff>47625</xdr:rowOff>
    </xdr:from>
    <xdr:to>
      <xdr:col>5</xdr:col>
      <xdr:colOff>390525</xdr:colOff>
      <xdr:row>11</xdr:row>
      <xdr:rowOff>142875</xdr:rowOff>
    </xdr:to>
    <xdr:pic>
      <xdr:nvPicPr>
        <xdr:cNvPr id="41613" name="Picture 3">
          <a:hlinkClick xmlns:r="http://schemas.openxmlformats.org/officeDocument/2006/relationships" r:id="rId6"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B00-00008DA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24500" y="21431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276225</xdr:colOff>
      <xdr:row>74</xdr:row>
      <xdr:rowOff>38100</xdr:rowOff>
    </xdr:from>
    <xdr:to>
      <xdr:col>4</xdr:col>
      <xdr:colOff>581025</xdr:colOff>
      <xdr:row>75</xdr:row>
      <xdr:rowOff>161925</xdr:rowOff>
    </xdr:to>
    <xdr:pic>
      <xdr:nvPicPr>
        <xdr:cNvPr id="41614" name="Picture 25">
          <a:hlinkClick xmlns:r="http://schemas.openxmlformats.org/officeDocument/2006/relationships" r:id="rId15" tooltip="At the end of each month any total in the cash column should be repaid to yourself as expenses. "/>
          <a:extLst>
            <a:ext uri="{FF2B5EF4-FFF2-40B4-BE49-F238E27FC236}">
              <a16:creationId xmlns:a16="http://schemas.microsoft.com/office/drawing/2014/main" id="{00000000-0008-0000-0B00-00008EA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800600" y="80391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542925</xdr:colOff>
      <xdr:row>74</xdr:row>
      <xdr:rowOff>66675</xdr:rowOff>
    </xdr:from>
    <xdr:to>
      <xdr:col>6</xdr:col>
      <xdr:colOff>847725</xdr:colOff>
      <xdr:row>76</xdr:row>
      <xdr:rowOff>19050</xdr:rowOff>
    </xdr:to>
    <xdr:pic>
      <xdr:nvPicPr>
        <xdr:cNvPr id="41615" name="Picture 27">
          <a:hlinkClick xmlns:r="http://schemas.openxmlformats.org/officeDocument/2006/relationships" r:id="rId10" tooltip="If you are using the VAT Flat Rate Scheme you do not need to enter a VAT figure in the expenditure section. VAT paid to HMRC is entered in column Y."/>
          <a:extLst>
            <a:ext uri="{FF2B5EF4-FFF2-40B4-BE49-F238E27FC236}">
              <a16:creationId xmlns:a16="http://schemas.microsoft.com/office/drawing/2014/main" id="{00000000-0008-0000-0B00-00008FA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96100" y="80676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200</xdr:row>
      <xdr:rowOff>95250</xdr:rowOff>
    </xdr:from>
    <xdr:to>
      <xdr:col>2</xdr:col>
      <xdr:colOff>352425</xdr:colOff>
      <xdr:row>202</xdr:row>
      <xdr:rowOff>38100</xdr:rowOff>
    </xdr:to>
    <xdr:pic>
      <xdr:nvPicPr>
        <xdr:cNvPr id="41616" name="Picture 31">
          <a:hlinkClick xmlns:r="http://schemas.openxmlformats.org/officeDocument/2006/relationships" r:id="rId12"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B00-000090A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466975" y="14487525"/>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202</xdr:row>
      <xdr:rowOff>133350</xdr:rowOff>
    </xdr:from>
    <xdr:to>
      <xdr:col>9</xdr:col>
      <xdr:colOff>361950</xdr:colOff>
      <xdr:row>204</xdr:row>
      <xdr:rowOff>9524</xdr:rowOff>
    </xdr:to>
    <xdr:pic>
      <xdr:nvPicPr>
        <xdr:cNvPr id="41617" name="Picture 20">
          <a:hlinkClick xmlns:r="http://schemas.openxmlformats.org/officeDocument/2006/relationships" r:id="rId16" tooltip="Each month, to check that your spreadsheet reconciles to your bank statement."/>
          <a:extLst>
            <a:ext uri="{FF2B5EF4-FFF2-40B4-BE49-F238E27FC236}">
              <a16:creationId xmlns:a16="http://schemas.microsoft.com/office/drawing/2014/main" id="{00000000-0008-0000-0B00-000091A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63075" y="148875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57150</xdr:colOff>
          <xdr:row>214</xdr:row>
          <xdr:rowOff>142875</xdr:rowOff>
        </xdr:from>
        <xdr:to>
          <xdr:col>7</xdr:col>
          <xdr:colOff>552450</xdr:colOff>
          <xdr:row>216</xdr:row>
          <xdr:rowOff>19050</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B00-00001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editAs="oneCell">
    <xdr:from>
      <xdr:col>7</xdr:col>
      <xdr:colOff>66675</xdr:colOff>
      <xdr:row>6</xdr:row>
      <xdr:rowOff>9525</xdr:rowOff>
    </xdr:from>
    <xdr:to>
      <xdr:col>7</xdr:col>
      <xdr:colOff>361950</xdr:colOff>
      <xdr:row>7</xdr:row>
      <xdr:rowOff>28575</xdr:rowOff>
    </xdr:to>
    <xdr:pic>
      <xdr:nvPicPr>
        <xdr:cNvPr id="37608" name="Picture 3">
          <a:hlinkClick xmlns:r="http://schemas.openxmlformats.org/officeDocument/2006/relationships" r:id="rId1" tooltip="Help"/>
          <a:extLst>
            <a:ext uri="{FF2B5EF4-FFF2-40B4-BE49-F238E27FC236}">
              <a16:creationId xmlns:a16="http://schemas.microsoft.com/office/drawing/2014/main" id="{00000000-0008-0000-0C00-0000E89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0" y="126682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123825</xdr:colOff>
      <xdr:row>5</xdr:row>
      <xdr:rowOff>133350</xdr:rowOff>
    </xdr:from>
    <xdr:to>
      <xdr:col>12</xdr:col>
      <xdr:colOff>419100</xdr:colOff>
      <xdr:row>6</xdr:row>
      <xdr:rowOff>238125</xdr:rowOff>
    </xdr:to>
    <xdr:pic>
      <xdr:nvPicPr>
        <xdr:cNvPr id="37609" name="Picture 10">
          <a:hlinkClick xmlns:r="http://schemas.openxmlformats.org/officeDocument/2006/relationships" r:id="rId3" tooltip="Help"/>
          <a:extLst>
            <a:ext uri="{FF2B5EF4-FFF2-40B4-BE49-F238E27FC236}">
              <a16:creationId xmlns:a16="http://schemas.microsoft.com/office/drawing/2014/main" id="{00000000-0008-0000-0C00-0000E99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63525" y="1219200"/>
          <a:ext cx="2952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66675</xdr:colOff>
      <xdr:row>7</xdr:row>
      <xdr:rowOff>152400</xdr:rowOff>
    </xdr:from>
    <xdr:to>
      <xdr:col>5</xdr:col>
      <xdr:colOff>371475</xdr:colOff>
      <xdr:row>9</xdr:row>
      <xdr:rowOff>85725</xdr:rowOff>
    </xdr:to>
    <xdr:pic>
      <xdr:nvPicPr>
        <xdr:cNvPr id="37610" name="Picture 2">
          <a:hlinkClick xmlns:r="http://schemas.openxmlformats.org/officeDocument/2006/relationships" r:id="rId4" tooltip="Help"/>
          <a:extLst>
            <a:ext uri="{FF2B5EF4-FFF2-40B4-BE49-F238E27FC236}">
              <a16:creationId xmlns:a16="http://schemas.microsoft.com/office/drawing/2014/main" id="{00000000-0008-0000-0C00-0000EA9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05450" y="16764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66675</xdr:colOff>
      <xdr:row>10</xdr:row>
      <xdr:rowOff>9525</xdr:rowOff>
    </xdr:from>
    <xdr:to>
      <xdr:col>5</xdr:col>
      <xdr:colOff>371475</xdr:colOff>
      <xdr:row>11</xdr:row>
      <xdr:rowOff>114300</xdr:rowOff>
    </xdr:to>
    <xdr:pic>
      <xdr:nvPicPr>
        <xdr:cNvPr id="37611" name="Picture 3">
          <a:hlinkClick xmlns:r="http://schemas.openxmlformats.org/officeDocument/2006/relationships" r:id="rId6" tooltip="Help"/>
          <a:extLst>
            <a:ext uri="{FF2B5EF4-FFF2-40B4-BE49-F238E27FC236}">
              <a16:creationId xmlns:a16="http://schemas.microsoft.com/office/drawing/2014/main" id="{00000000-0008-0000-0C00-0000EB9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05450" y="21050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266700</xdr:colOff>
      <xdr:row>74</xdr:row>
      <xdr:rowOff>28575</xdr:rowOff>
    </xdr:from>
    <xdr:to>
      <xdr:col>3</xdr:col>
      <xdr:colOff>581025</xdr:colOff>
      <xdr:row>75</xdr:row>
      <xdr:rowOff>142875</xdr:rowOff>
    </xdr:to>
    <xdr:pic>
      <xdr:nvPicPr>
        <xdr:cNvPr id="37612" name="Picture 11">
          <a:hlinkClick xmlns:r="http://schemas.openxmlformats.org/officeDocument/2006/relationships" r:id="rId8" tooltip="Bank Account - enter all items that have been paid out of the company bank account."/>
          <a:extLst>
            <a:ext uri="{FF2B5EF4-FFF2-40B4-BE49-F238E27FC236}">
              <a16:creationId xmlns:a16="http://schemas.microsoft.com/office/drawing/2014/main" id="{00000000-0008-0000-0C00-0000EC9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76675" y="8029575"/>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504825</xdr:colOff>
      <xdr:row>74</xdr:row>
      <xdr:rowOff>38100</xdr:rowOff>
    </xdr:from>
    <xdr:to>
      <xdr:col>6</xdr:col>
      <xdr:colOff>809625</xdr:colOff>
      <xdr:row>76</xdr:row>
      <xdr:rowOff>0</xdr:rowOff>
    </xdr:to>
    <xdr:pic>
      <xdr:nvPicPr>
        <xdr:cNvPr id="37613" name="Picture 15">
          <a:hlinkClick xmlns:r="http://schemas.openxmlformats.org/officeDocument/2006/relationships" r:id="rId10" tooltip="Help"/>
          <a:extLst>
            <a:ext uri="{FF2B5EF4-FFF2-40B4-BE49-F238E27FC236}">
              <a16:creationId xmlns:a16="http://schemas.microsoft.com/office/drawing/2014/main" id="{00000000-0008-0000-0C00-0000ED9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58000" y="80391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152400</xdr:colOff>
      <xdr:row>74</xdr:row>
      <xdr:rowOff>123825</xdr:rowOff>
    </xdr:from>
    <xdr:to>
      <xdr:col>31</xdr:col>
      <xdr:colOff>457200</xdr:colOff>
      <xdr:row>76</xdr:row>
      <xdr:rowOff>85725</xdr:rowOff>
    </xdr:to>
    <xdr:pic>
      <xdr:nvPicPr>
        <xdr:cNvPr id="37614" name="Picture 17">
          <a:hlinkClick xmlns:r="http://schemas.openxmlformats.org/officeDocument/2006/relationships" r:id="rId12" tooltip="Help"/>
          <a:extLst>
            <a:ext uri="{FF2B5EF4-FFF2-40B4-BE49-F238E27FC236}">
              <a16:creationId xmlns:a16="http://schemas.microsoft.com/office/drawing/2014/main" id="{00000000-0008-0000-0C00-0000EE9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36825" y="81248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200</xdr:row>
      <xdr:rowOff>104775</xdr:rowOff>
    </xdr:from>
    <xdr:to>
      <xdr:col>2</xdr:col>
      <xdr:colOff>352425</xdr:colOff>
      <xdr:row>202</xdr:row>
      <xdr:rowOff>47625</xdr:rowOff>
    </xdr:to>
    <xdr:pic>
      <xdr:nvPicPr>
        <xdr:cNvPr id="37615" name="Picture 12">
          <a:hlinkClick xmlns:r="http://schemas.openxmlformats.org/officeDocument/2006/relationships" r:id="rId12" tooltip="Help"/>
          <a:extLst>
            <a:ext uri="{FF2B5EF4-FFF2-40B4-BE49-F238E27FC236}">
              <a16:creationId xmlns:a16="http://schemas.microsoft.com/office/drawing/2014/main" id="{00000000-0008-0000-0C00-0000EF9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66975" y="14497050"/>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76200</xdr:colOff>
      <xdr:row>6</xdr:row>
      <xdr:rowOff>28575</xdr:rowOff>
    </xdr:from>
    <xdr:to>
      <xdr:col>7</xdr:col>
      <xdr:colOff>371475</xdr:colOff>
      <xdr:row>7</xdr:row>
      <xdr:rowOff>47625</xdr:rowOff>
    </xdr:to>
    <xdr:pic>
      <xdr:nvPicPr>
        <xdr:cNvPr id="37616" name="Picture 8">
          <a:hlinkClick xmlns:r="http://schemas.openxmlformats.org/officeDocument/2006/relationships" r:id="rId1"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C00-0000F09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43775" y="128587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142875</xdr:colOff>
      <xdr:row>5</xdr:row>
      <xdr:rowOff>142875</xdr:rowOff>
    </xdr:from>
    <xdr:to>
      <xdr:col>12</xdr:col>
      <xdr:colOff>438150</xdr:colOff>
      <xdr:row>6</xdr:row>
      <xdr:rowOff>257175</xdr:rowOff>
    </xdr:to>
    <xdr:pic>
      <xdr:nvPicPr>
        <xdr:cNvPr id="37617" name="Picture 10">
          <a:hlinkClick xmlns:r="http://schemas.openxmlformats.org/officeDocument/2006/relationships" r:id="rId3" tooltip="The bankings section is used to record money received into the company bank accounts."/>
          <a:extLst>
            <a:ext uri="{FF2B5EF4-FFF2-40B4-BE49-F238E27FC236}">
              <a16:creationId xmlns:a16="http://schemas.microsoft.com/office/drawing/2014/main" id="{00000000-0008-0000-0C00-0000F19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82575" y="122872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76200</xdr:colOff>
      <xdr:row>8</xdr:row>
      <xdr:rowOff>0</xdr:rowOff>
    </xdr:from>
    <xdr:to>
      <xdr:col>5</xdr:col>
      <xdr:colOff>381000</xdr:colOff>
      <xdr:row>9</xdr:row>
      <xdr:rowOff>114300</xdr:rowOff>
    </xdr:to>
    <xdr:pic>
      <xdr:nvPicPr>
        <xdr:cNvPr id="37618" name="Picture 2">
          <a:hlinkClick xmlns:r="http://schemas.openxmlformats.org/officeDocument/2006/relationships" r:id="rId4" tooltip="IR35 Status: Enter Y or N in the yellow IR35 question box (cell E9)."/>
          <a:extLst>
            <a:ext uri="{FF2B5EF4-FFF2-40B4-BE49-F238E27FC236}">
              <a16:creationId xmlns:a16="http://schemas.microsoft.com/office/drawing/2014/main" id="{00000000-0008-0000-0C00-0000F29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14975" y="169545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76200</xdr:colOff>
      <xdr:row>10</xdr:row>
      <xdr:rowOff>47625</xdr:rowOff>
    </xdr:from>
    <xdr:to>
      <xdr:col>5</xdr:col>
      <xdr:colOff>381000</xdr:colOff>
      <xdr:row>11</xdr:row>
      <xdr:rowOff>142875</xdr:rowOff>
    </xdr:to>
    <xdr:pic>
      <xdr:nvPicPr>
        <xdr:cNvPr id="37619" name="Picture 3">
          <a:hlinkClick xmlns:r="http://schemas.openxmlformats.org/officeDocument/2006/relationships" r:id="rId6"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C00-0000F39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14975" y="21431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74</xdr:row>
      <xdr:rowOff>28575</xdr:rowOff>
    </xdr:from>
    <xdr:to>
      <xdr:col>4</xdr:col>
      <xdr:colOff>590550</xdr:colOff>
      <xdr:row>75</xdr:row>
      <xdr:rowOff>152400</xdr:rowOff>
    </xdr:to>
    <xdr:pic>
      <xdr:nvPicPr>
        <xdr:cNvPr id="37620" name="Picture 26">
          <a:hlinkClick xmlns:r="http://schemas.openxmlformats.org/officeDocument/2006/relationships" r:id="rId14" tooltip="At the end of each month any total in the cash column should be repaid to yourself as expenses. "/>
          <a:extLst>
            <a:ext uri="{FF2B5EF4-FFF2-40B4-BE49-F238E27FC236}">
              <a16:creationId xmlns:a16="http://schemas.microsoft.com/office/drawing/2014/main" id="{00000000-0008-0000-0C00-0000F49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810125" y="80295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476250</xdr:colOff>
      <xdr:row>74</xdr:row>
      <xdr:rowOff>28575</xdr:rowOff>
    </xdr:from>
    <xdr:to>
      <xdr:col>6</xdr:col>
      <xdr:colOff>781050</xdr:colOff>
      <xdr:row>75</xdr:row>
      <xdr:rowOff>152400</xdr:rowOff>
    </xdr:to>
    <xdr:pic>
      <xdr:nvPicPr>
        <xdr:cNvPr id="37621" name="Picture 28">
          <a:hlinkClick xmlns:r="http://schemas.openxmlformats.org/officeDocument/2006/relationships" r:id="rId10" tooltip="If you are using the VAT Flat Rate Scheme you do not need to enter a VAT figure in the expenditure section. VAT paid to HMRC is entered in column Y."/>
          <a:extLst>
            <a:ext uri="{FF2B5EF4-FFF2-40B4-BE49-F238E27FC236}">
              <a16:creationId xmlns:a16="http://schemas.microsoft.com/office/drawing/2014/main" id="{00000000-0008-0000-0C00-0000F59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829425" y="80295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171450</xdr:colOff>
      <xdr:row>74</xdr:row>
      <xdr:rowOff>152400</xdr:rowOff>
    </xdr:from>
    <xdr:to>
      <xdr:col>31</xdr:col>
      <xdr:colOff>476250</xdr:colOff>
      <xdr:row>76</xdr:row>
      <xdr:rowOff>114300</xdr:rowOff>
    </xdr:to>
    <xdr:pic>
      <xdr:nvPicPr>
        <xdr:cNvPr id="37622" name="Picture 30">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a:extLst>
            <a:ext uri="{FF2B5EF4-FFF2-40B4-BE49-F238E27FC236}">
              <a16:creationId xmlns:a16="http://schemas.microsoft.com/office/drawing/2014/main" id="{00000000-0008-0000-0C00-0000F69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55875" y="81534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200</xdr:row>
      <xdr:rowOff>133350</xdr:rowOff>
    </xdr:from>
    <xdr:to>
      <xdr:col>2</xdr:col>
      <xdr:colOff>342900</xdr:colOff>
      <xdr:row>202</xdr:row>
      <xdr:rowOff>85725</xdr:rowOff>
    </xdr:to>
    <xdr:pic>
      <xdr:nvPicPr>
        <xdr:cNvPr id="37623" name="Picture 32">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C00-0000F79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57450" y="14525625"/>
          <a:ext cx="3143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202</xdr:row>
      <xdr:rowOff>133350</xdr:rowOff>
    </xdr:from>
    <xdr:to>
      <xdr:col>9</xdr:col>
      <xdr:colOff>361950</xdr:colOff>
      <xdr:row>204</xdr:row>
      <xdr:rowOff>9524</xdr:rowOff>
    </xdr:to>
    <xdr:pic>
      <xdr:nvPicPr>
        <xdr:cNvPr id="37624" name="Picture 21">
          <a:hlinkClick xmlns:r="http://schemas.openxmlformats.org/officeDocument/2006/relationships" r:id="rId16" tooltip="Each month, to check that your spreadsheet reconciles to your bank statement."/>
          <a:extLst>
            <a:ext uri="{FF2B5EF4-FFF2-40B4-BE49-F238E27FC236}">
              <a16:creationId xmlns:a16="http://schemas.microsoft.com/office/drawing/2014/main" id="{00000000-0008-0000-0C00-0000F89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63075" y="148875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66675</xdr:colOff>
          <xdr:row>214</xdr:row>
          <xdr:rowOff>123825</xdr:rowOff>
        </xdr:from>
        <xdr:to>
          <xdr:col>7</xdr:col>
          <xdr:colOff>561975</xdr:colOff>
          <xdr:row>216</xdr:row>
          <xdr:rowOff>0</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C00-00001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editAs="oneCell">
    <xdr:from>
      <xdr:col>7</xdr:col>
      <xdr:colOff>104775</xdr:colOff>
      <xdr:row>6</xdr:row>
      <xdr:rowOff>28575</xdr:rowOff>
    </xdr:from>
    <xdr:to>
      <xdr:col>7</xdr:col>
      <xdr:colOff>400050</xdr:colOff>
      <xdr:row>7</xdr:row>
      <xdr:rowOff>38100</xdr:rowOff>
    </xdr:to>
    <xdr:pic>
      <xdr:nvPicPr>
        <xdr:cNvPr id="38632" name="Picture 1">
          <a:hlinkClick xmlns:r="http://schemas.openxmlformats.org/officeDocument/2006/relationships" r:id="rId1" tooltip="Help"/>
          <a:extLst>
            <a:ext uri="{FF2B5EF4-FFF2-40B4-BE49-F238E27FC236}">
              <a16:creationId xmlns:a16="http://schemas.microsoft.com/office/drawing/2014/main" id="{00000000-0008-0000-0D00-0000E89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1285875"/>
          <a:ext cx="2952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104775</xdr:colOff>
      <xdr:row>6</xdr:row>
      <xdr:rowOff>28575</xdr:rowOff>
    </xdr:from>
    <xdr:to>
      <xdr:col>12</xdr:col>
      <xdr:colOff>400050</xdr:colOff>
      <xdr:row>7</xdr:row>
      <xdr:rowOff>28575</xdr:rowOff>
    </xdr:to>
    <xdr:pic>
      <xdr:nvPicPr>
        <xdr:cNvPr id="38633" name="Picture 10">
          <a:hlinkClick xmlns:r="http://schemas.openxmlformats.org/officeDocument/2006/relationships" r:id="rId3" tooltip="Help"/>
          <a:extLst>
            <a:ext uri="{FF2B5EF4-FFF2-40B4-BE49-F238E27FC236}">
              <a16:creationId xmlns:a16="http://schemas.microsoft.com/office/drawing/2014/main" id="{00000000-0008-0000-0D00-0000E99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44475" y="1285875"/>
          <a:ext cx="2952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104775</xdr:colOff>
      <xdr:row>7</xdr:row>
      <xdr:rowOff>152400</xdr:rowOff>
    </xdr:from>
    <xdr:to>
      <xdr:col>5</xdr:col>
      <xdr:colOff>409575</xdr:colOff>
      <xdr:row>9</xdr:row>
      <xdr:rowOff>85725</xdr:rowOff>
    </xdr:to>
    <xdr:pic>
      <xdr:nvPicPr>
        <xdr:cNvPr id="38634" name="Picture 2">
          <a:hlinkClick xmlns:r="http://schemas.openxmlformats.org/officeDocument/2006/relationships" r:id="rId4" tooltip="Help"/>
          <a:extLst>
            <a:ext uri="{FF2B5EF4-FFF2-40B4-BE49-F238E27FC236}">
              <a16:creationId xmlns:a16="http://schemas.microsoft.com/office/drawing/2014/main" id="{00000000-0008-0000-0D00-0000EA9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43550" y="16764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123825</xdr:colOff>
      <xdr:row>10</xdr:row>
      <xdr:rowOff>0</xdr:rowOff>
    </xdr:from>
    <xdr:to>
      <xdr:col>5</xdr:col>
      <xdr:colOff>428625</xdr:colOff>
      <xdr:row>11</xdr:row>
      <xdr:rowOff>104775</xdr:rowOff>
    </xdr:to>
    <xdr:pic>
      <xdr:nvPicPr>
        <xdr:cNvPr id="38635" name="Picture 3">
          <a:hlinkClick xmlns:r="http://schemas.openxmlformats.org/officeDocument/2006/relationships" r:id="rId6" tooltip="Help"/>
          <a:extLst>
            <a:ext uri="{FF2B5EF4-FFF2-40B4-BE49-F238E27FC236}">
              <a16:creationId xmlns:a16="http://schemas.microsoft.com/office/drawing/2014/main" id="{00000000-0008-0000-0D00-0000EB96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62600" y="20955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257175</xdr:colOff>
      <xdr:row>74</xdr:row>
      <xdr:rowOff>28575</xdr:rowOff>
    </xdr:from>
    <xdr:to>
      <xdr:col>3</xdr:col>
      <xdr:colOff>571500</xdr:colOff>
      <xdr:row>75</xdr:row>
      <xdr:rowOff>152400</xdr:rowOff>
    </xdr:to>
    <xdr:pic>
      <xdr:nvPicPr>
        <xdr:cNvPr id="38636" name="Picture 9">
          <a:hlinkClick xmlns:r="http://schemas.openxmlformats.org/officeDocument/2006/relationships" r:id="rId8" tooltip="Bank Account - enter all items that have been paid out of the company bank account."/>
          <a:extLst>
            <a:ext uri="{FF2B5EF4-FFF2-40B4-BE49-F238E27FC236}">
              <a16:creationId xmlns:a16="http://schemas.microsoft.com/office/drawing/2014/main" id="{00000000-0008-0000-0D00-0000EC96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67150" y="8029575"/>
          <a:ext cx="3143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552450</xdr:colOff>
      <xdr:row>74</xdr:row>
      <xdr:rowOff>28575</xdr:rowOff>
    </xdr:from>
    <xdr:to>
      <xdr:col>6</xdr:col>
      <xdr:colOff>857250</xdr:colOff>
      <xdr:row>75</xdr:row>
      <xdr:rowOff>152400</xdr:rowOff>
    </xdr:to>
    <xdr:pic>
      <xdr:nvPicPr>
        <xdr:cNvPr id="38637" name="Picture 13">
          <a:hlinkClick xmlns:r="http://schemas.openxmlformats.org/officeDocument/2006/relationships" r:id="rId10" tooltip="Help"/>
          <a:extLst>
            <a:ext uri="{FF2B5EF4-FFF2-40B4-BE49-F238E27FC236}">
              <a16:creationId xmlns:a16="http://schemas.microsoft.com/office/drawing/2014/main" id="{00000000-0008-0000-0D00-0000ED96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905625" y="80295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180975</xdr:colOff>
      <xdr:row>74</xdr:row>
      <xdr:rowOff>133350</xdr:rowOff>
    </xdr:from>
    <xdr:to>
      <xdr:col>31</xdr:col>
      <xdr:colOff>485775</xdr:colOff>
      <xdr:row>76</xdr:row>
      <xdr:rowOff>95250</xdr:rowOff>
    </xdr:to>
    <xdr:pic>
      <xdr:nvPicPr>
        <xdr:cNvPr id="38638" name="Picture 15">
          <a:hlinkClick xmlns:r="http://schemas.openxmlformats.org/officeDocument/2006/relationships" r:id="rId12" tooltip="Help"/>
          <a:extLst>
            <a:ext uri="{FF2B5EF4-FFF2-40B4-BE49-F238E27FC236}">
              <a16:creationId xmlns:a16="http://schemas.microsoft.com/office/drawing/2014/main" id="{00000000-0008-0000-0D00-0000EE96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65400" y="813435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200</xdr:row>
      <xdr:rowOff>114300</xdr:rowOff>
    </xdr:from>
    <xdr:to>
      <xdr:col>2</xdr:col>
      <xdr:colOff>314325</xdr:colOff>
      <xdr:row>202</xdr:row>
      <xdr:rowOff>66675</xdr:rowOff>
    </xdr:to>
    <xdr:pic>
      <xdr:nvPicPr>
        <xdr:cNvPr id="38639" name="Picture 12">
          <a:hlinkClick xmlns:r="http://schemas.openxmlformats.org/officeDocument/2006/relationships" r:id="rId12" tooltip="Help"/>
          <a:extLst>
            <a:ext uri="{FF2B5EF4-FFF2-40B4-BE49-F238E27FC236}">
              <a16:creationId xmlns:a16="http://schemas.microsoft.com/office/drawing/2014/main" id="{00000000-0008-0000-0D00-0000EF96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28875" y="14506575"/>
          <a:ext cx="3143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123825</xdr:colOff>
      <xdr:row>6</xdr:row>
      <xdr:rowOff>47625</xdr:rowOff>
    </xdr:from>
    <xdr:to>
      <xdr:col>7</xdr:col>
      <xdr:colOff>419100</xdr:colOff>
      <xdr:row>7</xdr:row>
      <xdr:rowOff>66675</xdr:rowOff>
    </xdr:to>
    <xdr:pic>
      <xdr:nvPicPr>
        <xdr:cNvPr id="38640" name="Picture 8">
          <a:hlinkClick xmlns:r="http://schemas.openxmlformats.org/officeDocument/2006/relationships" r:id="rId1" tooltip="Sales - enter your gross (i.e. including VAT if applicable) figure into the gross column. If you entered either Y or N in the IR35 question box, the other entries will be completed automatically for you."/>
          <a:extLst>
            <a:ext uri="{FF2B5EF4-FFF2-40B4-BE49-F238E27FC236}">
              <a16:creationId xmlns:a16="http://schemas.microsoft.com/office/drawing/2014/main" id="{00000000-0008-0000-0D00-0000F09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91400" y="130492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123825</xdr:colOff>
      <xdr:row>6</xdr:row>
      <xdr:rowOff>47625</xdr:rowOff>
    </xdr:from>
    <xdr:to>
      <xdr:col>12</xdr:col>
      <xdr:colOff>419100</xdr:colOff>
      <xdr:row>7</xdr:row>
      <xdr:rowOff>66675</xdr:rowOff>
    </xdr:to>
    <xdr:pic>
      <xdr:nvPicPr>
        <xdr:cNvPr id="38641" name="Picture 10">
          <a:hlinkClick xmlns:r="http://schemas.openxmlformats.org/officeDocument/2006/relationships" r:id="rId3" tooltip="The bankings section is used to record money received into the company bank accounts."/>
          <a:extLst>
            <a:ext uri="{FF2B5EF4-FFF2-40B4-BE49-F238E27FC236}">
              <a16:creationId xmlns:a16="http://schemas.microsoft.com/office/drawing/2014/main" id="{00000000-0008-0000-0D00-0000F19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63525" y="1304925"/>
          <a:ext cx="295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114300</xdr:colOff>
      <xdr:row>8</xdr:row>
      <xdr:rowOff>0</xdr:rowOff>
    </xdr:from>
    <xdr:to>
      <xdr:col>5</xdr:col>
      <xdr:colOff>419100</xdr:colOff>
      <xdr:row>9</xdr:row>
      <xdr:rowOff>114300</xdr:rowOff>
    </xdr:to>
    <xdr:pic>
      <xdr:nvPicPr>
        <xdr:cNvPr id="38642" name="Picture 2">
          <a:hlinkClick xmlns:r="http://schemas.openxmlformats.org/officeDocument/2006/relationships" r:id="rId4" tooltip="IR35 Status: Enter Y or N in the yellow IR35 question box (cell E9)."/>
          <a:extLst>
            <a:ext uri="{FF2B5EF4-FFF2-40B4-BE49-F238E27FC236}">
              <a16:creationId xmlns:a16="http://schemas.microsoft.com/office/drawing/2014/main" id="{00000000-0008-0000-0D00-0000F296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53075" y="169545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133350</xdr:colOff>
      <xdr:row>10</xdr:row>
      <xdr:rowOff>38100</xdr:rowOff>
    </xdr:from>
    <xdr:to>
      <xdr:col>5</xdr:col>
      <xdr:colOff>438150</xdr:colOff>
      <xdr:row>11</xdr:row>
      <xdr:rowOff>123825</xdr:rowOff>
    </xdr:to>
    <xdr:pic>
      <xdr:nvPicPr>
        <xdr:cNvPr id="38643" name="Picture 3">
          <a:hlinkClick xmlns:r="http://schemas.openxmlformats.org/officeDocument/2006/relationships" r:id="rId6" tooltip="VAT Status: Enter Y or N in the yellow VAT question box. If you are using the VAT flat rate scheme then enter the scheme percentage into cell E12 on Month 1. "/>
          <a:extLst>
            <a:ext uri="{FF2B5EF4-FFF2-40B4-BE49-F238E27FC236}">
              <a16:creationId xmlns:a16="http://schemas.microsoft.com/office/drawing/2014/main" id="{00000000-0008-0000-0D00-0000F396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572125" y="213360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74</xdr:row>
      <xdr:rowOff>66675</xdr:rowOff>
    </xdr:from>
    <xdr:to>
      <xdr:col>4</xdr:col>
      <xdr:colOff>590550</xdr:colOff>
      <xdr:row>76</xdr:row>
      <xdr:rowOff>28575</xdr:rowOff>
    </xdr:to>
    <xdr:pic>
      <xdr:nvPicPr>
        <xdr:cNvPr id="38644" name="Picture 25">
          <a:hlinkClick xmlns:r="http://schemas.openxmlformats.org/officeDocument/2006/relationships" r:id="rId14" tooltip="At the end of each month any total in the cash column should be repaid to yourself as expenses. "/>
          <a:extLst>
            <a:ext uri="{FF2B5EF4-FFF2-40B4-BE49-F238E27FC236}">
              <a16:creationId xmlns:a16="http://schemas.microsoft.com/office/drawing/2014/main" id="{00000000-0008-0000-0D00-0000F496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810125" y="806767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561975</xdr:colOff>
      <xdr:row>74</xdr:row>
      <xdr:rowOff>38100</xdr:rowOff>
    </xdr:from>
    <xdr:to>
      <xdr:col>6</xdr:col>
      <xdr:colOff>866775</xdr:colOff>
      <xdr:row>76</xdr:row>
      <xdr:rowOff>0</xdr:rowOff>
    </xdr:to>
    <xdr:pic>
      <xdr:nvPicPr>
        <xdr:cNvPr id="38645" name="Picture 26">
          <a:hlinkClick xmlns:r="http://schemas.openxmlformats.org/officeDocument/2006/relationships" r:id="rId10" tooltip="If you are using the VAT Flat Rate Scheme you do not need to enter a VAT figure in the expenditure section. VAT paid to HMRC is entered in column Y."/>
          <a:extLst>
            <a:ext uri="{FF2B5EF4-FFF2-40B4-BE49-F238E27FC236}">
              <a16:creationId xmlns:a16="http://schemas.microsoft.com/office/drawing/2014/main" id="{00000000-0008-0000-0D00-0000F596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915150" y="8039100"/>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180975</xdr:colOff>
      <xdr:row>74</xdr:row>
      <xdr:rowOff>123825</xdr:rowOff>
    </xdr:from>
    <xdr:to>
      <xdr:col>31</xdr:col>
      <xdr:colOff>485775</xdr:colOff>
      <xdr:row>76</xdr:row>
      <xdr:rowOff>85725</xdr:rowOff>
    </xdr:to>
    <xdr:pic>
      <xdr:nvPicPr>
        <xdr:cNvPr id="38646" name="Picture 28">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a:extLst>
            <a:ext uri="{FF2B5EF4-FFF2-40B4-BE49-F238E27FC236}">
              <a16:creationId xmlns:a16="http://schemas.microsoft.com/office/drawing/2014/main" id="{00000000-0008-0000-0D00-0000F696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7965400" y="81248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200</xdr:row>
      <xdr:rowOff>114300</xdr:rowOff>
    </xdr:from>
    <xdr:to>
      <xdr:col>2</xdr:col>
      <xdr:colOff>342900</xdr:colOff>
      <xdr:row>202</xdr:row>
      <xdr:rowOff>57150</xdr:rowOff>
    </xdr:to>
    <xdr:pic>
      <xdr:nvPicPr>
        <xdr:cNvPr id="38647" name="Picture 30">
          <a:hlinkClick xmlns:r="http://schemas.openxmlformats.org/officeDocument/2006/relationships" r:id="rId15" tooltip="If the expenses have been entered correctly the check total boxes (under the expenditure table – row 105) will agree. If not, an error message will flash up in column AF which will tell you which row to correct on the sheet. "/>
          <a:extLst>
            <a:ext uri="{FF2B5EF4-FFF2-40B4-BE49-F238E27FC236}">
              <a16:creationId xmlns:a16="http://schemas.microsoft.com/office/drawing/2014/main" id="{00000000-0008-0000-0D00-0000F796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57450" y="14506575"/>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202</xdr:row>
      <xdr:rowOff>133350</xdr:rowOff>
    </xdr:from>
    <xdr:to>
      <xdr:col>9</xdr:col>
      <xdr:colOff>361950</xdr:colOff>
      <xdr:row>204</xdr:row>
      <xdr:rowOff>9524</xdr:rowOff>
    </xdr:to>
    <xdr:pic>
      <xdr:nvPicPr>
        <xdr:cNvPr id="38648" name="Picture 20">
          <a:hlinkClick xmlns:r="http://schemas.openxmlformats.org/officeDocument/2006/relationships" r:id="rId16" tooltip="Each month, to check that your spreadsheet reconciles to your bank statement."/>
          <a:extLst>
            <a:ext uri="{FF2B5EF4-FFF2-40B4-BE49-F238E27FC236}">
              <a16:creationId xmlns:a16="http://schemas.microsoft.com/office/drawing/2014/main" id="{00000000-0008-0000-0D00-0000F896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363075" y="14887575"/>
          <a:ext cx="2952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66675</xdr:colOff>
          <xdr:row>214</xdr:row>
          <xdr:rowOff>142875</xdr:rowOff>
        </xdr:from>
        <xdr:to>
          <xdr:col>7</xdr:col>
          <xdr:colOff>561975</xdr:colOff>
          <xdr:row>216</xdr:row>
          <xdr:rowOff>28575</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D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 Bank Reconciled</a:t>
              </a:r>
            </a:p>
          </xdr:txBody>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editAs="oneCell">
    <xdr:from>
      <xdr:col>29</xdr:col>
      <xdr:colOff>152400</xdr:colOff>
      <xdr:row>29</xdr:row>
      <xdr:rowOff>85725</xdr:rowOff>
    </xdr:from>
    <xdr:to>
      <xdr:col>29</xdr:col>
      <xdr:colOff>457200</xdr:colOff>
      <xdr:row>31</xdr:row>
      <xdr:rowOff>76200</xdr:rowOff>
    </xdr:to>
    <xdr:pic>
      <xdr:nvPicPr>
        <xdr:cNvPr id="20644" name="Picture 3">
          <a:hlinkClick xmlns:r="http://schemas.openxmlformats.org/officeDocument/2006/relationships" r:id="rId1"/>
          <a:extLst>
            <a:ext uri="{FF2B5EF4-FFF2-40B4-BE49-F238E27FC236}">
              <a16:creationId xmlns:a16="http://schemas.microsoft.com/office/drawing/2014/main" id="{00000000-0008-0000-0E00-0000A45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07850" y="5524500"/>
          <a:ext cx="304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49</xdr:row>
          <xdr:rowOff>114300</xdr:rowOff>
        </xdr:from>
        <xdr:to>
          <xdr:col>6</xdr:col>
          <xdr:colOff>19050</xdr:colOff>
          <xdr:row>51</xdr:row>
          <xdr:rowOff>9525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1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Actual figures from Accounts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52</xdr:row>
          <xdr:rowOff>104775</xdr:rowOff>
        </xdr:from>
        <xdr:to>
          <xdr:col>6</xdr:col>
          <xdr:colOff>19050</xdr:colOff>
          <xdr:row>54</xdr:row>
          <xdr:rowOff>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1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Actual figures from Accounts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55</xdr:row>
          <xdr:rowOff>133350</xdr:rowOff>
        </xdr:from>
        <xdr:to>
          <xdr:col>6</xdr:col>
          <xdr:colOff>9525</xdr:colOff>
          <xdr:row>57</xdr:row>
          <xdr:rowOff>28575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1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Actual figures from Accounts</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trlProp" Target="../ctrlProps/ctrlProp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trlProp" Target="../ctrlProps/ctrlProp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trlProp" Target="../ctrlProps/ctrlProp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trlProp" Target="../ctrlProps/ctrlProp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trlProp" Target="../ctrlProps/ctrlProp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trlProp" Target="../ctrlProps/ctrlProp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trlProp" Target="../ctrlProps/ctrlProp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trlProp" Target="../ctrlProps/ctrlProp10.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ctrlProp" Target="../ctrlProps/ctrlProp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ctrlProp" Target="../ctrlProps/ctrlProp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5.xml"/><Relationship Id="rId1" Type="http://schemas.openxmlformats.org/officeDocument/2006/relationships/printerSettings" Target="../printerSettings/printerSettings16.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99"/>
    <pageSetUpPr fitToPage="1"/>
  </sheetPr>
  <dimension ref="A1:A77"/>
  <sheetViews>
    <sheetView showGridLines="0" topLeftCell="A7" workbookViewId="0">
      <selection activeCell="A32" sqref="A32"/>
    </sheetView>
  </sheetViews>
  <sheetFormatPr defaultColWidth="0" defaultRowHeight="12.75" zeroHeight="1"/>
  <cols>
    <col min="1" max="1" width="118.28515625" style="112" customWidth="1"/>
    <col min="2" max="16384" width="0" style="10" hidden="1"/>
  </cols>
  <sheetData>
    <row r="1" spans="1:1" s="111" customFormat="1" ht="21.75" customHeight="1">
      <c r="A1" s="242" t="s">
        <v>317</v>
      </c>
    </row>
    <row r="2" spans="1:1" s="111" customFormat="1">
      <c r="A2" s="196"/>
    </row>
    <row r="3" spans="1:1" s="111" customFormat="1">
      <c r="A3" s="243" t="s">
        <v>212</v>
      </c>
    </row>
    <row r="4" spans="1:1" s="111" customFormat="1">
      <c r="A4" s="239" t="s">
        <v>222</v>
      </c>
    </row>
    <row r="5" spans="1:1" s="111" customFormat="1">
      <c r="A5" s="239"/>
    </row>
    <row r="6" spans="1:1" s="111" customFormat="1" ht="38.25">
      <c r="A6" s="239" t="s">
        <v>213</v>
      </c>
    </row>
    <row r="7" spans="1:1" s="111" customFormat="1">
      <c r="A7" s="239"/>
    </row>
    <row r="8" spans="1:1" s="111" customFormat="1" ht="25.5">
      <c r="A8" s="239" t="s">
        <v>285</v>
      </c>
    </row>
    <row r="9" spans="1:1" s="111" customFormat="1">
      <c r="A9" s="239"/>
    </row>
    <row r="10" spans="1:1" s="111" customFormat="1">
      <c r="A10" s="243" t="s">
        <v>190</v>
      </c>
    </row>
    <row r="11" spans="1:1" s="111" customFormat="1" ht="25.5">
      <c r="A11" s="239" t="s">
        <v>214</v>
      </c>
    </row>
    <row r="12" spans="1:1" s="111" customFormat="1">
      <c r="A12" s="244"/>
    </row>
    <row r="13" spans="1:1" s="111" customFormat="1">
      <c r="A13" s="244" t="s">
        <v>215</v>
      </c>
    </row>
    <row r="14" spans="1:1" s="111" customFormat="1">
      <c r="A14" s="239" t="s">
        <v>216</v>
      </c>
    </row>
    <row r="15" spans="1:1" s="111" customFormat="1" ht="12.75" customHeight="1">
      <c r="A15" s="239" t="s">
        <v>217</v>
      </c>
    </row>
    <row r="16" spans="1:1" s="111" customFormat="1" ht="12.75" customHeight="1">
      <c r="A16" s="239" t="s">
        <v>284</v>
      </c>
    </row>
    <row r="17" spans="1:1" s="111" customFormat="1">
      <c r="A17" s="239" t="s">
        <v>243</v>
      </c>
    </row>
    <row r="18" spans="1:1" s="111" customFormat="1">
      <c r="A18" s="239" t="s">
        <v>244</v>
      </c>
    </row>
    <row r="19" spans="1:1" s="111" customFormat="1">
      <c r="A19" s="239"/>
    </row>
    <row r="20" spans="1:1" s="111" customFormat="1">
      <c r="A20" s="243" t="s">
        <v>188</v>
      </c>
    </row>
    <row r="21" spans="1:1" s="111" customFormat="1" ht="25.5">
      <c r="A21" s="245" t="s">
        <v>283</v>
      </c>
    </row>
    <row r="22" spans="1:1" s="111" customFormat="1">
      <c r="A22" s="245"/>
    </row>
    <row r="23" spans="1:1" s="111" customFormat="1">
      <c r="A23" s="239" t="s">
        <v>404</v>
      </c>
    </row>
    <row r="24" spans="1:1" s="111" customFormat="1">
      <c r="A24" s="239" t="s">
        <v>405</v>
      </c>
    </row>
    <row r="25" spans="1:1" s="111" customFormat="1">
      <c r="A25" s="239" t="s">
        <v>406</v>
      </c>
    </row>
    <row r="26" spans="1:1" s="111" customFormat="1">
      <c r="A26" s="239"/>
    </row>
    <row r="27" spans="1:1" s="111" customFormat="1" ht="51">
      <c r="A27" s="239" t="s">
        <v>407</v>
      </c>
    </row>
    <row r="28" spans="1:1" s="111" customFormat="1">
      <c r="A28" s="239"/>
    </row>
    <row r="29" spans="1:1" s="111" customFormat="1" ht="25.5">
      <c r="A29" s="239" t="s">
        <v>286</v>
      </c>
    </row>
    <row r="30" spans="1:1" s="111" customFormat="1">
      <c r="A30" s="239"/>
    </row>
    <row r="31" spans="1:1" s="111" customFormat="1" ht="38.25">
      <c r="A31" s="239" t="s">
        <v>408</v>
      </c>
    </row>
    <row r="32" spans="1:1" s="111" customFormat="1">
      <c r="A32" s="239"/>
    </row>
    <row r="33" spans="1:1" s="111" customFormat="1">
      <c r="A33" s="243" t="s">
        <v>62</v>
      </c>
    </row>
    <row r="34" spans="1:1" s="111" customFormat="1" ht="51">
      <c r="A34" s="239" t="s">
        <v>287</v>
      </c>
    </row>
    <row r="35" spans="1:1" s="111" customFormat="1">
      <c r="A35" s="239"/>
    </row>
    <row r="36" spans="1:1" s="111" customFormat="1">
      <c r="A36" s="239" t="s">
        <v>218</v>
      </c>
    </row>
    <row r="37" spans="1:1" s="111" customFormat="1">
      <c r="A37" s="239"/>
    </row>
    <row r="38" spans="1:1" s="111" customFormat="1">
      <c r="A38" s="239" t="s">
        <v>245</v>
      </c>
    </row>
    <row r="39" spans="1:1" s="111" customFormat="1">
      <c r="A39" s="239"/>
    </row>
    <row r="40" spans="1:1" s="111" customFormat="1">
      <c r="A40" s="243" t="s">
        <v>219</v>
      </c>
    </row>
    <row r="41" spans="1:1" s="111" customFormat="1">
      <c r="A41" s="239"/>
    </row>
    <row r="42" spans="1:1" s="111" customFormat="1" ht="38.25">
      <c r="A42" s="239" t="s">
        <v>220</v>
      </c>
    </row>
    <row r="43" spans="1:1" s="111" customFormat="1">
      <c r="A43" s="239"/>
    </row>
    <row r="44" spans="1:1" s="111" customFormat="1" ht="51">
      <c r="A44" s="239" t="s">
        <v>409</v>
      </c>
    </row>
    <row r="45" spans="1:1" s="111" customFormat="1">
      <c r="A45" s="239"/>
    </row>
    <row r="46" spans="1:1" s="111" customFormat="1" ht="63.75">
      <c r="A46" s="427" t="s">
        <v>340</v>
      </c>
    </row>
    <row r="47" spans="1:1" s="111" customFormat="1">
      <c r="A47" s="239"/>
    </row>
    <row r="48" spans="1:1" s="111" customFormat="1">
      <c r="A48" s="239" t="s">
        <v>221</v>
      </c>
    </row>
    <row r="49" spans="1:1" s="111" customFormat="1">
      <c r="A49" s="239"/>
    </row>
    <row r="50" spans="1:1" s="111" customFormat="1">
      <c r="A50" s="239"/>
    </row>
    <row r="51" spans="1:1" s="111" customFormat="1" ht="0.75" customHeight="1">
      <c r="A51" s="239"/>
    </row>
    <row r="52" spans="1:1" s="111" customFormat="1" hidden="1">
      <c r="A52" s="239"/>
    </row>
    <row r="53" spans="1:1" s="111" customFormat="1" hidden="1">
      <c r="A53" s="239"/>
    </row>
    <row r="54" spans="1:1" s="111" customFormat="1" hidden="1">
      <c r="A54" s="239"/>
    </row>
    <row r="55" spans="1:1" s="111" customFormat="1" hidden="1">
      <c r="A55" s="239"/>
    </row>
    <row r="56" spans="1:1" s="111" customFormat="1" hidden="1">
      <c r="A56" s="239"/>
    </row>
    <row r="57" spans="1:1" s="111" customFormat="1">
      <c r="A57" s="239"/>
    </row>
    <row r="58" spans="1:1" ht="5.25" hidden="1" customHeight="1"/>
    <row r="59" spans="1:1" hidden="1"/>
    <row r="60" spans="1:1" hidden="1"/>
    <row r="61" spans="1:1" hidden="1"/>
    <row r="62" spans="1:1" hidden="1"/>
    <row r="63" spans="1:1" hidden="1"/>
    <row r="64" spans="1:1" hidden="1"/>
    <row r="65" hidden="1"/>
    <row r="66" hidden="1"/>
    <row r="67" hidden="1"/>
    <row r="68" hidden="1"/>
    <row r="69" hidden="1"/>
    <row r="70" hidden="1"/>
    <row r="71" hidden="1"/>
    <row r="72" hidden="1"/>
    <row r="73" hidden="1"/>
    <row r="74" hidden="1"/>
    <row r="75"/>
    <row r="76"/>
    <row r="77"/>
  </sheetData>
  <sheetProtection password="CE8E" sheet="1"/>
  <phoneticPr fontId="0" type="noConversion"/>
  <printOptions headings="1" gridLines="1"/>
  <pageMargins left="0.70866141732283472" right="0.70866141732283472" top="0.74803149606299213" bottom="1.3385826771653544" header="0.31496062992125984" footer="0.31496062992125984"/>
  <pageSetup paperSize="9" scale="83"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0">
    <tabColor rgb="FFFFFF99"/>
    <pageSetUpPr fitToPage="1"/>
  </sheetPr>
  <dimension ref="A1:BI160"/>
  <sheetViews>
    <sheetView showZeros="0" zoomScale="80" zoomScaleNormal="80" workbookViewId="0"/>
  </sheetViews>
  <sheetFormatPr defaultColWidth="0" defaultRowHeight="12.75" zeroHeight="1"/>
  <cols>
    <col min="1" max="1" width="10.7109375" style="7" customWidth="1"/>
    <col min="2" max="2" width="31.85546875" style="7" customWidth="1"/>
    <col min="3" max="3" width="18.28515625" style="7" customWidth="1"/>
    <col min="4" max="4" width="20.85546875" style="20" customWidth="1"/>
    <col min="5" max="5" width="18.85546875" style="20" customWidth="1"/>
    <col min="6" max="6" width="14.7109375" style="20" customWidth="1"/>
    <col min="7" max="7" width="20.7109375" style="20" customWidth="1"/>
    <col min="8" max="8" width="21.28515625" style="20" customWidth="1"/>
    <col min="9" max="9" width="20.42578125" style="20" customWidth="1"/>
    <col min="10" max="10" width="23.7109375" style="20" customWidth="1"/>
    <col min="11" max="11" width="22.7109375" style="20" customWidth="1"/>
    <col min="12" max="13" width="24.42578125" style="20" customWidth="1"/>
    <col min="14" max="14" width="25.5703125" style="7" customWidth="1"/>
    <col min="15" max="15" width="25.28515625" style="7" customWidth="1"/>
    <col min="16" max="16" width="22.7109375" style="7" customWidth="1"/>
    <col min="17" max="17" width="19" style="7" customWidth="1"/>
    <col min="18" max="18" width="19.42578125" style="7" customWidth="1"/>
    <col min="19" max="19" width="19.140625" style="7" customWidth="1"/>
    <col min="20" max="20" width="19.5703125" style="7" customWidth="1"/>
    <col min="21" max="21" width="18.28515625" style="7" customWidth="1"/>
    <col min="22" max="22" width="19.42578125" style="7" customWidth="1"/>
    <col min="23" max="23" width="18.85546875" style="7" customWidth="1"/>
    <col min="24" max="24" width="16.140625" style="7" customWidth="1"/>
    <col min="25" max="29" width="21.42578125" style="7" customWidth="1"/>
    <col min="30" max="30" width="9.140625" style="7" hidden="1" customWidth="1"/>
    <col min="31" max="31" width="6.85546875" style="7" hidden="1" customWidth="1"/>
    <col min="32" max="33" width="6.85546875" style="7" customWidth="1"/>
    <col min="34" max="36" width="9.140625" style="7" customWidth="1"/>
    <col min="37" max="16384" width="0" style="7" hidden="1"/>
  </cols>
  <sheetData>
    <row r="1" spans="1:29" ht="13.5" thickBot="1"/>
    <row r="2" spans="1:29" ht="29.45" customHeight="1" thickBot="1">
      <c r="A2" s="81" t="s">
        <v>330</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row>
    <row r="3" spans="1:29" ht="13.5" thickBot="1"/>
    <row r="4" spans="1:29" ht="16.5" thickBot="1">
      <c r="A4" s="106" t="s">
        <v>84</v>
      </c>
      <c r="B4" s="107"/>
      <c r="C4" s="305">
        <v>42095</v>
      </c>
      <c r="F4" s="21"/>
      <c r="G4" s="21"/>
      <c r="H4" s="21"/>
      <c r="I4" s="21"/>
      <c r="J4" s="21"/>
      <c r="K4" s="21"/>
      <c r="L4" s="21"/>
      <c r="M4" s="21"/>
      <c r="N4" s="21"/>
      <c r="O4" s="21"/>
      <c r="P4" s="21"/>
      <c r="Q4" s="22"/>
      <c r="R4" s="22"/>
      <c r="S4" s="22"/>
      <c r="T4" s="22"/>
      <c r="U4" s="22"/>
      <c r="V4" s="22"/>
      <c r="W4" s="22"/>
      <c r="X4" s="22"/>
      <c r="Y4" s="22"/>
      <c r="Z4" s="22"/>
      <c r="AA4" s="22"/>
      <c r="AB4" s="22"/>
      <c r="AC4" s="22"/>
    </row>
    <row r="5" spans="1:29"/>
    <row r="6" spans="1:29" ht="13.5" thickBot="1"/>
    <row r="7" spans="1:29" ht="21" thickBot="1">
      <c r="A7" s="88" t="s">
        <v>0</v>
      </c>
      <c r="B7" s="88"/>
      <c r="C7" s="88"/>
      <c r="D7" s="88"/>
      <c r="E7" s="88"/>
      <c r="F7" s="88"/>
      <c r="G7" s="88"/>
      <c r="H7" s="23"/>
      <c r="I7" s="101" t="s">
        <v>1</v>
      </c>
      <c r="J7" s="102"/>
      <c r="K7" s="102"/>
      <c r="L7" s="103"/>
      <c r="M7" s="110"/>
    </row>
    <row r="8" spans="1:29" ht="13.5" thickBot="1">
      <c r="A8" s="24"/>
      <c r="B8" s="24"/>
      <c r="C8" s="24"/>
      <c r="D8" s="5"/>
      <c r="E8" s="5"/>
      <c r="F8" s="5"/>
      <c r="G8" s="5"/>
      <c r="H8" s="5"/>
      <c r="I8" s="5"/>
      <c r="J8" s="5"/>
      <c r="K8" s="5"/>
      <c r="L8" s="5"/>
      <c r="M8" s="5"/>
    </row>
    <row r="9" spans="1:29" ht="15.75" thickBot="1">
      <c r="A9" s="25" t="s">
        <v>2</v>
      </c>
      <c r="B9" s="24"/>
      <c r="C9" s="24"/>
      <c r="D9" s="26"/>
      <c r="E9" s="307" t="s">
        <v>242</v>
      </c>
      <c r="F9" s="5">
        <f>IF(E9="Both","enter sales invoices manually at row 30 onwards",0)</f>
        <v>0</v>
      </c>
      <c r="G9" s="5"/>
      <c r="H9" s="5"/>
      <c r="I9" s="5"/>
      <c r="J9" s="5"/>
      <c r="K9" s="5"/>
      <c r="L9" s="5"/>
      <c r="M9" s="5"/>
    </row>
    <row r="10" spans="1:29" ht="15.75" thickBot="1">
      <c r="A10" s="24"/>
      <c r="B10" s="24"/>
      <c r="C10" s="24"/>
      <c r="E10" s="27" t="s">
        <v>20</v>
      </c>
      <c r="F10" s="5"/>
      <c r="G10" s="5"/>
      <c r="H10" s="5"/>
      <c r="I10" s="5" t="s">
        <v>70</v>
      </c>
      <c r="J10" s="5" t="s">
        <v>71</v>
      </c>
      <c r="K10" s="336">
        <v>0</v>
      </c>
      <c r="L10" s="5"/>
      <c r="M10" s="5"/>
    </row>
    <row r="11" spans="1:29" ht="15.75" thickBot="1">
      <c r="A11" s="25" t="s">
        <v>4</v>
      </c>
      <c r="B11" s="24"/>
      <c r="C11" s="24"/>
      <c r="E11" s="307" t="s">
        <v>3</v>
      </c>
      <c r="F11" s="5"/>
      <c r="G11" s="5"/>
      <c r="H11" s="5"/>
      <c r="I11" s="5" t="s">
        <v>72</v>
      </c>
      <c r="J11" s="5" t="s">
        <v>19</v>
      </c>
      <c r="K11" s="336">
        <v>0</v>
      </c>
      <c r="L11" s="5"/>
      <c r="M11" s="5"/>
      <c r="N11" s="14" t="s">
        <v>20</v>
      </c>
    </row>
    <row r="12" spans="1:29" ht="15.75" thickBot="1">
      <c r="A12" s="25" t="s">
        <v>145</v>
      </c>
      <c r="B12" s="24"/>
      <c r="C12" s="24"/>
      <c r="E12" s="308">
        <v>0</v>
      </c>
      <c r="F12" s="5"/>
      <c r="G12" s="5"/>
      <c r="H12" s="5"/>
      <c r="I12" s="5" t="s">
        <v>73</v>
      </c>
      <c r="J12" s="5"/>
      <c r="K12" s="5"/>
      <c r="L12" s="5"/>
      <c r="M12" s="5"/>
    </row>
    <row r="13" spans="1:29">
      <c r="A13" s="24"/>
      <c r="B13" s="24"/>
      <c r="C13" s="24"/>
      <c r="E13" s="28"/>
      <c r="F13" s="5"/>
      <c r="G13" s="5"/>
      <c r="H13" s="5"/>
      <c r="I13" s="5"/>
      <c r="J13" s="5"/>
      <c r="K13" s="5"/>
      <c r="L13" s="194" t="s">
        <v>6</v>
      </c>
      <c r="M13" s="5"/>
      <c r="N13" s="7" t="s">
        <v>5</v>
      </c>
      <c r="O13" s="7" t="s">
        <v>6</v>
      </c>
    </row>
    <row r="14" spans="1:29">
      <c r="A14" s="24"/>
      <c r="B14" s="24" t="s">
        <v>20</v>
      </c>
      <c r="C14" s="24" t="s">
        <v>7</v>
      </c>
      <c r="D14" s="5"/>
      <c r="E14" s="5"/>
      <c r="F14" s="5"/>
      <c r="G14" s="5"/>
      <c r="H14" s="5"/>
      <c r="I14" s="5"/>
      <c r="J14" s="5"/>
      <c r="K14" s="5" t="s">
        <v>8</v>
      </c>
      <c r="L14" s="194" t="s">
        <v>10</v>
      </c>
      <c r="M14" s="5"/>
      <c r="N14" s="7" t="s">
        <v>9</v>
      </c>
      <c r="O14" s="7" t="s">
        <v>10</v>
      </c>
    </row>
    <row r="15" spans="1:29" ht="13.5" thickBot="1">
      <c r="A15" s="29" t="s">
        <v>11</v>
      </c>
      <c r="B15" s="24" t="s">
        <v>13</v>
      </c>
      <c r="C15" s="29" t="s">
        <v>12</v>
      </c>
      <c r="D15" s="30" t="s">
        <v>14</v>
      </c>
      <c r="E15" s="30" t="s">
        <v>15</v>
      </c>
      <c r="F15" s="30" t="s">
        <v>16</v>
      </c>
      <c r="G15" s="30" t="s">
        <v>17</v>
      </c>
      <c r="H15" s="5"/>
      <c r="I15" s="30" t="s">
        <v>11</v>
      </c>
      <c r="J15" s="30" t="s">
        <v>13</v>
      </c>
      <c r="K15" s="30" t="s">
        <v>18</v>
      </c>
      <c r="L15" s="195" t="s">
        <v>71</v>
      </c>
      <c r="M15" s="30" t="s">
        <v>130</v>
      </c>
      <c r="N15" s="41" t="s">
        <v>19</v>
      </c>
      <c r="O15" s="41" t="s">
        <v>19</v>
      </c>
    </row>
    <row r="16" spans="1:29">
      <c r="A16" s="31" t="s">
        <v>20</v>
      </c>
      <c r="B16" s="32" t="s">
        <v>20</v>
      </c>
      <c r="C16" s="33" t="s">
        <v>77</v>
      </c>
      <c r="D16" s="34">
        <v>0</v>
      </c>
      <c r="E16" s="34">
        <v>0</v>
      </c>
      <c r="F16" s="34">
        <v>0</v>
      </c>
      <c r="G16" s="34">
        <v>0</v>
      </c>
      <c r="H16" s="34"/>
      <c r="I16" s="337" t="s">
        <v>20</v>
      </c>
      <c r="J16" s="36" t="s">
        <v>94</v>
      </c>
      <c r="K16" s="34" t="s">
        <v>20</v>
      </c>
      <c r="L16" s="34"/>
      <c r="M16" s="34"/>
      <c r="N16" s="63"/>
      <c r="O16" s="109"/>
    </row>
    <row r="17" spans="1:15">
      <c r="A17" s="240">
        <v>42101</v>
      </c>
      <c r="B17" s="266" t="s">
        <v>21</v>
      </c>
      <c r="C17" s="338">
        <v>25</v>
      </c>
      <c r="D17" s="34"/>
      <c r="E17" s="34">
        <f>F17-G17</f>
        <v>5500</v>
      </c>
      <c r="F17" s="61">
        <v>6600</v>
      </c>
      <c r="G17" s="35">
        <f>F17*1/6</f>
        <v>1100</v>
      </c>
      <c r="H17" s="34"/>
      <c r="I17" s="390">
        <v>42113</v>
      </c>
      <c r="J17" s="36" t="s">
        <v>22</v>
      </c>
      <c r="K17" s="34">
        <v>6600</v>
      </c>
      <c r="L17" s="34" t="s">
        <v>20</v>
      </c>
      <c r="M17" s="34" t="s">
        <v>20</v>
      </c>
      <c r="O17" s="109" t="s">
        <v>20</v>
      </c>
    </row>
    <row r="18" spans="1:15">
      <c r="A18" s="240">
        <v>42103</v>
      </c>
      <c r="B18" s="266" t="s">
        <v>21</v>
      </c>
      <c r="C18" s="338">
        <v>26</v>
      </c>
      <c r="D18" s="34"/>
      <c r="E18" s="34">
        <f>F18-G18</f>
        <v>4500</v>
      </c>
      <c r="F18" s="61">
        <v>5400</v>
      </c>
      <c r="G18" s="35">
        <f t="shared" ref="G18:G41" si="0">F18*1/6</f>
        <v>900</v>
      </c>
      <c r="H18" s="34"/>
      <c r="I18" s="390">
        <v>42120</v>
      </c>
      <c r="J18" s="36" t="s">
        <v>23</v>
      </c>
      <c r="K18" s="34"/>
      <c r="L18" s="34">
        <v>7.5</v>
      </c>
      <c r="M18" s="34"/>
      <c r="O18" s="109"/>
    </row>
    <row r="19" spans="1:15">
      <c r="A19" s="31"/>
      <c r="B19" s="59"/>
      <c r="C19" s="60"/>
      <c r="D19" s="34">
        <v>0</v>
      </c>
      <c r="E19" s="34">
        <v>0</v>
      </c>
      <c r="F19" s="61"/>
      <c r="G19" s="35">
        <f t="shared" si="0"/>
        <v>0</v>
      </c>
      <c r="H19" s="34"/>
      <c r="I19" s="390">
        <v>42121</v>
      </c>
      <c r="J19" s="36" t="s">
        <v>24</v>
      </c>
      <c r="K19" s="34" t="s">
        <v>20</v>
      </c>
      <c r="L19" s="34"/>
      <c r="M19" s="34"/>
      <c r="N19" s="339">
        <v>2000</v>
      </c>
      <c r="O19" s="109"/>
    </row>
    <row r="20" spans="1:15">
      <c r="A20" s="240">
        <v>42109</v>
      </c>
      <c r="B20" s="59" t="s">
        <v>195</v>
      </c>
      <c r="C20" s="60" t="s">
        <v>192</v>
      </c>
      <c r="D20" s="34">
        <v>0</v>
      </c>
      <c r="E20" s="34">
        <f>F20-G20</f>
        <v>2500</v>
      </c>
      <c r="F20" s="61">
        <v>2500</v>
      </c>
      <c r="G20" s="35"/>
      <c r="H20" s="34"/>
      <c r="I20" s="390">
        <v>42122</v>
      </c>
      <c r="J20" s="36" t="s">
        <v>25</v>
      </c>
      <c r="K20" s="34" t="s">
        <v>20</v>
      </c>
      <c r="L20" s="34"/>
      <c r="M20" s="34"/>
      <c r="O20" s="109">
        <v>16</v>
      </c>
    </row>
    <row r="21" spans="1:15">
      <c r="A21" s="240">
        <v>42124</v>
      </c>
      <c r="B21" s="59" t="s">
        <v>194</v>
      </c>
      <c r="C21" s="60" t="s">
        <v>193</v>
      </c>
      <c r="D21" s="34">
        <v>0</v>
      </c>
      <c r="E21" s="34"/>
      <c r="F21" s="61">
        <v>500</v>
      </c>
      <c r="G21" s="35">
        <v>500</v>
      </c>
      <c r="H21" s="34"/>
      <c r="I21" s="62"/>
      <c r="J21" s="36"/>
      <c r="K21" s="34"/>
      <c r="L21" s="34"/>
      <c r="M21" s="34"/>
      <c r="O21" s="109"/>
    </row>
    <row r="22" spans="1:15">
      <c r="A22" s="31"/>
      <c r="B22" s="59"/>
      <c r="C22" s="60"/>
      <c r="D22" s="34">
        <f>IF(E9="y",F22-G22,0)</f>
        <v>0</v>
      </c>
      <c r="E22" s="34">
        <f>IF(E9="y",,F22-G22)</f>
        <v>0</v>
      </c>
      <c r="F22" s="61">
        <v>0</v>
      </c>
      <c r="G22" s="35">
        <f t="shared" si="0"/>
        <v>0</v>
      </c>
      <c r="H22" s="34"/>
      <c r="I22" s="62"/>
      <c r="J22" s="36"/>
      <c r="K22" s="34"/>
      <c r="L22" s="34"/>
      <c r="M22" s="34"/>
      <c r="N22" s="34"/>
      <c r="O22" s="109"/>
    </row>
    <row r="23" spans="1:15">
      <c r="A23" s="31"/>
      <c r="B23" s="59"/>
      <c r="C23" s="60"/>
      <c r="D23" s="34">
        <f>IF(E9="y",F23-G23,0)</f>
        <v>0</v>
      </c>
      <c r="E23" s="34">
        <f>IF(E9="y",,F23-G23)</f>
        <v>0</v>
      </c>
      <c r="F23" s="61"/>
      <c r="G23" s="35">
        <f t="shared" si="0"/>
        <v>0</v>
      </c>
      <c r="H23" s="34"/>
      <c r="I23" s="62"/>
      <c r="J23" s="36"/>
      <c r="K23" s="34"/>
      <c r="L23" s="34"/>
      <c r="M23" s="34"/>
      <c r="N23" s="34"/>
      <c r="O23" s="109"/>
    </row>
    <row r="24" spans="1:15">
      <c r="A24" s="31"/>
      <c r="B24" s="59"/>
      <c r="C24" s="60"/>
      <c r="D24" s="34">
        <f>IF(E9="y",F24-G24,0)</f>
        <v>0</v>
      </c>
      <c r="E24" s="34">
        <f>IF(E9="y",,F24-G24)</f>
        <v>0</v>
      </c>
      <c r="F24" s="61">
        <v>0</v>
      </c>
      <c r="G24" s="35">
        <f t="shared" si="0"/>
        <v>0</v>
      </c>
      <c r="H24" s="34"/>
      <c r="I24" s="62"/>
      <c r="J24" s="36"/>
      <c r="K24" s="34"/>
      <c r="L24" s="34"/>
      <c r="M24" s="34"/>
      <c r="N24" s="34"/>
      <c r="O24" s="109"/>
    </row>
    <row r="25" spans="1:15">
      <c r="A25" s="31"/>
      <c r="B25" s="59"/>
      <c r="C25" s="60"/>
      <c r="D25" s="34">
        <f>IF(E9="y",F25-G25,0)</f>
        <v>0</v>
      </c>
      <c r="E25" s="34">
        <f>IF(E9="y",,F25-G25)</f>
        <v>0</v>
      </c>
      <c r="F25" s="61"/>
      <c r="G25" s="35">
        <f t="shared" si="0"/>
        <v>0</v>
      </c>
      <c r="H25" s="34"/>
      <c r="I25" s="62"/>
      <c r="J25" s="36"/>
      <c r="K25" s="34"/>
      <c r="L25" s="34"/>
      <c r="M25" s="34"/>
      <c r="N25" s="34"/>
      <c r="O25" s="109"/>
    </row>
    <row r="26" spans="1:15">
      <c r="A26" s="31"/>
      <c r="B26" s="59"/>
      <c r="C26" s="60"/>
      <c r="D26" s="34">
        <f>IF(E9="y",F26-G26,0)</f>
        <v>0</v>
      </c>
      <c r="E26" s="34">
        <f>IF(E9="y",,F26-G26)</f>
        <v>0</v>
      </c>
      <c r="F26" s="61"/>
      <c r="G26" s="35">
        <f t="shared" si="0"/>
        <v>0</v>
      </c>
      <c r="H26" s="34"/>
      <c r="I26" s="62"/>
      <c r="J26" s="36"/>
      <c r="K26" s="34"/>
      <c r="L26" s="34"/>
      <c r="M26" s="34"/>
      <c r="N26" s="34"/>
      <c r="O26" s="109"/>
    </row>
    <row r="27" spans="1:15">
      <c r="A27" s="31"/>
      <c r="B27" s="59"/>
      <c r="C27" s="60"/>
      <c r="D27" s="34">
        <f>IF(E9="y",F27-G27,0)</f>
        <v>0</v>
      </c>
      <c r="E27" s="34">
        <f>IF(E9="y",,F27-G27)</f>
        <v>0</v>
      </c>
      <c r="F27" s="61"/>
      <c r="G27" s="35">
        <f t="shared" si="0"/>
        <v>0</v>
      </c>
      <c r="H27" s="34"/>
      <c r="I27" s="62"/>
      <c r="J27" s="36"/>
      <c r="K27" s="34"/>
      <c r="L27" s="34"/>
      <c r="M27" s="34"/>
      <c r="N27" s="34"/>
      <c r="O27" s="109"/>
    </row>
    <row r="28" spans="1:15">
      <c r="A28" s="31"/>
      <c r="B28" s="59"/>
      <c r="C28" s="60"/>
      <c r="D28" s="34">
        <f>IF(E9="y",F28-G28,0)</f>
        <v>0</v>
      </c>
      <c r="E28" s="34">
        <f>IF(E9="y",,F28-G28)</f>
        <v>0</v>
      </c>
      <c r="F28" s="61"/>
      <c r="G28" s="35">
        <f t="shared" si="0"/>
        <v>0</v>
      </c>
      <c r="H28" s="34"/>
      <c r="I28" s="62"/>
      <c r="J28" s="36"/>
      <c r="K28" s="34"/>
      <c r="L28" s="34"/>
      <c r="M28" s="34"/>
      <c r="N28" s="34"/>
      <c r="O28" s="109"/>
    </row>
    <row r="29" spans="1:15">
      <c r="A29" s="31"/>
      <c r="B29" s="59"/>
      <c r="C29" s="60"/>
      <c r="D29" s="34">
        <f>IF(E9="y",F29-G29,0)</f>
        <v>0</v>
      </c>
      <c r="E29" s="34">
        <f>IF(E9="y",,F29-G29)</f>
        <v>0</v>
      </c>
      <c r="F29" s="61">
        <v>0</v>
      </c>
      <c r="G29" s="35">
        <f t="shared" si="0"/>
        <v>0</v>
      </c>
      <c r="H29" s="34"/>
      <c r="I29" s="62"/>
      <c r="J29" s="36"/>
      <c r="K29" s="34"/>
      <c r="L29" s="34"/>
      <c r="M29" s="34"/>
      <c r="N29" s="34"/>
      <c r="O29" s="109"/>
    </row>
    <row r="30" spans="1:15">
      <c r="A30" s="31"/>
      <c r="B30" s="74">
        <f>IF(E9="Both","Enter manual values here",0)</f>
        <v>0</v>
      </c>
      <c r="C30" s="60"/>
      <c r="D30" s="34"/>
      <c r="E30" s="34">
        <v>0</v>
      </c>
      <c r="F30" s="61">
        <v>0</v>
      </c>
      <c r="G30" s="35">
        <f t="shared" si="0"/>
        <v>0</v>
      </c>
      <c r="H30" s="34"/>
      <c r="I30" s="62"/>
      <c r="J30" s="36"/>
      <c r="K30" s="34"/>
      <c r="L30" s="34"/>
      <c r="M30" s="34"/>
      <c r="N30" s="34"/>
      <c r="O30" s="109"/>
    </row>
    <row r="31" spans="1:15">
      <c r="A31" s="31"/>
      <c r="B31" s="59"/>
      <c r="C31" s="60"/>
      <c r="D31" s="34">
        <v>0</v>
      </c>
      <c r="E31" s="34" t="s">
        <v>20</v>
      </c>
      <c r="F31" s="61">
        <v>0</v>
      </c>
      <c r="G31" s="35">
        <f t="shared" si="0"/>
        <v>0</v>
      </c>
      <c r="H31" s="34"/>
      <c r="I31" s="62"/>
      <c r="J31" s="36"/>
      <c r="K31" s="34"/>
      <c r="L31" s="34"/>
      <c r="M31" s="34"/>
      <c r="N31" s="34"/>
      <c r="O31" s="109"/>
    </row>
    <row r="32" spans="1:15">
      <c r="A32" s="340"/>
      <c r="B32" s="59"/>
      <c r="C32" s="60"/>
      <c r="D32" s="34">
        <v>0</v>
      </c>
      <c r="E32" s="34"/>
      <c r="F32" s="61">
        <v>0</v>
      </c>
      <c r="G32" s="35">
        <f t="shared" si="0"/>
        <v>0</v>
      </c>
      <c r="H32" s="34"/>
      <c r="I32" s="62"/>
      <c r="J32" s="36"/>
      <c r="K32" s="34"/>
      <c r="L32" s="34"/>
      <c r="M32" s="34"/>
      <c r="N32" s="34"/>
      <c r="O32" s="109"/>
    </row>
    <row r="33" spans="1:15">
      <c r="A33" s="340"/>
      <c r="B33" s="59"/>
      <c r="C33" s="60"/>
      <c r="D33" s="34">
        <v>0</v>
      </c>
      <c r="E33" s="34"/>
      <c r="F33" s="61">
        <v>0</v>
      </c>
      <c r="G33" s="35">
        <f t="shared" si="0"/>
        <v>0</v>
      </c>
      <c r="H33" s="34"/>
      <c r="I33" s="62"/>
      <c r="J33" s="36"/>
      <c r="K33" s="34"/>
      <c r="L33" s="34"/>
      <c r="M33" s="34"/>
      <c r="N33" s="34"/>
      <c r="O33" s="109"/>
    </row>
    <row r="34" spans="1:15">
      <c r="A34" s="340"/>
      <c r="B34" s="59"/>
      <c r="C34" s="60"/>
      <c r="D34" s="34"/>
      <c r="E34" s="34"/>
      <c r="F34" s="61"/>
      <c r="G34" s="35">
        <f t="shared" si="0"/>
        <v>0</v>
      </c>
      <c r="H34" s="34"/>
      <c r="I34" s="62"/>
      <c r="J34" s="36"/>
      <c r="K34" s="34"/>
      <c r="L34" s="34"/>
      <c r="M34" s="34"/>
      <c r="N34" s="34"/>
      <c r="O34" s="109"/>
    </row>
    <row r="35" spans="1:15">
      <c r="A35" s="340"/>
      <c r="B35" s="59"/>
      <c r="C35" s="60"/>
      <c r="D35" s="34"/>
      <c r="E35" s="34"/>
      <c r="F35" s="61"/>
      <c r="G35" s="35">
        <f t="shared" si="0"/>
        <v>0</v>
      </c>
      <c r="H35" s="34"/>
      <c r="I35" s="62"/>
      <c r="J35" s="36"/>
      <c r="K35" s="34"/>
      <c r="L35" s="34"/>
      <c r="M35" s="34"/>
      <c r="N35" s="34"/>
      <c r="O35" s="109"/>
    </row>
    <row r="36" spans="1:15">
      <c r="A36" s="340"/>
      <c r="B36" s="59"/>
      <c r="C36" s="60"/>
      <c r="D36" s="34"/>
      <c r="E36" s="34"/>
      <c r="F36" s="61"/>
      <c r="G36" s="35">
        <f t="shared" si="0"/>
        <v>0</v>
      </c>
      <c r="H36" s="34"/>
      <c r="I36" s="62"/>
      <c r="J36" s="36"/>
      <c r="K36" s="34"/>
      <c r="L36" s="34"/>
      <c r="M36" s="34"/>
      <c r="N36" s="34"/>
      <c r="O36" s="109"/>
    </row>
    <row r="37" spans="1:15">
      <c r="A37" s="340"/>
      <c r="B37" s="59"/>
      <c r="C37" s="60"/>
      <c r="D37" s="34"/>
      <c r="E37" s="34"/>
      <c r="F37" s="61"/>
      <c r="G37" s="35">
        <f t="shared" si="0"/>
        <v>0</v>
      </c>
      <c r="H37" s="34"/>
      <c r="I37" s="62"/>
      <c r="J37" s="36"/>
      <c r="K37" s="34"/>
      <c r="L37" s="34"/>
      <c r="M37" s="34"/>
      <c r="N37" s="34"/>
      <c r="O37" s="109"/>
    </row>
    <row r="38" spans="1:15">
      <c r="A38" s="340"/>
      <c r="B38" s="59"/>
      <c r="C38" s="60"/>
      <c r="D38" s="34"/>
      <c r="E38" s="34"/>
      <c r="F38" s="61"/>
      <c r="G38" s="35">
        <f t="shared" si="0"/>
        <v>0</v>
      </c>
      <c r="H38" s="34"/>
      <c r="I38" s="62"/>
      <c r="J38" s="36"/>
      <c r="K38" s="34"/>
      <c r="L38" s="34"/>
      <c r="M38" s="34"/>
      <c r="N38" s="34"/>
      <c r="O38" s="109"/>
    </row>
    <row r="39" spans="1:15">
      <c r="A39" s="340"/>
      <c r="B39" s="59"/>
      <c r="C39" s="60"/>
      <c r="D39" s="34"/>
      <c r="E39" s="34"/>
      <c r="F39" s="61"/>
      <c r="G39" s="35">
        <f t="shared" si="0"/>
        <v>0</v>
      </c>
      <c r="H39" s="34"/>
      <c r="I39" s="62"/>
      <c r="J39" s="36"/>
      <c r="K39" s="34" t="s">
        <v>20</v>
      </c>
      <c r="L39" s="34"/>
      <c r="M39" s="34"/>
      <c r="N39" s="34"/>
      <c r="O39" s="109"/>
    </row>
    <row r="40" spans="1:15">
      <c r="A40" s="340"/>
      <c r="B40" s="59"/>
      <c r="C40" s="60"/>
      <c r="D40" s="34"/>
      <c r="E40" s="34"/>
      <c r="F40" s="61"/>
      <c r="G40" s="35">
        <f t="shared" si="0"/>
        <v>0</v>
      </c>
      <c r="H40" s="34"/>
      <c r="I40" s="62"/>
      <c r="J40" s="36"/>
      <c r="K40" s="34"/>
      <c r="L40" s="34"/>
      <c r="M40" s="34"/>
      <c r="N40" s="34"/>
      <c r="O40" s="109"/>
    </row>
    <row r="41" spans="1:15" ht="13.5" thickBot="1">
      <c r="A41" s="341"/>
      <c r="B41" s="315"/>
      <c r="C41" s="316"/>
      <c r="D41" s="34"/>
      <c r="E41" s="34"/>
      <c r="F41" s="61"/>
      <c r="G41" s="35">
        <f t="shared" si="0"/>
        <v>0</v>
      </c>
      <c r="H41" s="34"/>
      <c r="I41" s="342"/>
      <c r="J41" s="343"/>
      <c r="K41" s="34"/>
      <c r="L41" s="317"/>
      <c r="M41" s="317"/>
      <c r="N41" s="317"/>
      <c r="O41" s="109"/>
    </row>
    <row r="42" spans="1:15" s="10" customFormat="1" ht="14.25">
      <c r="A42" s="89" t="s">
        <v>26</v>
      </c>
      <c r="B42" s="90"/>
      <c r="C42" s="91"/>
      <c r="D42" s="92">
        <f>SUM(D17:D41)</f>
        <v>0</v>
      </c>
      <c r="E42" s="92">
        <f>SUM(E17:E41)</f>
        <v>12500</v>
      </c>
      <c r="F42" s="92">
        <f>SUM(F17:F41)</f>
        <v>15000</v>
      </c>
      <c r="G42" s="92">
        <f>SUM(G17:G41)</f>
        <v>2500</v>
      </c>
      <c r="H42" s="37"/>
      <c r="I42" s="97" t="s">
        <v>26</v>
      </c>
      <c r="J42" s="91"/>
      <c r="K42" s="92">
        <f>SUM(K16:K41)</f>
        <v>6600</v>
      </c>
      <c r="L42" s="98">
        <f>SUM(L16:L41)</f>
        <v>7.5</v>
      </c>
      <c r="M42" s="98">
        <f>SUM(M16:M41)</f>
        <v>0</v>
      </c>
      <c r="N42" s="98">
        <f>SUM(N16:N41)</f>
        <v>2000</v>
      </c>
      <c r="O42" s="92">
        <f>SUM(O16:O41)</f>
        <v>16</v>
      </c>
    </row>
    <row r="43" spans="1:15" s="10" customFormat="1" ht="13.5" thickBot="1">
      <c r="A43" s="38" t="s">
        <v>27</v>
      </c>
      <c r="B43" s="38"/>
      <c r="C43" s="38"/>
      <c r="D43" s="39">
        <f>SUM(D16:D41)</f>
        <v>0</v>
      </c>
      <c r="E43" s="39">
        <f>SUM(E16:E41)</f>
        <v>12500</v>
      </c>
      <c r="F43" s="39">
        <f>SUM(F16:F41)</f>
        <v>15000</v>
      </c>
      <c r="G43" s="39">
        <f>SUM(G16:G41)</f>
        <v>2500</v>
      </c>
      <c r="H43" s="37"/>
      <c r="I43" s="39" t="s">
        <v>27</v>
      </c>
      <c r="J43" s="38"/>
      <c r="K43" s="39">
        <f>SUM(K16:K41)</f>
        <v>6600</v>
      </c>
      <c r="L43" s="39">
        <f>SUM(L16:L41)</f>
        <v>7.5</v>
      </c>
      <c r="M43" s="39">
        <f>SUM(M16:M41)</f>
        <v>0</v>
      </c>
      <c r="N43" s="39">
        <f>SUM(N16:N41)</f>
        <v>2000</v>
      </c>
      <c r="O43" s="64">
        <f>SUM(O16:O41)</f>
        <v>16</v>
      </c>
    </row>
    <row r="44" spans="1:15">
      <c r="A44" s="16"/>
      <c r="B44" s="17"/>
      <c r="C44" s="16"/>
      <c r="D44" s="18"/>
      <c r="E44" s="18"/>
      <c r="F44" s="18"/>
      <c r="G44" s="18"/>
      <c r="H44" s="18"/>
      <c r="I44" s="18"/>
      <c r="J44" s="18"/>
      <c r="K44" s="18"/>
      <c r="L44" s="18"/>
      <c r="M44" s="18"/>
    </row>
    <row r="45" spans="1:15" ht="15.75" hidden="1">
      <c r="A45" s="104"/>
      <c r="B45" s="55"/>
      <c r="C45" s="16"/>
      <c r="D45" s="104"/>
      <c r="E45" s="18"/>
      <c r="F45" s="18"/>
      <c r="G45" s="18"/>
      <c r="H45" s="18"/>
      <c r="I45" s="18"/>
      <c r="J45" s="18"/>
      <c r="K45" s="18"/>
      <c r="L45" s="18"/>
      <c r="M45" s="18"/>
    </row>
    <row r="46" spans="1:15" hidden="1">
      <c r="A46" s="16"/>
      <c r="B46" s="17"/>
      <c r="C46" s="16"/>
      <c r="D46" s="18"/>
      <c r="E46" s="18"/>
      <c r="F46" s="18"/>
      <c r="G46" s="18"/>
      <c r="H46" s="18"/>
      <c r="I46" s="18"/>
      <c r="J46" s="18"/>
      <c r="K46" s="18"/>
      <c r="L46" s="18"/>
      <c r="M46" s="18"/>
    </row>
    <row r="47" spans="1:15" ht="18" hidden="1">
      <c r="A47" s="66"/>
      <c r="B47" s="17"/>
      <c r="C47" s="75"/>
      <c r="D47" s="344"/>
      <c r="E47" s="34"/>
      <c r="F47" s="70"/>
      <c r="G47" s="70"/>
      <c r="H47" s="18"/>
      <c r="I47" s="18"/>
      <c r="J47" s="18"/>
      <c r="K47" s="18"/>
      <c r="L47" s="18"/>
      <c r="M47" s="18"/>
    </row>
    <row r="48" spans="1:15" ht="18" hidden="1">
      <c r="A48" s="66"/>
      <c r="B48" s="17"/>
      <c r="C48" s="75"/>
      <c r="D48" s="70"/>
      <c r="E48" s="70"/>
      <c r="F48" s="70"/>
      <c r="G48" s="70"/>
      <c r="H48" s="18"/>
      <c r="I48" s="18"/>
      <c r="J48" s="18"/>
      <c r="K48" s="18"/>
      <c r="L48" s="18"/>
      <c r="M48" s="18"/>
    </row>
    <row r="49" spans="1:29" hidden="1">
      <c r="A49" s="16"/>
      <c r="B49" s="17"/>
      <c r="C49" s="16"/>
      <c r="D49" s="70"/>
      <c r="E49" s="70"/>
      <c r="F49" s="70"/>
      <c r="G49" s="70"/>
      <c r="H49" s="18"/>
      <c r="I49" s="18"/>
      <c r="J49" s="18"/>
      <c r="K49" s="18"/>
      <c r="L49" s="18"/>
      <c r="M49" s="18"/>
    </row>
    <row r="50" spans="1:29" hidden="1">
      <c r="A50" s="16"/>
      <c r="B50" s="17"/>
      <c r="C50" s="16"/>
      <c r="D50" s="70"/>
      <c r="E50" s="70"/>
      <c r="F50" s="70"/>
      <c r="G50" s="70"/>
      <c r="H50" s="18"/>
      <c r="I50" s="18"/>
      <c r="J50" s="18"/>
      <c r="K50" s="18"/>
      <c r="L50" s="18"/>
      <c r="M50" s="18"/>
    </row>
    <row r="51" spans="1:29" hidden="1">
      <c r="A51" s="67"/>
      <c r="B51" s="17"/>
      <c r="C51" s="70"/>
      <c r="D51" s="70"/>
      <c r="E51" s="70"/>
      <c r="F51" s="70"/>
      <c r="G51" s="70"/>
      <c r="H51" s="18"/>
      <c r="I51" s="18"/>
      <c r="J51" s="18"/>
      <c r="K51" s="18"/>
      <c r="L51" s="18"/>
      <c r="M51" s="18"/>
    </row>
    <row r="52" spans="1:29" hidden="1">
      <c r="A52" s="16"/>
      <c r="B52" s="17"/>
      <c r="C52" s="53"/>
      <c r="D52" s="18"/>
      <c r="E52" s="18"/>
      <c r="F52" s="18"/>
      <c r="G52" s="18"/>
      <c r="H52" s="18"/>
      <c r="I52" s="18"/>
      <c r="J52" s="18"/>
      <c r="K52" s="18"/>
      <c r="L52" s="18"/>
      <c r="M52" s="18"/>
    </row>
    <row r="53" spans="1:29" hidden="1">
      <c r="A53" s="16"/>
      <c r="B53" s="17"/>
      <c r="C53" s="53"/>
      <c r="D53" s="18"/>
      <c r="E53" s="18"/>
      <c r="F53" s="18"/>
      <c r="G53" s="18"/>
      <c r="H53" s="18"/>
      <c r="I53" s="18"/>
      <c r="J53" s="18"/>
      <c r="K53" s="18"/>
      <c r="L53" s="18"/>
      <c r="M53" s="18"/>
    </row>
    <row r="54" spans="1:29" ht="18" hidden="1">
      <c r="A54" s="66"/>
      <c r="B54" s="17"/>
      <c r="C54" s="53"/>
      <c r="D54" s="18"/>
      <c r="E54" s="18"/>
      <c r="F54" s="18"/>
      <c r="G54" s="18"/>
      <c r="H54" s="18"/>
      <c r="I54" s="18"/>
      <c r="J54" s="18"/>
      <c r="K54" s="18"/>
      <c r="L54" s="18"/>
      <c r="M54" s="18"/>
    </row>
    <row r="55" spans="1:29" ht="18" hidden="1">
      <c r="A55" s="66"/>
      <c r="B55" s="17"/>
      <c r="C55" s="206"/>
      <c r="D55" s="18"/>
      <c r="E55" s="18"/>
      <c r="F55" s="18"/>
      <c r="G55" s="18"/>
      <c r="H55" s="18"/>
      <c r="I55" s="18"/>
      <c r="J55" s="18"/>
      <c r="K55" s="18"/>
      <c r="L55" s="18"/>
      <c r="M55" s="18"/>
    </row>
    <row r="56" spans="1:29" hidden="1">
      <c r="A56" s="16"/>
      <c r="B56" s="17"/>
      <c r="C56" s="40"/>
      <c r="D56" s="18"/>
      <c r="E56" s="18"/>
      <c r="F56" s="18"/>
      <c r="G56" s="18"/>
      <c r="H56" s="18"/>
      <c r="I56" s="18"/>
      <c r="J56" s="18"/>
      <c r="K56" s="18"/>
      <c r="L56" s="18"/>
      <c r="M56" s="18"/>
    </row>
    <row r="57" spans="1:29" hidden="1">
      <c r="A57" s="16"/>
      <c r="B57" s="17"/>
      <c r="C57" s="16"/>
      <c r="D57" s="18"/>
      <c r="E57" s="18"/>
      <c r="F57" s="18"/>
      <c r="G57" s="18"/>
      <c r="H57" s="18"/>
      <c r="I57" s="18"/>
      <c r="J57" s="18"/>
      <c r="K57" s="18"/>
      <c r="L57" s="18"/>
      <c r="M57" s="18"/>
    </row>
    <row r="58" spans="1:29" ht="18" hidden="1">
      <c r="A58" s="66"/>
      <c r="B58" s="17"/>
      <c r="C58" s="206"/>
      <c r="D58" s="18"/>
      <c r="E58" s="18"/>
      <c r="F58" s="18"/>
      <c r="G58" s="18"/>
      <c r="H58" s="18"/>
      <c r="I58" s="18"/>
      <c r="J58" s="18"/>
      <c r="K58" s="18"/>
      <c r="L58" s="18"/>
      <c r="M58" s="18"/>
    </row>
    <row r="59" spans="1:29" hidden="1">
      <c r="A59" s="16"/>
      <c r="B59" s="17"/>
      <c r="C59" s="16"/>
      <c r="D59" s="18"/>
      <c r="E59" s="18"/>
      <c r="F59" s="18"/>
      <c r="G59" s="18"/>
      <c r="H59" s="18"/>
      <c r="I59" s="18"/>
      <c r="J59" s="18"/>
      <c r="K59" s="18"/>
      <c r="L59" s="18"/>
      <c r="M59" s="18"/>
    </row>
    <row r="60" spans="1:29">
      <c r="A60" s="16"/>
      <c r="B60" s="17"/>
      <c r="C60" s="16"/>
      <c r="D60" s="18"/>
      <c r="E60" s="18"/>
      <c r="F60" s="18"/>
      <c r="G60" s="18"/>
      <c r="H60" s="18"/>
      <c r="I60" s="18"/>
      <c r="J60" s="18"/>
      <c r="K60" s="18"/>
      <c r="L60" s="18"/>
      <c r="M60" s="18"/>
    </row>
    <row r="61" spans="1:29">
      <c r="A61" s="16"/>
      <c r="B61" s="17"/>
      <c r="C61" s="16"/>
      <c r="D61" s="18"/>
      <c r="E61" s="18"/>
      <c r="F61" s="18"/>
      <c r="G61" s="18"/>
      <c r="H61" s="18"/>
      <c r="I61" s="18"/>
      <c r="J61" s="18"/>
      <c r="K61" s="18"/>
      <c r="L61" s="18"/>
      <c r="M61" s="18"/>
    </row>
    <row r="62" spans="1:29" ht="13.5" thickBot="1">
      <c r="D62" s="7"/>
      <c r="E62" s="7"/>
      <c r="F62" s="7"/>
      <c r="G62" s="7"/>
      <c r="H62" s="7"/>
      <c r="I62" s="7"/>
      <c r="J62" s="7"/>
      <c r="K62" s="7"/>
      <c r="L62" s="7"/>
      <c r="M62" s="7"/>
    </row>
    <row r="63" spans="1:29" ht="21" thickBot="1">
      <c r="A63" s="93" t="s">
        <v>32</v>
      </c>
      <c r="B63" s="94"/>
      <c r="C63" s="94"/>
      <c r="D63" s="94"/>
      <c r="E63" s="94"/>
      <c r="F63" s="94"/>
      <c r="G63" s="94"/>
      <c r="H63" s="94"/>
      <c r="I63" s="94"/>
      <c r="J63" s="94"/>
      <c r="K63" s="94"/>
      <c r="L63" s="94"/>
      <c r="M63" s="94"/>
      <c r="N63" s="94"/>
      <c r="O63" s="94"/>
      <c r="P63" s="94"/>
      <c r="Q63" s="94"/>
      <c r="R63" s="95"/>
      <c r="S63" s="96"/>
      <c r="T63" s="96"/>
      <c r="U63" s="96"/>
      <c r="V63" s="96"/>
      <c r="W63" s="96"/>
      <c r="X63" s="96"/>
      <c r="Y63" s="96"/>
      <c r="Z63" s="96"/>
      <c r="AA63" s="96"/>
      <c r="AB63" s="96"/>
      <c r="AC63" s="96"/>
    </row>
    <row r="64" spans="1:29" ht="15">
      <c r="A64" s="17"/>
      <c r="B64" s="17"/>
      <c r="C64" s="24"/>
      <c r="D64" s="24"/>
      <c r="E64" s="24"/>
      <c r="F64" s="24"/>
      <c r="G64" s="24"/>
      <c r="H64" s="24"/>
      <c r="I64" s="24"/>
      <c r="J64" s="24"/>
      <c r="K64" s="24"/>
      <c r="L64" s="24"/>
      <c r="M64" s="24"/>
      <c r="N64" s="24"/>
      <c r="O64" s="24"/>
      <c r="P64" s="24"/>
      <c r="Q64" s="24"/>
      <c r="R64" s="24"/>
      <c r="S64" s="24"/>
      <c r="T64" s="24"/>
      <c r="U64" s="24"/>
      <c r="V64" s="24"/>
      <c r="W64" s="24"/>
      <c r="X64" s="24"/>
      <c r="Y64" s="24"/>
      <c r="Z64" s="25" t="s">
        <v>20</v>
      </c>
      <c r="AA64" s="24"/>
      <c r="AB64" s="24"/>
      <c r="AC64" s="24"/>
    </row>
    <row r="65" spans="1:61">
      <c r="A65" s="17"/>
      <c r="B65" s="17"/>
      <c r="C65" s="24" t="s">
        <v>20</v>
      </c>
      <c r="D65" s="24"/>
      <c r="E65" s="24"/>
      <c r="F65" s="24"/>
      <c r="G65" s="24"/>
      <c r="H65" s="24" t="s">
        <v>20</v>
      </c>
      <c r="I65" s="24" t="s">
        <v>156</v>
      </c>
      <c r="J65" s="24" t="s">
        <v>125</v>
      </c>
      <c r="K65" s="24"/>
      <c r="L65" s="24"/>
      <c r="M65" s="24"/>
      <c r="N65" s="24"/>
      <c r="O65" s="24"/>
      <c r="P65" s="24"/>
      <c r="Q65" s="24"/>
      <c r="R65" s="24" t="s">
        <v>157</v>
      </c>
      <c r="S65" s="24"/>
      <c r="T65" s="24" t="s">
        <v>119</v>
      </c>
      <c r="U65" s="24" t="s">
        <v>20</v>
      </c>
      <c r="W65" s="24"/>
      <c r="X65" s="156"/>
      <c r="Y65" s="156"/>
      <c r="Z65" s="156"/>
      <c r="AA65" s="156"/>
      <c r="AB65" s="156"/>
      <c r="AC65" s="24"/>
    </row>
    <row r="66" spans="1:61">
      <c r="A66" s="17"/>
      <c r="B66" s="17"/>
      <c r="C66" s="24"/>
      <c r="D66" s="24" t="s">
        <v>34</v>
      </c>
      <c r="E66" s="24" t="s">
        <v>35</v>
      </c>
      <c r="F66" s="24" t="s">
        <v>34</v>
      </c>
      <c r="G66" s="24"/>
      <c r="H66" s="24" t="s">
        <v>134</v>
      </c>
      <c r="I66" s="24" t="s">
        <v>36</v>
      </c>
      <c r="J66" s="24" t="s">
        <v>126</v>
      </c>
      <c r="K66" s="24" t="s">
        <v>34</v>
      </c>
      <c r="L66" s="24"/>
      <c r="M66" s="156" t="s">
        <v>162</v>
      </c>
      <c r="N66" s="24"/>
      <c r="O66" s="24" t="s">
        <v>131</v>
      </c>
      <c r="P66" s="24" t="s">
        <v>112</v>
      </c>
      <c r="Q66" s="24" t="s">
        <v>114</v>
      </c>
      <c r="R66" s="24" t="s">
        <v>128</v>
      </c>
      <c r="S66" s="24" t="s">
        <v>158</v>
      </c>
      <c r="T66" s="24" t="s">
        <v>37</v>
      </c>
      <c r="U66" s="24"/>
      <c r="V66" s="24" t="s">
        <v>115</v>
      </c>
      <c r="W66" s="24" t="s">
        <v>117</v>
      </c>
      <c r="X66" s="156" t="s">
        <v>76</v>
      </c>
      <c r="Y66" s="24" t="s">
        <v>159</v>
      </c>
      <c r="Z66" s="156" t="s">
        <v>146</v>
      </c>
      <c r="AA66" s="156" t="s">
        <v>147</v>
      </c>
      <c r="AB66" s="156" t="s">
        <v>151</v>
      </c>
      <c r="AC66" s="24"/>
    </row>
    <row r="67" spans="1:61" ht="13.5" thickBot="1">
      <c r="A67" s="41" t="s">
        <v>11</v>
      </c>
      <c r="B67" s="41" t="s">
        <v>13</v>
      </c>
      <c r="C67" s="29" t="s">
        <v>38</v>
      </c>
      <c r="D67" s="29" t="s">
        <v>39</v>
      </c>
      <c r="E67" s="29" t="s">
        <v>40</v>
      </c>
      <c r="F67" s="29" t="s">
        <v>155</v>
      </c>
      <c r="G67" s="42" t="s">
        <v>17</v>
      </c>
      <c r="H67" s="29" t="s">
        <v>150</v>
      </c>
      <c r="I67" s="29" t="s">
        <v>42</v>
      </c>
      <c r="J67" s="29" t="s">
        <v>127</v>
      </c>
      <c r="K67" s="29" t="s">
        <v>44</v>
      </c>
      <c r="L67" s="157" t="s">
        <v>161</v>
      </c>
      <c r="M67" s="157" t="s">
        <v>160</v>
      </c>
      <c r="N67" s="157" t="s">
        <v>49</v>
      </c>
      <c r="O67" s="29" t="s">
        <v>132</v>
      </c>
      <c r="P67" s="29" t="s">
        <v>45</v>
      </c>
      <c r="Q67" s="29" t="s">
        <v>46</v>
      </c>
      <c r="R67" s="29" t="s">
        <v>129</v>
      </c>
      <c r="S67" s="29" t="s">
        <v>113</v>
      </c>
      <c r="T67" s="29" t="s">
        <v>48</v>
      </c>
      <c r="U67" s="29" t="s">
        <v>50</v>
      </c>
      <c r="V67" s="29" t="s">
        <v>116</v>
      </c>
      <c r="W67" s="29" t="s">
        <v>118</v>
      </c>
      <c r="X67" s="157" t="s">
        <v>19</v>
      </c>
      <c r="Y67" s="29" t="s">
        <v>121</v>
      </c>
      <c r="Z67" s="157" t="s">
        <v>160</v>
      </c>
      <c r="AA67" s="157" t="s">
        <v>148</v>
      </c>
      <c r="AB67" s="157" t="s">
        <v>152</v>
      </c>
      <c r="AC67" s="29" t="s">
        <v>51</v>
      </c>
      <c r="AD67" s="43" t="s">
        <v>52</v>
      </c>
    </row>
    <row r="68" spans="1:61">
      <c r="A68" s="340"/>
      <c r="B68" s="345"/>
      <c r="C68" s="45"/>
      <c r="D68" s="45" t="s">
        <v>20</v>
      </c>
      <c r="E68" s="45" t="s">
        <v>20</v>
      </c>
      <c r="F68" s="45" t="s">
        <v>20</v>
      </c>
      <c r="G68" s="45" t="s">
        <v>20</v>
      </c>
      <c r="H68" s="45" t="s">
        <v>20</v>
      </c>
      <c r="I68" s="45" t="s">
        <v>20</v>
      </c>
      <c r="J68" s="45" t="s">
        <v>20</v>
      </c>
      <c r="K68" s="45"/>
      <c r="L68" s="45"/>
      <c r="M68" s="45"/>
      <c r="N68" s="45"/>
      <c r="O68" s="45"/>
      <c r="P68" s="45" t="s">
        <v>20</v>
      </c>
      <c r="Q68" s="45" t="s">
        <v>20</v>
      </c>
      <c r="R68" s="45" t="s">
        <v>20</v>
      </c>
      <c r="S68" s="45" t="s">
        <v>20</v>
      </c>
      <c r="T68" s="45"/>
      <c r="U68" s="45" t="s">
        <v>20</v>
      </c>
      <c r="V68" s="45" t="s">
        <v>20</v>
      </c>
      <c r="W68" s="45"/>
      <c r="X68" s="45"/>
      <c r="Y68" s="45" t="s">
        <v>20</v>
      </c>
      <c r="Z68" s="45"/>
      <c r="AA68" s="45"/>
      <c r="AB68" s="45"/>
      <c r="AC68" s="45"/>
      <c r="AD68" s="207"/>
      <c r="AE68" s="45"/>
      <c r="AF68" s="209"/>
      <c r="AG68" s="49"/>
      <c r="AH68" s="49"/>
      <c r="AI68" s="49"/>
      <c r="AJ68" s="43"/>
    </row>
    <row r="69" spans="1:61">
      <c r="A69" s="391" t="s">
        <v>347</v>
      </c>
      <c r="B69" s="546" t="s">
        <v>410</v>
      </c>
      <c r="C69" s="319"/>
      <c r="D69" s="46" t="s">
        <v>20</v>
      </c>
      <c r="E69" s="61">
        <v>45</v>
      </c>
      <c r="F69" s="322" t="s">
        <v>20</v>
      </c>
      <c r="G69" s="346">
        <v>3</v>
      </c>
      <c r="H69" s="321">
        <v>42</v>
      </c>
      <c r="I69" s="321" t="s">
        <v>20</v>
      </c>
      <c r="J69" s="321" t="s">
        <v>20</v>
      </c>
      <c r="K69" s="61"/>
      <c r="L69" s="61"/>
      <c r="M69" s="61"/>
      <c r="N69" s="61"/>
      <c r="O69" s="61"/>
      <c r="P69" s="61"/>
      <c r="Q69" s="61" t="s">
        <v>20</v>
      </c>
      <c r="R69" s="34"/>
      <c r="S69" s="320"/>
      <c r="T69" s="61"/>
      <c r="U69" s="34" t="s">
        <v>20</v>
      </c>
      <c r="V69" s="34"/>
      <c r="W69" s="320"/>
      <c r="X69" s="34"/>
      <c r="Y69" s="34"/>
      <c r="Z69" s="34"/>
      <c r="AA69" s="34"/>
      <c r="AB69" s="34"/>
      <c r="AC69" s="109"/>
      <c r="AD69" s="47">
        <f t="shared" ref="AD69:AD99" si="1">SUM(G69:AC69)</f>
        <v>45</v>
      </c>
      <c r="AE69" s="48">
        <f t="shared" ref="AE69:AE99" si="2">SUM(D69:F69)</f>
        <v>45</v>
      </c>
      <c r="AF69" s="49">
        <f t="shared" ref="AF69:AF85" si="3">AD69-AE69</f>
        <v>0</v>
      </c>
      <c r="AG69" s="49"/>
      <c r="AH69" s="49"/>
      <c r="AI69" s="49"/>
      <c r="AJ69" s="43"/>
    </row>
    <row r="70" spans="1:61">
      <c r="A70" s="391" t="s">
        <v>348</v>
      </c>
      <c r="B70" s="318" t="s">
        <v>45</v>
      </c>
      <c r="C70" s="319" t="s">
        <v>20</v>
      </c>
      <c r="D70" s="46">
        <v>0</v>
      </c>
      <c r="E70" s="61">
        <v>12</v>
      </c>
      <c r="F70" s="322"/>
      <c r="G70" s="346">
        <v>2</v>
      </c>
      <c r="H70" s="321">
        <v>0</v>
      </c>
      <c r="I70" s="321"/>
      <c r="J70" s="321" t="s">
        <v>20</v>
      </c>
      <c r="K70" s="61"/>
      <c r="L70" s="61"/>
      <c r="M70" s="61"/>
      <c r="N70" s="61"/>
      <c r="O70" s="61"/>
      <c r="P70" s="61">
        <v>10</v>
      </c>
      <c r="Q70" s="61"/>
      <c r="R70" s="34"/>
      <c r="S70" s="320"/>
      <c r="T70" s="61"/>
      <c r="U70" s="34"/>
      <c r="V70" s="34"/>
      <c r="W70" s="320"/>
      <c r="X70" s="34"/>
      <c r="Y70" s="34"/>
      <c r="Z70" s="34"/>
      <c r="AA70" s="34"/>
      <c r="AB70" s="34"/>
      <c r="AC70" s="109"/>
      <c r="AD70" s="47">
        <f t="shared" si="1"/>
        <v>12</v>
      </c>
      <c r="AE70" s="48">
        <f t="shared" si="2"/>
        <v>12</v>
      </c>
      <c r="AF70" s="49">
        <f t="shared" si="3"/>
        <v>0</v>
      </c>
      <c r="AG70" s="49"/>
      <c r="AH70" s="49"/>
      <c r="AI70" s="49"/>
      <c r="AJ70" s="43"/>
    </row>
    <row r="71" spans="1:61">
      <c r="A71" s="391" t="s">
        <v>349</v>
      </c>
      <c r="B71" s="318" t="s">
        <v>53</v>
      </c>
      <c r="C71" s="319">
        <v>1</v>
      </c>
      <c r="D71" s="46">
        <v>120</v>
      </c>
      <c r="E71" s="61" t="s">
        <v>20</v>
      </c>
      <c r="F71" s="322"/>
      <c r="G71" s="346">
        <v>20</v>
      </c>
      <c r="H71" s="321"/>
      <c r="I71" s="321"/>
      <c r="J71" s="321" t="s">
        <v>20</v>
      </c>
      <c r="K71" s="61"/>
      <c r="L71" s="61"/>
      <c r="M71" s="61">
        <v>0</v>
      </c>
      <c r="N71" s="61"/>
      <c r="O71" s="61"/>
      <c r="P71" s="61" t="s">
        <v>20</v>
      </c>
      <c r="Q71" s="61">
        <v>100</v>
      </c>
      <c r="R71" s="34"/>
      <c r="S71" s="320"/>
      <c r="T71" s="61"/>
      <c r="U71" s="34"/>
      <c r="V71" s="34"/>
      <c r="W71" s="320"/>
      <c r="X71" s="34"/>
      <c r="Y71" s="34">
        <v>0</v>
      </c>
      <c r="Z71" s="34"/>
      <c r="AA71" s="34"/>
      <c r="AB71" s="34"/>
      <c r="AC71" s="109"/>
      <c r="AD71" s="47">
        <f t="shared" si="1"/>
        <v>120</v>
      </c>
      <c r="AE71" s="48">
        <f t="shared" si="2"/>
        <v>120</v>
      </c>
      <c r="AF71" s="49">
        <f t="shared" si="3"/>
        <v>0</v>
      </c>
      <c r="AG71" s="49"/>
      <c r="AH71" s="49"/>
      <c r="AI71" s="49"/>
      <c r="AJ71" s="43"/>
    </row>
    <row r="72" spans="1:61">
      <c r="A72" s="391" t="s">
        <v>350</v>
      </c>
      <c r="B72" s="318" t="s">
        <v>36</v>
      </c>
      <c r="C72" s="319">
        <v>2</v>
      </c>
      <c r="D72" s="46"/>
      <c r="E72" s="61" t="s">
        <v>20</v>
      </c>
      <c r="F72" s="322">
        <v>185</v>
      </c>
      <c r="G72" s="346" t="s">
        <v>20</v>
      </c>
      <c r="H72" s="321" t="s">
        <v>54</v>
      </c>
      <c r="I72" s="321">
        <v>185</v>
      </c>
      <c r="J72" s="321"/>
      <c r="K72" s="61"/>
      <c r="L72" s="61"/>
      <c r="M72" s="61"/>
      <c r="N72" s="61">
        <v>0</v>
      </c>
      <c r="O72" s="61"/>
      <c r="P72" s="61"/>
      <c r="Q72" s="61" t="s">
        <v>54</v>
      </c>
      <c r="R72" s="34"/>
      <c r="S72" s="320"/>
      <c r="T72" s="61"/>
      <c r="U72" s="34"/>
      <c r="V72" s="34"/>
      <c r="W72" s="320"/>
      <c r="X72" s="34"/>
      <c r="Y72" s="34"/>
      <c r="Z72" s="34"/>
      <c r="AA72" s="34"/>
      <c r="AB72" s="34"/>
      <c r="AC72" s="109"/>
      <c r="AD72" s="47">
        <f t="shared" si="1"/>
        <v>185</v>
      </c>
      <c r="AE72" s="48">
        <f t="shared" si="2"/>
        <v>185</v>
      </c>
      <c r="AF72" s="49">
        <f t="shared" si="3"/>
        <v>0</v>
      </c>
      <c r="AG72" s="49"/>
      <c r="AH72" s="49"/>
      <c r="AI72" s="49"/>
      <c r="AJ72" s="43"/>
    </row>
    <row r="73" spans="1:61">
      <c r="A73" s="391" t="s">
        <v>351</v>
      </c>
      <c r="B73" s="318" t="s">
        <v>55</v>
      </c>
      <c r="C73" s="319">
        <v>3</v>
      </c>
      <c r="D73" s="46"/>
      <c r="E73" s="61" t="s">
        <v>20</v>
      </c>
      <c r="F73" s="322">
        <v>235</v>
      </c>
      <c r="G73" s="346">
        <v>0</v>
      </c>
      <c r="H73" s="321"/>
      <c r="I73" s="321">
        <v>235</v>
      </c>
      <c r="J73" s="321" t="s">
        <v>20</v>
      </c>
      <c r="K73" s="61"/>
      <c r="L73" s="61"/>
      <c r="M73" s="61"/>
      <c r="N73" s="61"/>
      <c r="O73" s="61"/>
      <c r="P73" s="61"/>
      <c r="Q73" s="61" t="s">
        <v>20</v>
      </c>
      <c r="R73" s="34" t="s">
        <v>20</v>
      </c>
      <c r="S73" s="320" t="s">
        <v>20</v>
      </c>
      <c r="T73" s="61"/>
      <c r="U73" s="34" t="s">
        <v>20</v>
      </c>
      <c r="V73" s="34" t="s">
        <v>20</v>
      </c>
      <c r="W73" s="320"/>
      <c r="X73" s="34"/>
      <c r="Y73" s="34"/>
      <c r="Z73" s="34"/>
      <c r="AA73" s="34"/>
      <c r="AB73" s="34"/>
      <c r="AC73" s="109"/>
      <c r="AD73" s="47">
        <f t="shared" si="1"/>
        <v>235</v>
      </c>
      <c r="AE73" s="48">
        <f t="shared" si="2"/>
        <v>235</v>
      </c>
      <c r="AF73" s="49">
        <f t="shared" si="3"/>
        <v>0</v>
      </c>
      <c r="AG73" s="49"/>
      <c r="AH73" s="49"/>
      <c r="AI73" s="49"/>
      <c r="AJ73" s="43"/>
    </row>
    <row r="74" spans="1:61">
      <c r="A74" s="391" t="s">
        <v>352</v>
      </c>
      <c r="B74" s="318" t="s">
        <v>56</v>
      </c>
      <c r="C74" s="319">
        <v>4</v>
      </c>
      <c r="D74" s="46">
        <v>860</v>
      </c>
      <c r="E74" s="61" t="s">
        <v>20</v>
      </c>
      <c r="F74" s="322"/>
      <c r="G74" s="346" t="s">
        <v>20</v>
      </c>
      <c r="H74" s="321"/>
      <c r="I74" s="321"/>
      <c r="J74" s="321" t="s">
        <v>20</v>
      </c>
      <c r="K74" s="61"/>
      <c r="L74" s="61">
        <v>860</v>
      </c>
      <c r="M74" s="61" t="s">
        <v>20</v>
      </c>
      <c r="N74" s="61"/>
      <c r="O74" s="61"/>
      <c r="P74" s="61"/>
      <c r="Q74" s="61" t="s">
        <v>20</v>
      </c>
      <c r="R74" s="34"/>
      <c r="S74" s="320"/>
      <c r="T74" s="61"/>
      <c r="U74" s="34"/>
      <c r="V74" s="34"/>
      <c r="W74" s="320"/>
      <c r="X74" s="34"/>
      <c r="Y74" s="34"/>
      <c r="Z74" s="34"/>
      <c r="AA74" s="34"/>
      <c r="AB74" s="34"/>
      <c r="AC74" s="109"/>
      <c r="AD74" s="47">
        <f t="shared" si="1"/>
        <v>860</v>
      </c>
      <c r="AE74" s="48">
        <f t="shared" si="2"/>
        <v>860</v>
      </c>
      <c r="AF74" s="49">
        <f t="shared" si="3"/>
        <v>0</v>
      </c>
      <c r="AG74" s="49"/>
      <c r="AH74" s="49"/>
      <c r="AI74" s="49"/>
      <c r="AJ74" s="43"/>
    </row>
    <row r="75" spans="1:61">
      <c r="A75" s="391" t="s">
        <v>352</v>
      </c>
      <c r="B75" s="318" t="s">
        <v>57</v>
      </c>
      <c r="C75" s="319">
        <v>5</v>
      </c>
      <c r="D75" s="46">
        <v>72.5</v>
      </c>
      <c r="E75" s="61" t="s">
        <v>20</v>
      </c>
      <c r="F75" s="322"/>
      <c r="G75" s="346" t="s">
        <v>20</v>
      </c>
      <c r="H75" s="321"/>
      <c r="I75" s="321">
        <v>0</v>
      </c>
      <c r="J75" s="321" t="s">
        <v>54</v>
      </c>
      <c r="K75" s="61"/>
      <c r="L75" s="61"/>
      <c r="M75" s="61"/>
      <c r="N75" s="61" t="s">
        <v>20</v>
      </c>
      <c r="O75" s="61"/>
      <c r="P75" s="61"/>
      <c r="Q75" s="61" t="s">
        <v>20</v>
      </c>
      <c r="R75" s="34"/>
      <c r="S75" s="320"/>
      <c r="T75" s="61">
        <v>72.5</v>
      </c>
      <c r="U75" s="34"/>
      <c r="V75" s="34"/>
      <c r="W75" s="320"/>
      <c r="X75" s="34"/>
      <c r="Y75" s="34"/>
      <c r="Z75" s="34"/>
      <c r="AA75" s="34"/>
      <c r="AB75" s="34"/>
      <c r="AC75" s="109"/>
      <c r="AD75" s="47">
        <f t="shared" si="1"/>
        <v>72.5</v>
      </c>
      <c r="AE75" s="48">
        <f t="shared" si="2"/>
        <v>72.5</v>
      </c>
      <c r="AF75" s="49">
        <f t="shared" si="3"/>
        <v>0</v>
      </c>
      <c r="AG75" s="49"/>
      <c r="AH75" s="49"/>
      <c r="AI75" s="49"/>
      <c r="AJ75" s="43"/>
    </row>
    <row r="76" spans="1:61">
      <c r="A76" s="391" t="s">
        <v>353</v>
      </c>
      <c r="B76" s="318" t="s">
        <v>58</v>
      </c>
      <c r="C76" s="319"/>
      <c r="D76" s="46">
        <v>1000</v>
      </c>
      <c r="E76" s="61" t="s">
        <v>20</v>
      </c>
      <c r="F76" s="322"/>
      <c r="G76" s="346" t="s">
        <v>20</v>
      </c>
      <c r="H76" s="321" t="s">
        <v>20</v>
      </c>
      <c r="I76" s="321" t="s">
        <v>20</v>
      </c>
      <c r="J76" s="321" t="s">
        <v>20</v>
      </c>
      <c r="K76" s="61">
        <v>1000</v>
      </c>
      <c r="L76" s="61"/>
      <c r="M76" s="61"/>
      <c r="N76" s="61"/>
      <c r="O76" s="61"/>
      <c r="P76" s="61" t="s">
        <v>20</v>
      </c>
      <c r="Q76" s="61" t="s">
        <v>54</v>
      </c>
      <c r="R76" s="34"/>
      <c r="S76" s="320"/>
      <c r="T76" s="61"/>
      <c r="U76" s="34"/>
      <c r="V76" s="34"/>
      <c r="W76" s="320"/>
      <c r="X76" s="34"/>
      <c r="Y76" s="34"/>
      <c r="Z76" s="34"/>
      <c r="AA76" s="34"/>
      <c r="AB76" s="34"/>
      <c r="AC76" s="109"/>
      <c r="AD76" s="47">
        <f t="shared" si="1"/>
        <v>1000</v>
      </c>
      <c r="AE76" s="48">
        <f t="shared" si="2"/>
        <v>1000</v>
      </c>
      <c r="AF76" s="49">
        <f t="shared" si="3"/>
        <v>0</v>
      </c>
      <c r="AG76" s="49"/>
      <c r="AH76" s="49"/>
      <c r="AI76" s="49"/>
      <c r="AJ76" s="43"/>
    </row>
    <row r="77" spans="1:61">
      <c r="A77" s="391" t="s">
        <v>354</v>
      </c>
      <c r="B77" s="318" t="s">
        <v>50</v>
      </c>
      <c r="C77" s="319"/>
      <c r="D77" s="46">
        <v>132</v>
      </c>
      <c r="E77" s="61" t="s">
        <v>20</v>
      </c>
      <c r="F77" s="322"/>
      <c r="G77" s="346">
        <v>22</v>
      </c>
      <c r="H77" s="321"/>
      <c r="I77" s="321"/>
      <c r="J77" s="321" t="s">
        <v>20</v>
      </c>
      <c r="K77" s="61"/>
      <c r="L77" s="61"/>
      <c r="M77" s="61"/>
      <c r="N77" s="61"/>
      <c r="O77" s="61"/>
      <c r="P77" s="61" t="s">
        <v>20</v>
      </c>
      <c r="Q77" s="61" t="s">
        <v>20</v>
      </c>
      <c r="R77" s="34"/>
      <c r="S77" s="320"/>
      <c r="T77" s="61"/>
      <c r="U77" s="34">
        <v>110</v>
      </c>
      <c r="V77" s="34"/>
      <c r="W77" s="320"/>
      <c r="X77" s="34"/>
      <c r="Y77" s="34"/>
      <c r="Z77" s="34"/>
      <c r="AA77" s="34"/>
      <c r="AB77" s="34"/>
      <c r="AC77" s="109"/>
      <c r="AD77" s="47">
        <f t="shared" si="1"/>
        <v>132</v>
      </c>
      <c r="AE77" s="48">
        <f t="shared" si="2"/>
        <v>132</v>
      </c>
      <c r="AF77" s="49">
        <f t="shared" si="3"/>
        <v>0</v>
      </c>
      <c r="AG77" s="49"/>
      <c r="AH77" s="49"/>
      <c r="AI77" s="49"/>
      <c r="AJ77" s="43"/>
    </row>
    <row r="78" spans="1:61">
      <c r="A78" s="391" t="s">
        <v>355</v>
      </c>
      <c r="B78" s="318" t="s">
        <v>59</v>
      </c>
      <c r="C78" s="319"/>
      <c r="D78" s="46">
        <v>5000</v>
      </c>
      <c r="E78" s="61" t="s">
        <v>54</v>
      </c>
      <c r="F78" s="322" t="s">
        <v>20</v>
      </c>
      <c r="G78" s="346" t="s">
        <v>20</v>
      </c>
      <c r="H78" s="321"/>
      <c r="I78" s="321"/>
      <c r="J78" s="321" t="s">
        <v>20</v>
      </c>
      <c r="K78" s="61"/>
      <c r="L78" s="61"/>
      <c r="M78" s="61"/>
      <c r="N78" s="61"/>
      <c r="O78" s="61"/>
      <c r="P78" s="61"/>
      <c r="Q78" s="61" t="s">
        <v>20</v>
      </c>
      <c r="R78" s="34" t="s">
        <v>20</v>
      </c>
      <c r="S78" s="320"/>
      <c r="T78" s="61"/>
      <c r="U78" s="34"/>
      <c r="V78" s="34"/>
      <c r="W78" s="320"/>
      <c r="X78" s="34">
        <v>5000</v>
      </c>
      <c r="Y78" s="34"/>
      <c r="Z78" s="34"/>
      <c r="AA78" s="34"/>
      <c r="AB78" s="34"/>
      <c r="AC78" s="109"/>
      <c r="AD78" s="47">
        <f t="shared" si="1"/>
        <v>5000</v>
      </c>
      <c r="AE78" s="48">
        <f t="shared" si="2"/>
        <v>5000</v>
      </c>
      <c r="AF78" s="49">
        <f t="shared" si="3"/>
        <v>0</v>
      </c>
      <c r="AG78" s="49"/>
      <c r="AH78" s="49"/>
      <c r="AI78" s="49"/>
      <c r="AJ78" s="43"/>
    </row>
    <row r="79" spans="1:61">
      <c r="A79" s="340"/>
      <c r="B79" s="318" t="s">
        <v>60</v>
      </c>
      <c r="C79" s="319">
        <v>6</v>
      </c>
      <c r="D79" s="46">
        <v>57</v>
      </c>
      <c r="E79" s="61">
        <v>-57</v>
      </c>
      <c r="F79" s="322"/>
      <c r="G79" s="346"/>
      <c r="H79" s="321"/>
      <c r="I79" s="321"/>
      <c r="J79" s="321"/>
      <c r="K79" s="61"/>
      <c r="L79" s="61"/>
      <c r="M79" s="61"/>
      <c r="N79" s="61"/>
      <c r="O79" s="61"/>
      <c r="P79" s="61"/>
      <c r="Q79" s="61"/>
      <c r="R79" s="34"/>
      <c r="S79" s="320"/>
      <c r="T79" s="61"/>
      <c r="U79" s="34"/>
      <c r="V79" s="34"/>
      <c r="W79" s="320"/>
      <c r="X79" s="34"/>
      <c r="Y79" s="34"/>
      <c r="Z79" s="34"/>
      <c r="AA79" s="34"/>
      <c r="AB79" s="34"/>
      <c r="AC79" s="109"/>
      <c r="AD79" s="47">
        <f t="shared" si="1"/>
        <v>0</v>
      </c>
      <c r="AE79" s="48">
        <f t="shared" si="2"/>
        <v>0</v>
      </c>
      <c r="AF79" s="49">
        <f t="shared" si="3"/>
        <v>0</v>
      </c>
      <c r="AG79" s="49"/>
      <c r="AH79" s="49"/>
      <c r="AI79" s="49"/>
      <c r="AJ79" s="43"/>
    </row>
    <row r="80" spans="1:61">
      <c r="A80" s="391" t="s">
        <v>356</v>
      </c>
      <c r="B80" s="347" t="s">
        <v>191</v>
      </c>
      <c r="C80" s="319"/>
      <c r="D80" s="46">
        <v>420</v>
      </c>
      <c r="E80" s="61"/>
      <c r="F80" s="322">
        <v>-420</v>
      </c>
      <c r="G80" s="346"/>
      <c r="H80" s="321"/>
      <c r="I80" s="321"/>
      <c r="J80" s="321"/>
      <c r="K80" s="61"/>
      <c r="L80" s="61"/>
      <c r="M80" s="61"/>
      <c r="N80" s="61"/>
      <c r="O80" s="61"/>
      <c r="P80" s="61"/>
      <c r="Q80" s="61"/>
      <c r="R80" s="34"/>
      <c r="S80" s="320"/>
      <c r="T80" s="61"/>
      <c r="U80" s="34"/>
      <c r="V80" s="34"/>
      <c r="W80" s="320"/>
      <c r="X80" s="34"/>
      <c r="Y80" s="34"/>
      <c r="Z80" s="34"/>
      <c r="AA80" s="34"/>
      <c r="AB80" s="34"/>
      <c r="AC80" s="109"/>
      <c r="AD80" s="47">
        <f t="shared" si="1"/>
        <v>0</v>
      </c>
      <c r="AE80" s="48">
        <f t="shared" si="2"/>
        <v>0</v>
      </c>
      <c r="AF80" s="49">
        <f t="shared" si="3"/>
        <v>0</v>
      </c>
      <c r="AG80" s="49"/>
      <c r="AH80" s="49"/>
      <c r="AI80" s="49"/>
      <c r="AJ80" s="43">
        <f t="shared" ref="AJ80:AJ99" si="4">IF(AF80=0,0,"ERROR HERE")</f>
        <v>0</v>
      </c>
      <c r="AK80" s="7">
        <f t="shared" ref="AK80:AK104" si="5">IF(OR(ISERROR(+H80/($D80+$E80-$G80)*$G80+H80),LEFT(F80,1)="x"),0,+H80/($D80+$E80-$G80)*$G80+H80)</f>
        <v>0</v>
      </c>
      <c r="AL80" s="7">
        <f t="shared" ref="AL80:AL104" si="6">IF(OR(ISERROR(+I80/($D80+$E80-$G80)*$G80+I80),LEFT(G80,1)="x"),0,+I80/($D80+$E80-$G80)*$G80+I80)</f>
        <v>0</v>
      </c>
      <c r="AM80" s="7">
        <f t="shared" ref="AM80:AM104" si="7">IF(OR(ISERROR(+J80/($D80+$E80-$G80)*$G80+J80),LEFT(H80,1)="x"),0,+J80/($D80+$E80-$G80)*$G80+J80)</f>
        <v>0</v>
      </c>
      <c r="AN80" s="7">
        <f t="shared" ref="AN80:AN104" si="8">IF(OR(ISERROR(+K80/($D80+$E80-$G80)*$G80+K80),LEFT(I80,1)="x"),0,+K80/($D80+$E80-$G80)*$G80+K80)</f>
        <v>0</v>
      </c>
      <c r="AO80" s="7">
        <f t="shared" ref="AO80:AO104" si="9">IF(OR(ISERROR(+L80/($D80+$E80-$G80)*$G80+L80),LEFT(J80,1)="x"),0,+L80/($D80+$E80-$G80)*$G80+L80)</f>
        <v>0</v>
      </c>
      <c r="AP80" s="7">
        <f t="shared" ref="AP80:AP104" si="10">IF(OR(ISERROR(+M80/($D80+$E80-$G80)*$G80+M80),LEFT(K80,1)="x"),0,+M80/($D80+$E80-$G80)*$G80+M80)</f>
        <v>0</v>
      </c>
      <c r="AQ80" s="7">
        <f t="shared" ref="AQ80:AQ104" si="11">IF(OR(ISERROR(+N80/($D80+$E80-$G80)*$G80+N80),LEFT(L80,1)="x"),0,+N80/($D80+$E80-$G80)*$G80+N80)</f>
        <v>0</v>
      </c>
      <c r="AR80" s="7">
        <f t="shared" ref="AR80:AR104" si="12">IF(OR(ISERROR(+O80/($D80+$E80-$G80)*$G80+O80),LEFT(M80,1)="x"),0,+O80/($D80+$E80-$G80)*$G80+O80)</f>
        <v>0</v>
      </c>
      <c r="AS80" s="7">
        <f t="shared" ref="AS80:AS104" si="13">IF(OR(ISERROR(+P80/($D80+$E80-$G80)*$G80+P80),LEFT(N80,1)="x"),0,+P80/($D80+$E80-$G80)*$G80+P80)</f>
        <v>0</v>
      </c>
      <c r="AT80" s="7">
        <f t="shared" ref="AT80:AT104" si="14">IF(OR(ISERROR(+Q80/($D80+$E80-$G80)*$G80+Q80),LEFT(O80,1)="x"),0,+Q80/($D80+$E80-$G80)*$G80+Q80)</f>
        <v>0</v>
      </c>
      <c r="AU80" s="7">
        <f t="shared" ref="AU80:AU104" si="15">IF(OR(ISERROR(+R80/($D80+$E80-$G80)*$G80+R80),LEFT(P80,1)="x"),0,+R80/($D80+$E80-$G80)*$G80+R80)</f>
        <v>0</v>
      </c>
      <c r="AV80" s="7">
        <f t="shared" ref="AV80:AV104" si="16">IF(OR(ISERROR(+S80/($D80+$E80-$G80)*$G80+S80),LEFT(Q80,1)="x"),0,+S80/($D80+$E80-$G80)*$G80+S80)</f>
        <v>0</v>
      </c>
      <c r="AW80" s="7">
        <f t="shared" ref="AW80:AW104" si="17">IF(OR(ISERROR(+T80/($D80+$E80-$G80)*$G80+T80),LEFT(R80,1)="x"),0,+T80/($D80+$E80-$G80)*$G80+T80)</f>
        <v>0</v>
      </c>
      <c r="AX80" s="7">
        <f t="shared" ref="AX80:AX104" si="18">IF(OR(ISERROR(+U80/($D80+$E80-$G80)*$G80+U80),LEFT(S80,1)="x"),0,+U80/($D80+$E80-$G80)*$G80+U80)</f>
        <v>0</v>
      </c>
      <c r="AY80" s="7">
        <f t="shared" ref="AY80:AY104" si="19">IF(OR(ISERROR(+V80/($D80+$E80-$G80)*$G80+V80),LEFT(T80,1)="x"),0,+V80/($D80+$E80-$G80)*$G80+V80)</f>
        <v>0</v>
      </c>
      <c r="AZ80" s="7">
        <f t="shared" ref="AZ80:AZ104" si="20">IF(OR(ISERROR(+W80/($D80+$E80-$G80)*$G80+W80),LEFT(U80,1)="x"),0,+W80/($D80+$E80-$G80)*$G80+W80)</f>
        <v>0</v>
      </c>
      <c r="BA80" s="7">
        <f t="shared" ref="BA80:BA104" si="21">IF(OR(ISERROR(+X80/($D80+$E80-$G80)*$G80+X80),LEFT(V80,1)="x"),0,+X80/($D80+$E80-$G80)*$G80+X80)</f>
        <v>0</v>
      </c>
      <c r="BB80" s="7">
        <f t="shared" ref="BB80:BB104" si="22">IF(OR(ISERROR(+Y80/($D80+$E80-$G80)*$G80+Y80),LEFT(W80,1)="x"),0,+Y80/($D80+$E80-$G80)*$G80+Y80)</f>
        <v>0</v>
      </c>
      <c r="BC80" s="7">
        <f t="shared" ref="BC80:BC104" si="23">IF(OR(ISERROR(+Z80/($D80+$E80-$G80)*$G80+Z80),LEFT(X80,1)="x"),0,+Z80/($D80+$E80-$G80)*$G80+Z80)</f>
        <v>0</v>
      </c>
      <c r="BD80" s="7">
        <f t="shared" ref="BD80:BD104" si="24">IF(OR(ISERROR(+Y80/($D80+$E80-$G80)*$G80+Y80),LEFT(W80,1)="x"),0,+Y80/($D80+$E80-$G80)*$G80+Y80)</f>
        <v>0</v>
      </c>
      <c r="BE80" s="7">
        <f t="shared" ref="BE80:BE104" si="25">IF(OR(ISERROR(+Z80/($D80+$E80-$G80)*$G80+Z80),LEFT(X80,1)="x"),0,+Z80/($D80+$E80-$G80)*$G80+Z80)</f>
        <v>0</v>
      </c>
      <c r="BF80" s="7">
        <f t="shared" ref="BF80:BF104" si="26">IF(OR(ISERROR(+AA80/($D80+$E80-$G80)*$G80+AA80),LEFT(Y80,1)="x"),0,+AA80/($D80+$E80-$G80)*$G80+AA80)</f>
        <v>0</v>
      </c>
      <c r="BI80" s="7">
        <f>IF(OR(ISERROR(+#REF!/($D80+$E80-$G80)*$G80+#REF!),LEFT(Z80,1)="x"),0,+#REF!/($D80+$E80-$G80)*$G80+#REF!)</f>
        <v>0</v>
      </c>
    </row>
    <row r="81" spans="1:61">
      <c r="A81" s="340"/>
      <c r="B81" s="318"/>
      <c r="C81" s="319"/>
      <c r="D81" s="46"/>
      <c r="E81" s="61"/>
      <c r="F81" s="322"/>
      <c r="G81" s="346"/>
      <c r="H81" s="321"/>
      <c r="I81" s="321"/>
      <c r="J81" s="321"/>
      <c r="K81" s="61"/>
      <c r="L81" s="61"/>
      <c r="M81" s="61"/>
      <c r="N81" s="61"/>
      <c r="O81" s="61"/>
      <c r="P81" s="61"/>
      <c r="Q81" s="61"/>
      <c r="R81" s="34"/>
      <c r="S81" s="320"/>
      <c r="T81" s="61"/>
      <c r="U81" s="34"/>
      <c r="V81" s="34"/>
      <c r="W81" s="320"/>
      <c r="X81" s="34"/>
      <c r="Y81" s="34"/>
      <c r="Z81" s="34"/>
      <c r="AA81" s="34"/>
      <c r="AB81" s="34"/>
      <c r="AC81" s="109"/>
      <c r="AD81" s="47">
        <f t="shared" si="1"/>
        <v>0</v>
      </c>
      <c r="AE81" s="48">
        <f t="shared" si="2"/>
        <v>0</v>
      </c>
      <c r="AF81" s="49">
        <f t="shared" si="3"/>
        <v>0</v>
      </c>
      <c r="AG81" s="49"/>
      <c r="AH81" s="49"/>
      <c r="AI81" s="49"/>
      <c r="AJ81" s="43">
        <f t="shared" si="4"/>
        <v>0</v>
      </c>
      <c r="AK81" s="7">
        <f t="shared" si="5"/>
        <v>0</v>
      </c>
      <c r="AL81" s="7">
        <f t="shared" si="6"/>
        <v>0</v>
      </c>
      <c r="AM81" s="7">
        <f t="shared" si="7"/>
        <v>0</v>
      </c>
      <c r="AN81" s="7">
        <f t="shared" si="8"/>
        <v>0</v>
      </c>
      <c r="AO81" s="7">
        <f t="shared" si="9"/>
        <v>0</v>
      </c>
      <c r="AP81" s="7">
        <f t="shared" si="10"/>
        <v>0</v>
      </c>
      <c r="AQ81" s="7">
        <f t="shared" si="11"/>
        <v>0</v>
      </c>
      <c r="AR81" s="7">
        <f t="shared" si="12"/>
        <v>0</v>
      </c>
      <c r="AS81" s="7">
        <f t="shared" si="13"/>
        <v>0</v>
      </c>
      <c r="AT81" s="7">
        <f t="shared" si="14"/>
        <v>0</v>
      </c>
      <c r="AU81" s="7">
        <f t="shared" si="15"/>
        <v>0</v>
      </c>
      <c r="AV81" s="7">
        <f t="shared" si="16"/>
        <v>0</v>
      </c>
      <c r="AW81" s="7">
        <f t="shared" si="17"/>
        <v>0</v>
      </c>
      <c r="AX81" s="7">
        <f t="shared" si="18"/>
        <v>0</v>
      </c>
      <c r="AY81" s="7">
        <f t="shared" si="19"/>
        <v>0</v>
      </c>
      <c r="AZ81" s="7">
        <f t="shared" si="20"/>
        <v>0</v>
      </c>
      <c r="BA81" s="7">
        <f t="shared" si="21"/>
        <v>0</v>
      </c>
      <c r="BB81" s="7">
        <f t="shared" si="22"/>
        <v>0</v>
      </c>
      <c r="BC81" s="7">
        <f t="shared" si="23"/>
        <v>0</v>
      </c>
      <c r="BD81" s="7">
        <f t="shared" si="24"/>
        <v>0</v>
      </c>
      <c r="BE81" s="7">
        <f t="shared" si="25"/>
        <v>0</v>
      </c>
      <c r="BF81" s="7">
        <f t="shared" si="26"/>
        <v>0</v>
      </c>
      <c r="BI81" s="7">
        <f>IF(OR(ISERROR(+#REF!/($D81+$E81-$G81)*$G81+#REF!),LEFT(Z81,1)="x"),0,+#REF!/($D81+$E81-$G81)*$G81+#REF!)</f>
        <v>0</v>
      </c>
    </row>
    <row r="82" spans="1:61">
      <c r="A82" s="340"/>
      <c r="B82" s="318"/>
      <c r="C82" s="319"/>
      <c r="D82" s="46"/>
      <c r="E82" s="61"/>
      <c r="F82" s="322"/>
      <c r="G82" s="346"/>
      <c r="H82" s="321"/>
      <c r="I82" s="321"/>
      <c r="J82" s="321"/>
      <c r="K82" s="61"/>
      <c r="L82" s="61"/>
      <c r="M82" s="61"/>
      <c r="N82" s="61"/>
      <c r="O82" s="61"/>
      <c r="P82" s="61"/>
      <c r="Q82" s="61"/>
      <c r="R82" s="34"/>
      <c r="S82" s="320"/>
      <c r="T82" s="61"/>
      <c r="U82" s="34"/>
      <c r="V82" s="34"/>
      <c r="W82" s="320"/>
      <c r="X82" s="34"/>
      <c r="Y82" s="34"/>
      <c r="Z82" s="34"/>
      <c r="AA82" s="34"/>
      <c r="AB82" s="34"/>
      <c r="AC82" s="109"/>
      <c r="AD82" s="47">
        <f t="shared" si="1"/>
        <v>0</v>
      </c>
      <c r="AE82" s="48">
        <f t="shared" si="2"/>
        <v>0</v>
      </c>
      <c r="AF82" s="49">
        <f t="shared" si="3"/>
        <v>0</v>
      </c>
      <c r="AG82" s="49"/>
      <c r="AH82" s="49"/>
      <c r="AI82" s="49"/>
      <c r="AJ82" s="43">
        <f t="shared" si="4"/>
        <v>0</v>
      </c>
      <c r="AK82" s="7">
        <f t="shared" si="5"/>
        <v>0</v>
      </c>
      <c r="AL82" s="7">
        <f t="shared" si="6"/>
        <v>0</v>
      </c>
      <c r="AM82" s="7">
        <f t="shared" si="7"/>
        <v>0</v>
      </c>
      <c r="AN82" s="7">
        <f t="shared" si="8"/>
        <v>0</v>
      </c>
      <c r="AO82" s="7">
        <f t="shared" si="9"/>
        <v>0</v>
      </c>
      <c r="AP82" s="7">
        <f t="shared" si="10"/>
        <v>0</v>
      </c>
      <c r="AQ82" s="7">
        <f t="shared" si="11"/>
        <v>0</v>
      </c>
      <c r="AR82" s="7">
        <f t="shared" si="12"/>
        <v>0</v>
      </c>
      <c r="AS82" s="7">
        <f t="shared" si="13"/>
        <v>0</v>
      </c>
      <c r="AT82" s="7">
        <f t="shared" si="14"/>
        <v>0</v>
      </c>
      <c r="AU82" s="7">
        <f t="shared" si="15"/>
        <v>0</v>
      </c>
      <c r="AV82" s="7">
        <f t="shared" si="16"/>
        <v>0</v>
      </c>
      <c r="AW82" s="7">
        <f t="shared" si="17"/>
        <v>0</v>
      </c>
      <c r="AX82" s="7">
        <f t="shared" si="18"/>
        <v>0</v>
      </c>
      <c r="AY82" s="7">
        <f t="shared" si="19"/>
        <v>0</v>
      </c>
      <c r="AZ82" s="7">
        <f t="shared" si="20"/>
        <v>0</v>
      </c>
      <c r="BA82" s="7">
        <f t="shared" si="21"/>
        <v>0</v>
      </c>
      <c r="BB82" s="7">
        <f t="shared" si="22"/>
        <v>0</v>
      </c>
      <c r="BC82" s="7">
        <f t="shared" si="23"/>
        <v>0</v>
      </c>
      <c r="BD82" s="7">
        <f t="shared" si="24"/>
        <v>0</v>
      </c>
      <c r="BE82" s="7">
        <f t="shared" si="25"/>
        <v>0</v>
      </c>
      <c r="BF82" s="7">
        <f t="shared" si="26"/>
        <v>0</v>
      </c>
      <c r="BI82" s="7">
        <f>IF(OR(ISERROR(+#REF!/($D82+$E82-$G82)*$G82+#REF!),LEFT(Z82,1)="x"),0,+#REF!/($D82+$E82-$G82)*$G82+#REF!)</f>
        <v>0</v>
      </c>
    </row>
    <row r="83" spans="1:61">
      <c r="A83" s="340"/>
      <c r="B83" s="318"/>
      <c r="C83" s="319"/>
      <c r="D83" s="46"/>
      <c r="E83" s="61"/>
      <c r="F83" s="322"/>
      <c r="G83" s="346"/>
      <c r="H83" s="321"/>
      <c r="I83" s="321"/>
      <c r="J83" s="321"/>
      <c r="K83" s="61"/>
      <c r="L83" s="61"/>
      <c r="M83" s="61"/>
      <c r="N83" s="61"/>
      <c r="O83" s="61"/>
      <c r="P83" s="61"/>
      <c r="Q83" s="61"/>
      <c r="R83" s="34"/>
      <c r="S83" s="320"/>
      <c r="T83" s="61"/>
      <c r="U83" s="34"/>
      <c r="V83" s="34"/>
      <c r="W83" s="320"/>
      <c r="X83" s="34"/>
      <c r="Y83" s="34"/>
      <c r="Z83" s="34"/>
      <c r="AA83" s="34"/>
      <c r="AB83" s="34"/>
      <c r="AC83" s="109"/>
      <c r="AD83" s="47">
        <f t="shared" si="1"/>
        <v>0</v>
      </c>
      <c r="AE83" s="48">
        <f t="shared" si="2"/>
        <v>0</v>
      </c>
      <c r="AF83" s="49">
        <f t="shared" si="3"/>
        <v>0</v>
      </c>
      <c r="AG83" s="49"/>
      <c r="AH83" s="49"/>
      <c r="AI83" s="49"/>
      <c r="AJ83" s="43">
        <f t="shared" si="4"/>
        <v>0</v>
      </c>
      <c r="AK83" s="7">
        <f t="shared" si="5"/>
        <v>0</v>
      </c>
      <c r="AL83" s="7">
        <f t="shared" si="6"/>
        <v>0</v>
      </c>
      <c r="AM83" s="7">
        <f t="shared" si="7"/>
        <v>0</v>
      </c>
      <c r="AN83" s="7">
        <f t="shared" si="8"/>
        <v>0</v>
      </c>
      <c r="AO83" s="7">
        <f t="shared" si="9"/>
        <v>0</v>
      </c>
      <c r="AP83" s="7">
        <f t="shared" si="10"/>
        <v>0</v>
      </c>
      <c r="AQ83" s="7">
        <f t="shared" si="11"/>
        <v>0</v>
      </c>
      <c r="AR83" s="7">
        <f t="shared" si="12"/>
        <v>0</v>
      </c>
      <c r="AS83" s="7">
        <f t="shared" si="13"/>
        <v>0</v>
      </c>
      <c r="AT83" s="7">
        <f t="shared" si="14"/>
        <v>0</v>
      </c>
      <c r="AU83" s="7">
        <f t="shared" si="15"/>
        <v>0</v>
      </c>
      <c r="AV83" s="7">
        <f t="shared" si="16"/>
        <v>0</v>
      </c>
      <c r="AW83" s="7">
        <f t="shared" si="17"/>
        <v>0</v>
      </c>
      <c r="AX83" s="7">
        <f t="shared" si="18"/>
        <v>0</v>
      </c>
      <c r="AY83" s="7">
        <f t="shared" si="19"/>
        <v>0</v>
      </c>
      <c r="AZ83" s="7">
        <f t="shared" si="20"/>
        <v>0</v>
      </c>
      <c r="BA83" s="7">
        <f t="shared" si="21"/>
        <v>0</v>
      </c>
      <c r="BB83" s="7">
        <f t="shared" si="22"/>
        <v>0</v>
      </c>
      <c r="BC83" s="7">
        <f t="shared" si="23"/>
        <v>0</v>
      </c>
      <c r="BD83" s="7">
        <f t="shared" si="24"/>
        <v>0</v>
      </c>
      <c r="BE83" s="7">
        <f t="shared" si="25"/>
        <v>0</v>
      </c>
      <c r="BF83" s="7">
        <f t="shared" si="26"/>
        <v>0</v>
      </c>
      <c r="BI83" s="7">
        <f>IF(OR(ISERROR(+#REF!/($D83+$E83-$G83)*$G83+#REF!),LEFT(Z83,1)="x"),0,+#REF!/($D83+$E83-$G83)*$G83+#REF!)</f>
        <v>0</v>
      </c>
    </row>
    <row r="84" spans="1:61">
      <c r="A84" s="340"/>
      <c r="B84" s="318"/>
      <c r="C84" s="319"/>
      <c r="D84" s="46"/>
      <c r="E84" s="61"/>
      <c r="F84" s="322"/>
      <c r="G84" s="346"/>
      <c r="H84" s="321"/>
      <c r="I84" s="321"/>
      <c r="J84" s="321"/>
      <c r="K84" s="61"/>
      <c r="L84" s="61"/>
      <c r="M84" s="61"/>
      <c r="N84" s="61"/>
      <c r="O84" s="61"/>
      <c r="P84" s="61"/>
      <c r="Q84" s="61"/>
      <c r="R84" s="34"/>
      <c r="S84" s="320"/>
      <c r="T84" s="61"/>
      <c r="U84" s="34"/>
      <c r="V84" s="34"/>
      <c r="W84" s="320"/>
      <c r="X84" s="34"/>
      <c r="Y84" s="34"/>
      <c r="Z84" s="34"/>
      <c r="AA84" s="34"/>
      <c r="AB84" s="34"/>
      <c r="AC84" s="109"/>
      <c r="AD84" s="47">
        <f t="shared" si="1"/>
        <v>0</v>
      </c>
      <c r="AE84" s="48">
        <f t="shared" si="2"/>
        <v>0</v>
      </c>
      <c r="AF84" s="49">
        <f t="shared" si="3"/>
        <v>0</v>
      </c>
      <c r="AG84" s="49"/>
      <c r="AH84" s="49"/>
      <c r="AI84" s="49"/>
      <c r="AJ84" s="43">
        <f t="shared" si="4"/>
        <v>0</v>
      </c>
      <c r="AK84" s="7">
        <f t="shared" si="5"/>
        <v>0</v>
      </c>
      <c r="AL84" s="7">
        <f t="shared" si="6"/>
        <v>0</v>
      </c>
      <c r="AM84" s="7">
        <f t="shared" si="7"/>
        <v>0</v>
      </c>
      <c r="AN84" s="7">
        <f t="shared" si="8"/>
        <v>0</v>
      </c>
      <c r="AO84" s="7">
        <f t="shared" si="9"/>
        <v>0</v>
      </c>
      <c r="AP84" s="7">
        <f t="shared" si="10"/>
        <v>0</v>
      </c>
      <c r="AQ84" s="7">
        <f t="shared" si="11"/>
        <v>0</v>
      </c>
      <c r="AR84" s="7">
        <f t="shared" si="12"/>
        <v>0</v>
      </c>
      <c r="AS84" s="7">
        <f t="shared" si="13"/>
        <v>0</v>
      </c>
      <c r="AT84" s="7">
        <f t="shared" si="14"/>
        <v>0</v>
      </c>
      <c r="AU84" s="7">
        <f t="shared" si="15"/>
        <v>0</v>
      </c>
      <c r="AV84" s="7">
        <f t="shared" si="16"/>
        <v>0</v>
      </c>
      <c r="AW84" s="7">
        <f t="shared" si="17"/>
        <v>0</v>
      </c>
      <c r="AX84" s="7">
        <f t="shared" si="18"/>
        <v>0</v>
      </c>
      <c r="AY84" s="7">
        <f t="shared" si="19"/>
        <v>0</v>
      </c>
      <c r="AZ84" s="7">
        <f t="shared" si="20"/>
        <v>0</v>
      </c>
      <c r="BA84" s="7">
        <f t="shared" si="21"/>
        <v>0</v>
      </c>
      <c r="BB84" s="7">
        <f t="shared" si="22"/>
        <v>0</v>
      </c>
      <c r="BC84" s="7">
        <f t="shared" si="23"/>
        <v>0</v>
      </c>
      <c r="BD84" s="7">
        <f t="shared" si="24"/>
        <v>0</v>
      </c>
      <c r="BE84" s="7">
        <f t="shared" si="25"/>
        <v>0</v>
      </c>
      <c r="BF84" s="7">
        <f t="shared" si="26"/>
        <v>0</v>
      </c>
      <c r="BI84" s="7">
        <f>IF(OR(ISERROR(+#REF!/($D84+$E84-$G84)*$G84+#REF!),LEFT(Z84,1)="x"),0,+#REF!/($D84+$E84-$G84)*$G84+#REF!)</f>
        <v>0</v>
      </c>
    </row>
    <row r="85" spans="1:61">
      <c r="A85" s="340"/>
      <c r="B85" s="318"/>
      <c r="C85" s="319"/>
      <c r="D85" s="46"/>
      <c r="E85" s="61"/>
      <c r="F85" s="322"/>
      <c r="G85" s="346"/>
      <c r="H85" s="321"/>
      <c r="I85" s="321"/>
      <c r="J85" s="321"/>
      <c r="K85" s="61"/>
      <c r="L85" s="61"/>
      <c r="M85" s="61"/>
      <c r="N85" s="61"/>
      <c r="O85" s="61"/>
      <c r="P85" s="61"/>
      <c r="Q85" s="61"/>
      <c r="R85" s="34"/>
      <c r="S85" s="320"/>
      <c r="T85" s="61"/>
      <c r="U85" s="34"/>
      <c r="V85" s="34"/>
      <c r="W85" s="320"/>
      <c r="X85" s="34"/>
      <c r="Y85" s="34"/>
      <c r="Z85" s="34"/>
      <c r="AA85" s="34"/>
      <c r="AB85" s="34"/>
      <c r="AC85" s="109"/>
      <c r="AD85" s="47">
        <f t="shared" si="1"/>
        <v>0</v>
      </c>
      <c r="AE85" s="48">
        <f t="shared" si="2"/>
        <v>0</v>
      </c>
      <c r="AF85" s="49">
        <f t="shared" si="3"/>
        <v>0</v>
      </c>
      <c r="AG85" s="49"/>
      <c r="AH85" s="49"/>
      <c r="AI85" s="49"/>
      <c r="AJ85" s="43">
        <f t="shared" si="4"/>
        <v>0</v>
      </c>
      <c r="AK85" s="7">
        <f t="shared" si="5"/>
        <v>0</v>
      </c>
      <c r="AL85" s="7">
        <f t="shared" si="6"/>
        <v>0</v>
      </c>
      <c r="AM85" s="7">
        <f t="shared" si="7"/>
        <v>0</v>
      </c>
      <c r="AN85" s="7">
        <f t="shared" si="8"/>
        <v>0</v>
      </c>
      <c r="AO85" s="7">
        <f t="shared" si="9"/>
        <v>0</v>
      </c>
      <c r="AP85" s="7">
        <f t="shared" si="10"/>
        <v>0</v>
      </c>
      <c r="AQ85" s="7">
        <f t="shared" si="11"/>
        <v>0</v>
      </c>
      <c r="AR85" s="7">
        <f t="shared" si="12"/>
        <v>0</v>
      </c>
      <c r="AS85" s="7">
        <f t="shared" si="13"/>
        <v>0</v>
      </c>
      <c r="AT85" s="7">
        <f t="shared" si="14"/>
        <v>0</v>
      </c>
      <c r="AU85" s="7">
        <f t="shared" si="15"/>
        <v>0</v>
      </c>
      <c r="AV85" s="7">
        <f t="shared" si="16"/>
        <v>0</v>
      </c>
      <c r="AW85" s="7">
        <f t="shared" si="17"/>
        <v>0</v>
      </c>
      <c r="AX85" s="7">
        <f t="shared" si="18"/>
        <v>0</v>
      </c>
      <c r="AY85" s="7">
        <f t="shared" si="19"/>
        <v>0</v>
      </c>
      <c r="AZ85" s="7">
        <f t="shared" si="20"/>
        <v>0</v>
      </c>
      <c r="BA85" s="7">
        <f t="shared" si="21"/>
        <v>0</v>
      </c>
      <c r="BB85" s="7">
        <f t="shared" si="22"/>
        <v>0</v>
      </c>
      <c r="BC85" s="7">
        <f t="shared" si="23"/>
        <v>0</v>
      </c>
      <c r="BD85" s="7">
        <f t="shared" si="24"/>
        <v>0</v>
      </c>
      <c r="BE85" s="7">
        <f t="shared" si="25"/>
        <v>0</v>
      </c>
      <c r="BF85" s="7">
        <f t="shared" si="26"/>
        <v>0</v>
      </c>
      <c r="BI85" s="7">
        <f>IF(OR(ISERROR(+#REF!/($D85+$E85-$G85)*$G85+#REF!),LEFT(Z85,1)="x"),0,+#REF!/($D85+$E85-$G85)*$G85+#REF!)</f>
        <v>0</v>
      </c>
    </row>
    <row r="86" spans="1:61">
      <c r="A86" s="340"/>
      <c r="B86" s="318"/>
      <c r="C86" s="319"/>
      <c r="D86" s="46"/>
      <c r="E86" s="61"/>
      <c r="F86" s="322"/>
      <c r="G86" s="346"/>
      <c r="H86" s="321"/>
      <c r="I86" s="321"/>
      <c r="J86" s="321"/>
      <c r="K86" s="61"/>
      <c r="L86" s="61"/>
      <c r="M86" s="61"/>
      <c r="N86" s="61"/>
      <c r="O86" s="61"/>
      <c r="P86" s="61"/>
      <c r="Q86" s="61"/>
      <c r="R86" s="34"/>
      <c r="S86" s="320"/>
      <c r="T86" s="61"/>
      <c r="U86" s="34"/>
      <c r="V86" s="34"/>
      <c r="W86" s="320"/>
      <c r="X86" s="34"/>
      <c r="Y86" s="34"/>
      <c r="Z86" s="34"/>
      <c r="AA86" s="34"/>
      <c r="AB86" s="34"/>
      <c r="AC86" s="109"/>
      <c r="AD86" s="47">
        <f t="shared" si="1"/>
        <v>0</v>
      </c>
      <c r="AE86" s="48">
        <f t="shared" si="2"/>
        <v>0</v>
      </c>
      <c r="AF86" s="49">
        <f t="shared" ref="AF86:AF99" si="27">AD86-AE86</f>
        <v>0</v>
      </c>
      <c r="AG86" s="49"/>
      <c r="AH86" s="49"/>
      <c r="AI86" s="49"/>
      <c r="AJ86" s="43">
        <f t="shared" si="4"/>
        <v>0</v>
      </c>
      <c r="AK86" s="7">
        <f t="shared" si="5"/>
        <v>0</v>
      </c>
      <c r="AL86" s="7">
        <f t="shared" si="6"/>
        <v>0</v>
      </c>
      <c r="AM86" s="7">
        <f t="shared" si="7"/>
        <v>0</v>
      </c>
      <c r="AN86" s="7">
        <f t="shared" si="8"/>
        <v>0</v>
      </c>
      <c r="AO86" s="7">
        <f t="shared" si="9"/>
        <v>0</v>
      </c>
      <c r="AP86" s="7">
        <f t="shared" si="10"/>
        <v>0</v>
      </c>
      <c r="AQ86" s="7">
        <f t="shared" si="11"/>
        <v>0</v>
      </c>
      <c r="AR86" s="7">
        <f t="shared" si="12"/>
        <v>0</v>
      </c>
      <c r="AS86" s="7">
        <f t="shared" si="13"/>
        <v>0</v>
      </c>
      <c r="AT86" s="7">
        <f t="shared" si="14"/>
        <v>0</v>
      </c>
      <c r="AU86" s="7">
        <f t="shared" si="15"/>
        <v>0</v>
      </c>
      <c r="AV86" s="7">
        <f t="shared" si="16"/>
        <v>0</v>
      </c>
      <c r="AW86" s="7">
        <f t="shared" si="17"/>
        <v>0</v>
      </c>
      <c r="AX86" s="7">
        <f t="shared" si="18"/>
        <v>0</v>
      </c>
      <c r="AY86" s="7">
        <f t="shared" si="19"/>
        <v>0</v>
      </c>
      <c r="AZ86" s="7">
        <f t="shared" si="20"/>
        <v>0</v>
      </c>
      <c r="BA86" s="7">
        <f t="shared" si="21"/>
        <v>0</v>
      </c>
      <c r="BB86" s="7">
        <f t="shared" si="22"/>
        <v>0</v>
      </c>
      <c r="BC86" s="7">
        <f t="shared" si="23"/>
        <v>0</v>
      </c>
      <c r="BD86" s="7">
        <f t="shared" si="24"/>
        <v>0</v>
      </c>
      <c r="BE86" s="7">
        <f t="shared" si="25"/>
        <v>0</v>
      </c>
      <c r="BF86" s="7">
        <f t="shared" si="26"/>
        <v>0</v>
      </c>
      <c r="BI86" s="7">
        <f>IF(OR(ISERROR(+#REF!/($D86+$E86-$G86)*$G86+#REF!),LEFT(Z86,1)="x"),0,+#REF!/($D86+$E86-$G86)*$G86+#REF!)</f>
        <v>0</v>
      </c>
    </row>
    <row r="87" spans="1:61">
      <c r="A87" s="340"/>
      <c r="B87" s="318"/>
      <c r="C87" s="319"/>
      <c r="D87" s="46"/>
      <c r="E87" s="61"/>
      <c r="F87" s="322"/>
      <c r="G87" s="346"/>
      <c r="H87" s="321"/>
      <c r="I87" s="321"/>
      <c r="J87" s="321"/>
      <c r="K87" s="61"/>
      <c r="L87" s="61"/>
      <c r="M87" s="61"/>
      <c r="N87" s="61"/>
      <c r="O87" s="61"/>
      <c r="P87" s="61"/>
      <c r="Q87" s="61"/>
      <c r="R87" s="34"/>
      <c r="S87" s="320"/>
      <c r="T87" s="61"/>
      <c r="U87" s="34"/>
      <c r="V87" s="34"/>
      <c r="W87" s="320"/>
      <c r="X87" s="34"/>
      <c r="Y87" s="34"/>
      <c r="Z87" s="34"/>
      <c r="AA87" s="34"/>
      <c r="AB87" s="34"/>
      <c r="AC87" s="109"/>
      <c r="AD87" s="47">
        <f t="shared" si="1"/>
        <v>0</v>
      </c>
      <c r="AE87" s="48">
        <f t="shared" si="2"/>
        <v>0</v>
      </c>
      <c r="AF87" s="49">
        <f t="shared" si="27"/>
        <v>0</v>
      </c>
      <c r="AG87" s="49"/>
      <c r="AH87" s="49"/>
      <c r="AI87" s="49"/>
      <c r="AJ87" s="43">
        <f t="shared" si="4"/>
        <v>0</v>
      </c>
      <c r="AK87" s="7">
        <f t="shared" si="5"/>
        <v>0</v>
      </c>
      <c r="AL87" s="7">
        <f t="shared" si="6"/>
        <v>0</v>
      </c>
      <c r="AM87" s="7">
        <f t="shared" si="7"/>
        <v>0</v>
      </c>
      <c r="AN87" s="7">
        <f t="shared" si="8"/>
        <v>0</v>
      </c>
      <c r="AO87" s="7">
        <f t="shared" si="9"/>
        <v>0</v>
      </c>
      <c r="AP87" s="7">
        <f t="shared" si="10"/>
        <v>0</v>
      </c>
      <c r="AQ87" s="7">
        <f t="shared" si="11"/>
        <v>0</v>
      </c>
      <c r="AR87" s="7">
        <f t="shared" si="12"/>
        <v>0</v>
      </c>
      <c r="AS87" s="7">
        <f t="shared" si="13"/>
        <v>0</v>
      </c>
      <c r="AT87" s="7">
        <f t="shared" si="14"/>
        <v>0</v>
      </c>
      <c r="AU87" s="7">
        <f t="shared" si="15"/>
        <v>0</v>
      </c>
      <c r="AV87" s="7">
        <f t="shared" si="16"/>
        <v>0</v>
      </c>
      <c r="AW87" s="7">
        <f t="shared" si="17"/>
        <v>0</v>
      </c>
      <c r="AX87" s="7">
        <f t="shared" si="18"/>
        <v>0</v>
      </c>
      <c r="AY87" s="7">
        <f t="shared" si="19"/>
        <v>0</v>
      </c>
      <c r="AZ87" s="7">
        <f t="shared" si="20"/>
        <v>0</v>
      </c>
      <c r="BA87" s="7">
        <f t="shared" si="21"/>
        <v>0</v>
      </c>
      <c r="BB87" s="7">
        <f t="shared" si="22"/>
        <v>0</v>
      </c>
      <c r="BC87" s="7">
        <f t="shared" si="23"/>
        <v>0</v>
      </c>
      <c r="BD87" s="7">
        <f t="shared" si="24"/>
        <v>0</v>
      </c>
      <c r="BE87" s="7">
        <f t="shared" si="25"/>
        <v>0</v>
      </c>
      <c r="BF87" s="7">
        <f t="shared" si="26"/>
        <v>0</v>
      </c>
      <c r="BI87" s="7">
        <f>IF(OR(ISERROR(+#REF!/($D87+$E87-$G87)*$G87+#REF!),LEFT(Z87,1)="x"),0,+#REF!/($D87+$E87-$G87)*$G87+#REF!)</f>
        <v>0</v>
      </c>
    </row>
    <row r="88" spans="1:61">
      <c r="A88" s="340"/>
      <c r="B88" s="318"/>
      <c r="C88" s="319"/>
      <c r="D88" s="46"/>
      <c r="E88" s="61"/>
      <c r="F88" s="322"/>
      <c r="G88" s="346"/>
      <c r="H88" s="321"/>
      <c r="I88" s="321"/>
      <c r="J88" s="321"/>
      <c r="K88" s="61"/>
      <c r="L88" s="61"/>
      <c r="M88" s="61"/>
      <c r="N88" s="61"/>
      <c r="O88" s="61"/>
      <c r="P88" s="61"/>
      <c r="Q88" s="61"/>
      <c r="R88" s="34"/>
      <c r="S88" s="320"/>
      <c r="T88" s="61"/>
      <c r="U88" s="34"/>
      <c r="V88" s="34"/>
      <c r="W88" s="320"/>
      <c r="X88" s="34"/>
      <c r="Y88" s="34"/>
      <c r="Z88" s="34"/>
      <c r="AA88" s="34"/>
      <c r="AB88" s="34"/>
      <c r="AC88" s="109"/>
      <c r="AD88" s="47">
        <f t="shared" si="1"/>
        <v>0</v>
      </c>
      <c r="AE88" s="48">
        <f t="shared" si="2"/>
        <v>0</v>
      </c>
      <c r="AF88" s="49">
        <f t="shared" si="27"/>
        <v>0</v>
      </c>
      <c r="AG88" s="49"/>
      <c r="AH88" s="49"/>
      <c r="AI88" s="49"/>
      <c r="AJ88" s="43">
        <f t="shared" si="4"/>
        <v>0</v>
      </c>
      <c r="AK88" s="7">
        <f t="shared" si="5"/>
        <v>0</v>
      </c>
      <c r="AL88" s="7">
        <f t="shared" si="6"/>
        <v>0</v>
      </c>
      <c r="AM88" s="7">
        <f t="shared" si="7"/>
        <v>0</v>
      </c>
      <c r="AN88" s="7">
        <f t="shared" si="8"/>
        <v>0</v>
      </c>
      <c r="AO88" s="7">
        <f t="shared" si="9"/>
        <v>0</v>
      </c>
      <c r="AP88" s="7">
        <f t="shared" si="10"/>
        <v>0</v>
      </c>
      <c r="AQ88" s="7">
        <f t="shared" si="11"/>
        <v>0</v>
      </c>
      <c r="AR88" s="7">
        <f t="shared" si="12"/>
        <v>0</v>
      </c>
      <c r="AS88" s="7">
        <f t="shared" si="13"/>
        <v>0</v>
      </c>
      <c r="AT88" s="7">
        <f t="shared" si="14"/>
        <v>0</v>
      </c>
      <c r="AU88" s="7">
        <f t="shared" si="15"/>
        <v>0</v>
      </c>
      <c r="AV88" s="7">
        <f t="shared" si="16"/>
        <v>0</v>
      </c>
      <c r="AW88" s="7">
        <f t="shared" si="17"/>
        <v>0</v>
      </c>
      <c r="AX88" s="7">
        <f t="shared" si="18"/>
        <v>0</v>
      </c>
      <c r="AY88" s="7">
        <f t="shared" si="19"/>
        <v>0</v>
      </c>
      <c r="AZ88" s="7">
        <f t="shared" si="20"/>
        <v>0</v>
      </c>
      <c r="BA88" s="7">
        <f t="shared" si="21"/>
        <v>0</v>
      </c>
      <c r="BB88" s="7">
        <f t="shared" si="22"/>
        <v>0</v>
      </c>
      <c r="BC88" s="7">
        <f t="shared" si="23"/>
        <v>0</v>
      </c>
      <c r="BD88" s="7">
        <f t="shared" si="24"/>
        <v>0</v>
      </c>
      <c r="BE88" s="7">
        <f t="shared" si="25"/>
        <v>0</v>
      </c>
      <c r="BF88" s="7">
        <f t="shared" si="26"/>
        <v>0</v>
      </c>
      <c r="BI88" s="7">
        <f>IF(OR(ISERROR(+#REF!/($D88+$E88-$G88)*$G88+#REF!),LEFT(Z88,1)="x"),0,+#REF!/($D88+$E88-$G88)*$G88+#REF!)</f>
        <v>0</v>
      </c>
    </row>
    <row r="89" spans="1:61">
      <c r="A89" s="340"/>
      <c r="B89" s="318"/>
      <c r="C89" s="319"/>
      <c r="D89" s="46"/>
      <c r="E89" s="61"/>
      <c r="F89" s="322"/>
      <c r="G89" s="346"/>
      <c r="H89" s="321"/>
      <c r="I89" s="321"/>
      <c r="J89" s="321"/>
      <c r="K89" s="61"/>
      <c r="L89" s="61"/>
      <c r="M89" s="61"/>
      <c r="N89" s="61"/>
      <c r="O89" s="61"/>
      <c r="P89" s="61"/>
      <c r="Q89" s="61"/>
      <c r="R89" s="34"/>
      <c r="S89" s="320"/>
      <c r="T89" s="61"/>
      <c r="U89" s="34"/>
      <c r="V89" s="34"/>
      <c r="W89" s="320"/>
      <c r="X89" s="34"/>
      <c r="Y89" s="34"/>
      <c r="Z89" s="34"/>
      <c r="AA89" s="34"/>
      <c r="AB89" s="34"/>
      <c r="AC89" s="109"/>
      <c r="AD89" s="47">
        <f t="shared" si="1"/>
        <v>0</v>
      </c>
      <c r="AE89" s="48">
        <f t="shared" si="2"/>
        <v>0</v>
      </c>
      <c r="AF89" s="49">
        <f t="shared" si="27"/>
        <v>0</v>
      </c>
      <c r="AG89" s="49"/>
      <c r="AH89" s="49"/>
      <c r="AI89" s="49"/>
      <c r="AJ89" s="43">
        <f t="shared" si="4"/>
        <v>0</v>
      </c>
      <c r="AK89" s="7">
        <f t="shared" si="5"/>
        <v>0</v>
      </c>
      <c r="AL89" s="7">
        <f t="shared" si="6"/>
        <v>0</v>
      </c>
      <c r="AM89" s="7">
        <f t="shared" si="7"/>
        <v>0</v>
      </c>
      <c r="AN89" s="7">
        <f t="shared" si="8"/>
        <v>0</v>
      </c>
      <c r="AO89" s="7">
        <f t="shared" si="9"/>
        <v>0</v>
      </c>
      <c r="AP89" s="7">
        <f t="shared" si="10"/>
        <v>0</v>
      </c>
      <c r="AQ89" s="7">
        <f t="shared" si="11"/>
        <v>0</v>
      </c>
      <c r="AR89" s="7">
        <f t="shared" si="12"/>
        <v>0</v>
      </c>
      <c r="AS89" s="7">
        <f t="shared" si="13"/>
        <v>0</v>
      </c>
      <c r="AT89" s="7">
        <f t="shared" si="14"/>
        <v>0</v>
      </c>
      <c r="AU89" s="7">
        <f t="shared" si="15"/>
        <v>0</v>
      </c>
      <c r="AV89" s="7">
        <f t="shared" si="16"/>
        <v>0</v>
      </c>
      <c r="AW89" s="7">
        <f t="shared" si="17"/>
        <v>0</v>
      </c>
      <c r="AX89" s="7">
        <f t="shared" si="18"/>
        <v>0</v>
      </c>
      <c r="AY89" s="7">
        <f t="shared" si="19"/>
        <v>0</v>
      </c>
      <c r="AZ89" s="7">
        <f t="shared" si="20"/>
        <v>0</v>
      </c>
      <c r="BA89" s="7">
        <f t="shared" si="21"/>
        <v>0</v>
      </c>
      <c r="BB89" s="7">
        <f t="shared" si="22"/>
        <v>0</v>
      </c>
      <c r="BC89" s="7">
        <f t="shared" si="23"/>
        <v>0</v>
      </c>
      <c r="BD89" s="7">
        <f t="shared" si="24"/>
        <v>0</v>
      </c>
      <c r="BE89" s="7">
        <f t="shared" si="25"/>
        <v>0</v>
      </c>
      <c r="BF89" s="7">
        <f t="shared" si="26"/>
        <v>0</v>
      </c>
      <c r="BI89" s="7">
        <f>IF(OR(ISERROR(+#REF!/($D89+$E89-$G89)*$G89+#REF!),LEFT(Z89,1)="x"),0,+#REF!/($D89+$E89-$G89)*$G89+#REF!)</f>
        <v>0</v>
      </c>
    </row>
    <row r="90" spans="1:61">
      <c r="A90" s="340"/>
      <c r="B90" s="318"/>
      <c r="C90" s="319"/>
      <c r="D90" s="46"/>
      <c r="E90" s="61"/>
      <c r="F90" s="322"/>
      <c r="G90" s="346"/>
      <c r="H90" s="321"/>
      <c r="I90" s="321"/>
      <c r="J90" s="321"/>
      <c r="K90" s="61"/>
      <c r="L90" s="61"/>
      <c r="M90" s="61"/>
      <c r="N90" s="61"/>
      <c r="O90" s="61"/>
      <c r="P90" s="61"/>
      <c r="Q90" s="61"/>
      <c r="R90" s="34"/>
      <c r="S90" s="320"/>
      <c r="T90" s="61"/>
      <c r="U90" s="34"/>
      <c r="V90" s="34"/>
      <c r="W90" s="320"/>
      <c r="X90" s="34"/>
      <c r="Y90" s="34"/>
      <c r="Z90" s="34"/>
      <c r="AA90" s="34"/>
      <c r="AB90" s="34"/>
      <c r="AC90" s="109"/>
      <c r="AD90" s="47">
        <f t="shared" si="1"/>
        <v>0</v>
      </c>
      <c r="AE90" s="48">
        <f t="shared" si="2"/>
        <v>0</v>
      </c>
      <c r="AF90" s="49">
        <f t="shared" si="27"/>
        <v>0</v>
      </c>
      <c r="AG90" s="49"/>
      <c r="AH90" s="49"/>
      <c r="AI90" s="49"/>
      <c r="AJ90" s="43">
        <f t="shared" si="4"/>
        <v>0</v>
      </c>
      <c r="AK90" s="7">
        <f t="shared" si="5"/>
        <v>0</v>
      </c>
      <c r="AL90" s="7">
        <f t="shared" si="6"/>
        <v>0</v>
      </c>
      <c r="AM90" s="7">
        <f t="shared" si="7"/>
        <v>0</v>
      </c>
      <c r="AN90" s="7">
        <f t="shared" si="8"/>
        <v>0</v>
      </c>
      <c r="AO90" s="7">
        <f t="shared" si="9"/>
        <v>0</v>
      </c>
      <c r="AP90" s="7">
        <f t="shared" si="10"/>
        <v>0</v>
      </c>
      <c r="AQ90" s="7">
        <f t="shared" si="11"/>
        <v>0</v>
      </c>
      <c r="AR90" s="7">
        <f t="shared" si="12"/>
        <v>0</v>
      </c>
      <c r="AS90" s="7">
        <f t="shared" si="13"/>
        <v>0</v>
      </c>
      <c r="AT90" s="7">
        <f t="shared" si="14"/>
        <v>0</v>
      </c>
      <c r="AU90" s="7">
        <f t="shared" si="15"/>
        <v>0</v>
      </c>
      <c r="AV90" s="7">
        <f t="shared" si="16"/>
        <v>0</v>
      </c>
      <c r="AW90" s="7">
        <f t="shared" si="17"/>
        <v>0</v>
      </c>
      <c r="AX90" s="7">
        <f t="shared" si="18"/>
        <v>0</v>
      </c>
      <c r="AY90" s="7">
        <f t="shared" si="19"/>
        <v>0</v>
      </c>
      <c r="AZ90" s="7">
        <f t="shared" si="20"/>
        <v>0</v>
      </c>
      <c r="BA90" s="7">
        <f t="shared" si="21"/>
        <v>0</v>
      </c>
      <c r="BB90" s="7">
        <f t="shared" si="22"/>
        <v>0</v>
      </c>
      <c r="BC90" s="7">
        <f t="shared" si="23"/>
        <v>0</v>
      </c>
      <c r="BD90" s="7">
        <f t="shared" si="24"/>
        <v>0</v>
      </c>
      <c r="BE90" s="7">
        <f t="shared" si="25"/>
        <v>0</v>
      </c>
      <c r="BF90" s="7">
        <f t="shared" si="26"/>
        <v>0</v>
      </c>
      <c r="BI90" s="7">
        <f>IF(OR(ISERROR(+#REF!/($D90+$E90-$G90)*$G90+#REF!),LEFT(Z90,1)="x"),0,+#REF!/($D90+$E90-$G90)*$G90+#REF!)</f>
        <v>0</v>
      </c>
    </row>
    <row r="91" spans="1:61">
      <c r="A91" s="340"/>
      <c r="B91" s="318"/>
      <c r="C91" s="319"/>
      <c r="D91" s="46"/>
      <c r="E91" s="61"/>
      <c r="F91" s="322"/>
      <c r="G91" s="346"/>
      <c r="H91" s="321"/>
      <c r="I91" s="321"/>
      <c r="J91" s="321"/>
      <c r="K91" s="61"/>
      <c r="L91" s="61"/>
      <c r="M91" s="61"/>
      <c r="N91" s="61"/>
      <c r="O91" s="61"/>
      <c r="P91" s="61"/>
      <c r="Q91" s="61"/>
      <c r="R91" s="34"/>
      <c r="S91" s="320"/>
      <c r="T91" s="61"/>
      <c r="U91" s="34"/>
      <c r="V91" s="34"/>
      <c r="W91" s="320"/>
      <c r="X91" s="34"/>
      <c r="Y91" s="34"/>
      <c r="Z91" s="34"/>
      <c r="AA91" s="34"/>
      <c r="AB91" s="34"/>
      <c r="AC91" s="109"/>
      <c r="AD91" s="47">
        <f t="shared" si="1"/>
        <v>0</v>
      </c>
      <c r="AE91" s="48">
        <f t="shared" si="2"/>
        <v>0</v>
      </c>
      <c r="AF91" s="49">
        <f t="shared" si="27"/>
        <v>0</v>
      </c>
      <c r="AG91" s="49"/>
      <c r="AH91" s="49"/>
      <c r="AI91" s="49"/>
      <c r="AJ91" s="43">
        <f t="shared" si="4"/>
        <v>0</v>
      </c>
      <c r="AK91" s="7">
        <f t="shared" si="5"/>
        <v>0</v>
      </c>
      <c r="AL91" s="7">
        <f t="shared" si="6"/>
        <v>0</v>
      </c>
      <c r="AM91" s="7">
        <f t="shared" si="7"/>
        <v>0</v>
      </c>
      <c r="AN91" s="7">
        <f t="shared" si="8"/>
        <v>0</v>
      </c>
      <c r="AO91" s="7">
        <f t="shared" si="9"/>
        <v>0</v>
      </c>
      <c r="AP91" s="7">
        <f t="shared" si="10"/>
        <v>0</v>
      </c>
      <c r="AQ91" s="7">
        <f t="shared" si="11"/>
        <v>0</v>
      </c>
      <c r="AR91" s="7">
        <f t="shared" si="12"/>
        <v>0</v>
      </c>
      <c r="AS91" s="7">
        <f t="shared" si="13"/>
        <v>0</v>
      </c>
      <c r="AT91" s="7">
        <f t="shared" si="14"/>
        <v>0</v>
      </c>
      <c r="AU91" s="7">
        <f t="shared" si="15"/>
        <v>0</v>
      </c>
      <c r="AV91" s="7">
        <f t="shared" si="16"/>
        <v>0</v>
      </c>
      <c r="AW91" s="7">
        <f t="shared" si="17"/>
        <v>0</v>
      </c>
      <c r="AX91" s="7">
        <f t="shared" si="18"/>
        <v>0</v>
      </c>
      <c r="AY91" s="7">
        <f t="shared" si="19"/>
        <v>0</v>
      </c>
      <c r="AZ91" s="7">
        <f t="shared" si="20"/>
        <v>0</v>
      </c>
      <c r="BA91" s="7">
        <f t="shared" si="21"/>
        <v>0</v>
      </c>
      <c r="BB91" s="7">
        <f t="shared" si="22"/>
        <v>0</v>
      </c>
      <c r="BC91" s="7">
        <f t="shared" si="23"/>
        <v>0</v>
      </c>
      <c r="BD91" s="7">
        <f t="shared" si="24"/>
        <v>0</v>
      </c>
      <c r="BE91" s="7">
        <f t="shared" si="25"/>
        <v>0</v>
      </c>
      <c r="BF91" s="7">
        <f t="shared" si="26"/>
        <v>0</v>
      </c>
      <c r="BI91" s="7">
        <f>IF(OR(ISERROR(+#REF!/($D91+$E91-$G91)*$G91+#REF!),LEFT(Z91,1)="x"),0,+#REF!/($D91+$E91-$G91)*$G91+#REF!)</f>
        <v>0</v>
      </c>
    </row>
    <row r="92" spans="1:61">
      <c r="A92" s="340"/>
      <c r="B92" s="318"/>
      <c r="C92" s="319"/>
      <c r="D92" s="46"/>
      <c r="E92" s="61"/>
      <c r="F92" s="322"/>
      <c r="G92" s="346"/>
      <c r="H92" s="321"/>
      <c r="I92" s="321"/>
      <c r="J92" s="321"/>
      <c r="K92" s="61"/>
      <c r="L92" s="61"/>
      <c r="M92" s="61"/>
      <c r="N92" s="61"/>
      <c r="O92" s="61"/>
      <c r="P92" s="61"/>
      <c r="Q92" s="61"/>
      <c r="R92" s="34"/>
      <c r="S92" s="320"/>
      <c r="T92" s="61"/>
      <c r="U92" s="34"/>
      <c r="V92" s="34"/>
      <c r="W92" s="320"/>
      <c r="X92" s="34"/>
      <c r="Y92" s="34"/>
      <c r="Z92" s="34"/>
      <c r="AA92" s="34"/>
      <c r="AB92" s="34"/>
      <c r="AC92" s="109"/>
      <c r="AD92" s="47">
        <f t="shared" si="1"/>
        <v>0</v>
      </c>
      <c r="AE92" s="48">
        <f t="shared" si="2"/>
        <v>0</v>
      </c>
      <c r="AF92" s="49">
        <f t="shared" si="27"/>
        <v>0</v>
      </c>
      <c r="AG92" s="49"/>
      <c r="AH92" s="49"/>
      <c r="AI92" s="49"/>
      <c r="AJ92" s="43">
        <f t="shared" si="4"/>
        <v>0</v>
      </c>
      <c r="AK92" s="7">
        <f t="shared" si="5"/>
        <v>0</v>
      </c>
      <c r="AL92" s="7">
        <f t="shared" si="6"/>
        <v>0</v>
      </c>
      <c r="AM92" s="7">
        <f t="shared" si="7"/>
        <v>0</v>
      </c>
      <c r="AN92" s="7">
        <f t="shared" si="8"/>
        <v>0</v>
      </c>
      <c r="AO92" s="7">
        <f t="shared" si="9"/>
        <v>0</v>
      </c>
      <c r="AP92" s="7">
        <f t="shared" si="10"/>
        <v>0</v>
      </c>
      <c r="AQ92" s="7">
        <f t="shared" si="11"/>
        <v>0</v>
      </c>
      <c r="AR92" s="7">
        <f t="shared" si="12"/>
        <v>0</v>
      </c>
      <c r="AS92" s="7">
        <f t="shared" si="13"/>
        <v>0</v>
      </c>
      <c r="AT92" s="7">
        <f t="shared" si="14"/>
        <v>0</v>
      </c>
      <c r="AU92" s="7">
        <f t="shared" si="15"/>
        <v>0</v>
      </c>
      <c r="AV92" s="7">
        <f t="shared" si="16"/>
        <v>0</v>
      </c>
      <c r="AW92" s="7">
        <f t="shared" si="17"/>
        <v>0</v>
      </c>
      <c r="AX92" s="7">
        <f t="shared" si="18"/>
        <v>0</v>
      </c>
      <c r="AY92" s="7">
        <f t="shared" si="19"/>
        <v>0</v>
      </c>
      <c r="AZ92" s="7">
        <f t="shared" si="20"/>
        <v>0</v>
      </c>
      <c r="BA92" s="7">
        <f t="shared" si="21"/>
        <v>0</v>
      </c>
      <c r="BB92" s="7">
        <f t="shared" si="22"/>
        <v>0</v>
      </c>
      <c r="BC92" s="7">
        <f t="shared" si="23"/>
        <v>0</v>
      </c>
      <c r="BD92" s="7">
        <f t="shared" si="24"/>
        <v>0</v>
      </c>
      <c r="BE92" s="7">
        <f t="shared" si="25"/>
        <v>0</v>
      </c>
      <c r="BF92" s="7">
        <f t="shared" si="26"/>
        <v>0</v>
      </c>
      <c r="BI92" s="7">
        <f>IF(OR(ISERROR(+#REF!/($D92+$E92-$G92)*$G92+#REF!),LEFT(Z92,1)="x"),0,+#REF!/($D92+$E92-$G92)*$G92+#REF!)</f>
        <v>0</v>
      </c>
    </row>
    <row r="93" spans="1:61">
      <c r="A93" s="340"/>
      <c r="B93" s="318"/>
      <c r="C93" s="319"/>
      <c r="D93" s="46"/>
      <c r="E93" s="61"/>
      <c r="F93" s="322"/>
      <c r="G93" s="346"/>
      <c r="H93" s="321"/>
      <c r="I93" s="321"/>
      <c r="J93" s="321"/>
      <c r="K93" s="61"/>
      <c r="L93" s="61"/>
      <c r="M93" s="61"/>
      <c r="N93" s="61"/>
      <c r="O93" s="61"/>
      <c r="P93" s="61"/>
      <c r="Q93" s="61"/>
      <c r="R93" s="34"/>
      <c r="S93" s="320"/>
      <c r="T93" s="61"/>
      <c r="U93" s="34"/>
      <c r="V93" s="34"/>
      <c r="W93" s="320"/>
      <c r="X93" s="34"/>
      <c r="Y93" s="34"/>
      <c r="Z93" s="34"/>
      <c r="AA93" s="34"/>
      <c r="AB93" s="34"/>
      <c r="AC93" s="109"/>
      <c r="AD93" s="47">
        <f t="shared" si="1"/>
        <v>0</v>
      </c>
      <c r="AE93" s="48">
        <f t="shared" si="2"/>
        <v>0</v>
      </c>
      <c r="AF93" s="49">
        <f t="shared" si="27"/>
        <v>0</v>
      </c>
      <c r="AG93" s="49"/>
      <c r="AH93" s="49"/>
      <c r="AI93" s="49"/>
      <c r="AJ93" s="43">
        <f t="shared" si="4"/>
        <v>0</v>
      </c>
      <c r="AK93" s="7">
        <f t="shared" si="5"/>
        <v>0</v>
      </c>
      <c r="AL93" s="7">
        <f t="shared" si="6"/>
        <v>0</v>
      </c>
      <c r="AM93" s="7">
        <f t="shared" si="7"/>
        <v>0</v>
      </c>
      <c r="AN93" s="7">
        <f t="shared" si="8"/>
        <v>0</v>
      </c>
      <c r="AO93" s="7">
        <f t="shared" si="9"/>
        <v>0</v>
      </c>
      <c r="AP93" s="7">
        <f t="shared" si="10"/>
        <v>0</v>
      </c>
      <c r="AQ93" s="7">
        <f t="shared" si="11"/>
        <v>0</v>
      </c>
      <c r="AR93" s="7">
        <f t="shared" si="12"/>
        <v>0</v>
      </c>
      <c r="AS93" s="7">
        <f t="shared" si="13"/>
        <v>0</v>
      </c>
      <c r="AT93" s="7">
        <f t="shared" si="14"/>
        <v>0</v>
      </c>
      <c r="AU93" s="7">
        <f t="shared" si="15"/>
        <v>0</v>
      </c>
      <c r="AV93" s="7">
        <f t="shared" si="16"/>
        <v>0</v>
      </c>
      <c r="AW93" s="7">
        <f t="shared" si="17"/>
        <v>0</v>
      </c>
      <c r="AX93" s="7">
        <f t="shared" si="18"/>
        <v>0</v>
      </c>
      <c r="AY93" s="7">
        <f t="shared" si="19"/>
        <v>0</v>
      </c>
      <c r="AZ93" s="7">
        <f t="shared" si="20"/>
        <v>0</v>
      </c>
      <c r="BA93" s="7">
        <f t="shared" si="21"/>
        <v>0</v>
      </c>
      <c r="BB93" s="7">
        <f t="shared" si="22"/>
        <v>0</v>
      </c>
      <c r="BC93" s="7">
        <f t="shared" si="23"/>
        <v>0</v>
      </c>
      <c r="BD93" s="7">
        <f t="shared" si="24"/>
        <v>0</v>
      </c>
      <c r="BE93" s="7">
        <f t="shared" si="25"/>
        <v>0</v>
      </c>
      <c r="BF93" s="7">
        <f t="shared" si="26"/>
        <v>0</v>
      </c>
      <c r="BI93" s="7">
        <f>IF(OR(ISERROR(+#REF!/($D93+$E93-$G93)*$G93+#REF!),LEFT(Z93,1)="x"),0,+#REF!/($D93+$E93-$G93)*$G93+#REF!)</f>
        <v>0</v>
      </c>
    </row>
    <row r="94" spans="1:61">
      <c r="A94" s="340"/>
      <c r="B94" s="318"/>
      <c r="C94" s="319"/>
      <c r="D94" s="46"/>
      <c r="E94" s="61"/>
      <c r="F94" s="322"/>
      <c r="G94" s="346"/>
      <c r="H94" s="321"/>
      <c r="I94" s="321"/>
      <c r="J94" s="321"/>
      <c r="K94" s="61"/>
      <c r="L94" s="61"/>
      <c r="M94" s="61"/>
      <c r="N94" s="61"/>
      <c r="O94" s="61"/>
      <c r="P94" s="61"/>
      <c r="Q94" s="61"/>
      <c r="R94" s="34"/>
      <c r="S94" s="320"/>
      <c r="T94" s="61"/>
      <c r="U94" s="34"/>
      <c r="V94" s="34"/>
      <c r="W94" s="320"/>
      <c r="X94" s="34"/>
      <c r="Y94" s="34"/>
      <c r="Z94" s="34"/>
      <c r="AA94" s="34"/>
      <c r="AB94" s="34"/>
      <c r="AC94" s="109"/>
      <c r="AD94" s="47">
        <f t="shared" si="1"/>
        <v>0</v>
      </c>
      <c r="AE94" s="48">
        <f t="shared" si="2"/>
        <v>0</v>
      </c>
      <c r="AF94" s="49">
        <f t="shared" si="27"/>
        <v>0</v>
      </c>
      <c r="AG94" s="49"/>
      <c r="AH94" s="49"/>
      <c r="AI94" s="49"/>
      <c r="AJ94" s="43">
        <f t="shared" si="4"/>
        <v>0</v>
      </c>
      <c r="AK94" s="7">
        <f t="shared" si="5"/>
        <v>0</v>
      </c>
      <c r="AL94" s="7">
        <f t="shared" si="6"/>
        <v>0</v>
      </c>
      <c r="AM94" s="7">
        <f t="shared" si="7"/>
        <v>0</v>
      </c>
      <c r="AN94" s="7">
        <f t="shared" si="8"/>
        <v>0</v>
      </c>
      <c r="AO94" s="7">
        <f t="shared" si="9"/>
        <v>0</v>
      </c>
      <c r="AP94" s="7">
        <f t="shared" si="10"/>
        <v>0</v>
      </c>
      <c r="AQ94" s="7">
        <f t="shared" si="11"/>
        <v>0</v>
      </c>
      <c r="AR94" s="7">
        <f t="shared" si="12"/>
        <v>0</v>
      </c>
      <c r="AS94" s="7">
        <f t="shared" si="13"/>
        <v>0</v>
      </c>
      <c r="AT94" s="7">
        <f t="shared" si="14"/>
        <v>0</v>
      </c>
      <c r="AU94" s="7">
        <f t="shared" si="15"/>
        <v>0</v>
      </c>
      <c r="AV94" s="7">
        <f t="shared" si="16"/>
        <v>0</v>
      </c>
      <c r="AW94" s="7">
        <f t="shared" si="17"/>
        <v>0</v>
      </c>
      <c r="AX94" s="7">
        <f t="shared" si="18"/>
        <v>0</v>
      </c>
      <c r="AY94" s="7">
        <f t="shared" si="19"/>
        <v>0</v>
      </c>
      <c r="AZ94" s="7">
        <f t="shared" si="20"/>
        <v>0</v>
      </c>
      <c r="BA94" s="7">
        <f t="shared" si="21"/>
        <v>0</v>
      </c>
      <c r="BB94" s="7">
        <f t="shared" si="22"/>
        <v>0</v>
      </c>
      <c r="BC94" s="7">
        <f t="shared" si="23"/>
        <v>0</v>
      </c>
      <c r="BD94" s="7">
        <f t="shared" si="24"/>
        <v>0</v>
      </c>
      <c r="BE94" s="7">
        <f t="shared" si="25"/>
        <v>0</v>
      </c>
      <c r="BF94" s="7">
        <f t="shared" si="26"/>
        <v>0</v>
      </c>
      <c r="BI94" s="7">
        <f>IF(OR(ISERROR(+#REF!/($D94+$E94-$G94)*$G94+#REF!),LEFT(Z94,1)="x"),0,+#REF!/($D94+$E94-$G94)*$G94+#REF!)</f>
        <v>0</v>
      </c>
    </row>
    <row r="95" spans="1:61">
      <c r="A95" s="340"/>
      <c r="B95" s="318"/>
      <c r="C95" s="319"/>
      <c r="D95" s="46"/>
      <c r="E95" s="61" t="s">
        <v>20</v>
      </c>
      <c r="F95" s="322" t="s">
        <v>20</v>
      </c>
      <c r="G95" s="346" t="s">
        <v>20</v>
      </c>
      <c r="H95" s="321"/>
      <c r="I95" s="321"/>
      <c r="J95" s="321" t="s">
        <v>20</v>
      </c>
      <c r="K95" s="61"/>
      <c r="L95" s="61"/>
      <c r="M95" s="61"/>
      <c r="N95" s="61"/>
      <c r="O95" s="61"/>
      <c r="P95" s="61"/>
      <c r="Q95" s="61"/>
      <c r="R95" s="34" t="s">
        <v>20</v>
      </c>
      <c r="S95" s="320"/>
      <c r="T95" s="61"/>
      <c r="U95" s="34"/>
      <c r="V95" s="34"/>
      <c r="W95" s="320"/>
      <c r="X95" s="34"/>
      <c r="Y95" s="34"/>
      <c r="Z95" s="34"/>
      <c r="AA95" s="34"/>
      <c r="AB95" s="34"/>
      <c r="AC95" s="109"/>
      <c r="AD95" s="47">
        <f t="shared" si="1"/>
        <v>0</v>
      </c>
      <c r="AE95" s="48">
        <f t="shared" si="2"/>
        <v>0</v>
      </c>
      <c r="AF95" s="49">
        <f t="shared" si="27"/>
        <v>0</v>
      </c>
      <c r="AG95" s="49"/>
      <c r="AH95" s="49"/>
      <c r="AI95" s="49"/>
      <c r="AJ95" s="43">
        <f t="shared" si="4"/>
        <v>0</v>
      </c>
      <c r="AK95" s="7">
        <f t="shared" si="5"/>
        <v>0</v>
      </c>
      <c r="AL95" s="7">
        <f t="shared" si="6"/>
        <v>0</v>
      </c>
      <c r="AM95" s="7">
        <f t="shared" si="7"/>
        <v>0</v>
      </c>
      <c r="AN95" s="7">
        <f t="shared" si="8"/>
        <v>0</v>
      </c>
      <c r="AO95" s="7">
        <f t="shared" si="9"/>
        <v>0</v>
      </c>
      <c r="AP95" s="7">
        <f t="shared" si="10"/>
        <v>0</v>
      </c>
      <c r="AQ95" s="7">
        <f t="shared" si="11"/>
        <v>0</v>
      </c>
      <c r="AR95" s="7">
        <f t="shared" si="12"/>
        <v>0</v>
      </c>
      <c r="AS95" s="7">
        <f t="shared" si="13"/>
        <v>0</v>
      </c>
      <c r="AT95" s="7">
        <f t="shared" si="14"/>
        <v>0</v>
      </c>
      <c r="AU95" s="7">
        <f t="shared" si="15"/>
        <v>0</v>
      </c>
      <c r="AV95" s="7">
        <f t="shared" si="16"/>
        <v>0</v>
      </c>
      <c r="AW95" s="7">
        <f t="shared" si="17"/>
        <v>0</v>
      </c>
      <c r="AX95" s="7">
        <f t="shared" si="18"/>
        <v>0</v>
      </c>
      <c r="AY95" s="7">
        <f t="shared" si="19"/>
        <v>0</v>
      </c>
      <c r="AZ95" s="7">
        <f t="shared" si="20"/>
        <v>0</v>
      </c>
      <c r="BA95" s="7">
        <f t="shared" si="21"/>
        <v>0</v>
      </c>
      <c r="BB95" s="7">
        <f t="shared" si="22"/>
        <v>0</v>
      </c>
      <c r="BC95" s="7">
        <f t="shared" si="23"/>
        <v>0</v>
      </c>
      <c r="BD95" s="7">
        <f t="shared" si="24"/>
        <v>0</v>
      </c>
      <c r="BE95" s="7">
        <f t="shared" si="25"/>
        <v>0</v>
      </c>
      <c r="BF95" s="7">
        <f t="shared" si="26"/>
        <v>0</v>
      </c>
      <c r="BI95" s="7">
        <f>IF(OR(ISERROR(+#REF!/($D95+$E95-$G95)*$G95+#REF!),LEFT(Z95,1)="x"),0,+#REF!/($D95+$E95-$G95)*$G95+#REF!)</f>
        <v>0</v>
      </c>
    </row>
    <row r="96" spans="1:61">
      <c r="A96" s="340"/>
      <c r="B96" s="318"/>
      <c r="C96" s="319"/>
      <c r="D96" s="46"/>
      <c r="E96" s="61"/>
      <c r="F96" s="322" t="s">
        <v>20</v>
      </c>
      <c r="G96" s="346" t="s">
        <v>20</v>
      </c>
      <c r="H96" s="321"/>
      <c r="I96" s="321"/>
      <c r="J96" s="321"/>
      <c r="K96" s="61"/>
      <c r="L96" s="61"/>
      <c r="M96" s="61"/>
      <c r="N96" s="61"/>
      <c r="O96" s="61"/>
      <c r="P96" s="61"/>
      <c r="Q96" s="61"/>
      <c r="R96" s="34" t="s">
        <v>20</v>
      </c>
      <c r="S96" s="320"/>
      <c r="T96" s="61"/>
      <c r="U96" s="34"/>
      <c r="V96" s="34"/>
      <c r="W96" s="320"/>
      <c r="X96" s="34"/>
      <c r="Y96" s="34"/>
      <c r="Z96" s="34"/>
      <c r="AA96" s="34"/>
      <c r="AB96" s="34"/>
      <c r="AC96" s="109"/>
      <c r="AD96" s="47">
        <f t="shared" si="1"/>
        <v>0</v>
      </c>
      <c r="AE96" s="48">
        <f t="shared" si="2"/>
        <v>0</v>
      </c>
      <c r="AF96" s="49">
        <f t="shared" si="27"/>
        <v>0</v>
      </c>
      <c r="AG96" s="49"/>
      <c r="AH96" s="49"/>
      <c r="AI96" s="49"/>
      <c r="AJ96" s="43">
        <f t="shared" si="4"/>
        <v>0</v>
      </c>
      <c r="AK96" s="7">
        <f t="shared" si="5"/>
        <v>0</v>
      </c>
      <c r="AL96" s="7">
        <f t="shared" si="6"/>
        <v>0</v>
      </c>
      <c r="AM96" s="7">
        <f t="shared" si="7"/>
        <v>0</v>
      </c>
      <c r="AN96" s="7">
        <f t="shared" si="8"/>
        <v>0</v>
      </c>
      <c r="AO96" s="7">
        <f t="shared" si="9"/>
        <v>0</v>
      </c>
      <c r="AP96" s="7">
        <f t="shared" si="10"/>
        <v>0</v>
      </c>
      <c r="AQ96" s="7">
        <f t="shared" si="11"/>
        <v>0</v>
      </c>
      <c r="AR96" s="7">
        <f t="shared" si="12"/>
        <v>0</v>
      </c>
      <c r="AS96" s="7">
        <f t="shared" si="13"/>
        <v>0</v>
      </c>
      <c r="AT96" s="7">
        <f t="shared" si="14"/>
        <v>0</v>
      </c>
      <c r="AU96" s="7">
        <f t="shared" si="15"/>
        <v>0</v>
      </c>
      <c r="AV96" s="7">
        <f t="shared" si="16"/>
        <v>0</v>
      </c>
      <c r="AW96" s="7">
        <f t="shared" si="17"/>
        <v>0</v>
      </c>
      <c r="AX96" s="7">
        <f t="shared" si="18"/>
        <v>0</v>
      </c>
      <c r="AY96" s="7">
        <f t="shared" si="19"/>
        <v>0</v>
      </c>
      <c r="AZ96" s="7">
        <f t="shared" si="20"/>
        <v>0</v>
      </c>
      <c r="BA96" s="7">
        <f t="shared" si="21"/>
        <v>0</v>
      </c>
      <c r="BB96" s="7">
        <f t="shared" si="22"/>
        <v>0</v>
      </c>
      <c r="BC96" s="7">
        <f t="shared" si="23"/>
        <v>0</v>
      </c>
      <c r="BD96" s="7">
        <f t="shared" si="24"/>
        <v>0</v>
      </c>
      <c r="BE96" s="7">
        <f t="shared" si="25"/>
        <v>0</v>
      </c>
      <c r="BF96" s="7">
        <f t="shared" si="26"/>
        <v>0</v>
      </c>
      <c r="BI96" s="7">
        <f>IF(OR(ISERROR(+#REF!/($D96+$E96-$G96)*$G96+#REF!),LEFT(Z96,1)="x"),0,+#REF!/($D96+$E96-$G96)*$G96+#REF!)</f>
        <v>0</v>
      </c>
    </row>
    <row r="97" spans="1:61">
      <c r="A97" s="340"/>
      <c r="B97" s="318"/>
      <c r="C97" s="319"/>
      <c r="D97" s="46"/>
      <c r="E97" s="61" t="s">
        <v>20</v>
      </c>
      <c r="F97" s="322"/>
      <c r="G97" s="346" t="s">
        <v>20</v>
      </c>
      <c r="H97" s="321"/>
      <c r="I97" s="321"/>
      <c r="J97" s="321"/>
      <c r="K97" s="61"/>
      <c r="L97" s="61"/>
      <c r="M97" s="61"/>
      <c r="N97" s="61"/>
      <c r="O97" s="61"/>
      <c r="P97" s="61"/>
      <c r="Q97" s="61"/>
      <c r="R97" s="34" t="s">
        <v>20</v>
      </c>
      <c r="S97" s="320"/>
      <c r="T97" s="61"/>
      <c r="U97" s="34"/>
      <c r="V97" s="34"/>
      <c r="W97" s="320"/>
      <c r="X97" s="34"/>
      <c r="Y97" s="34"/>
      <c r="Z97" s="34"/>
      <c r="AA97" s="34"/>
      <c r="AB97" s="34"/>
      <c r="AC97" s="109"/>
      <c r="AD97" s="47">
        <f t="shared" si="1"/>
        <v>0</v>
      </c>
      <c r="AE97" s="48">
        <f t="shared" si="2"/>
        <v>0</v>
      </c>
      <c r="AF97" s="49">
        <f t="shared" si="27"/>
        <v>0</v>
      </c>
      <c r="AG97" s="49"/>
      <c r="AH97" s="49"/>
      <c r="AI97" s="49"/>
      <c r="AJ97" s="43">
        <f t="shared" si="4"/>
        <v>0</v>
      </c>
      <c r="AK97" s="7">
        <f t="shared" si="5"/>
        <v>0</v>
      </c>
      <c r="AL97" s="7">
        <f t="shared" si="6"/>
        <v>0</v>
      </c>
      <c r="AM97" s="7">
        <f t="shared" si="7"/>
        <v>0</v>
      </c>
      <c r="AN97" s="7">
        <f t="shared" si="8"/>
        <v>0</v>
      </c>
      <c r="AO97" s="7">
        <f t="shared" si="9"/>
        <v>0</v>
      </c>
      <c r="AP97" s="7">
        <f t="shared" si="10"/>
        <v>0</v>
      </c>
      <c r="AQ97" s="7">
        <f t="shared" si="11"/>
        <v>0</v>
      </c>
      <c r="AR97" s="7">
        <f t="shared" si="12"/>
        <v>0</v>
      </c>
      <c r="AS97" s="7">
        <f t="shared" si="13"/>
        <v>0</v>
      </c>
      <c r="AT97" s="7">
        <f t="shared" si="14"/>
        <v>0</v>
      </c>
      <c r="AU97" s="7">
        <f t="shared" si="15"/>
        <v>0</v>
      </c>
      <c r="AV97" s="7">
        <f t="shared" si="16"/>
        <v>0</v>
      </c>
      <c r="AW97" s="7">
        <f t="shared" si="17"/>
        <v>0</v>
      </c>
      <c r="AX97" s="7">
        <f t="shared" si="18"/>
        <v>0</v>
      </c>
      <c r="AY97" s="7">
        <f t="shared" si="19"/>
        <v>0</v>
      </c>
      <c r="AZ97" s="7">
        <f t="shared" si="20"/>
        <v>0</v>
      </c>
      <c r="BA97" s="7">
        <f t="shared" si="21"/>
        <v>0</v>
      </c>
      <c r="BB97" s="7">
        <f t="shared" si="22"/>
        <v>0</v>
      </c>
      <c r="BC97" s="7">
        <f t="shared" si="23"/>
        <v>0</v>
      </c>
      <c r="BD97" s="7">
        <f t="shared" si="24"/>
        <v>0</v>
      </c>
      <c r="BE97" s="7">
        <f t="shared" si="25"/>
        <v>0</v>
      </c>
      <c r="BF97" s="7">
        <f t="shared" si="26"/>
        <v>0</v>
      </c>
      <c r="BI97" s="7">
        <f>IF(OR(ISERROR(+#REF!/($D97+$E97-$G97)*$G97+#REF!),LEFT(Z97,1)="x"),0,+#REF!/($D97+$E97-$G97)*$G97+#REF!)</f>
        <v>0</v>
      </c>
    </row>
    <row r="98" spans="1:61">
      <c r="A98" s="340"/>
      <c r="B98" s="318"/>
      <c r="C98" s="319"/>
      <c r="D98" s="46"/>
      <c r="E98" s="61"/>
      <c r="F98" s="322"/>
      <c r="G98" s="346" t="s">
        <v>20</v>
      </c>
      <c r="H98" s="321"/>
      <c r="I98" s="321"/>
      <c r="J98" s="321"/>
      <c r="K98" s="61"/>
      <c r="L98" s="61"/>
      <c r="M98" s="61"/>
      <c r="N98" s="61"/>
      <c r="O98" s="61"/>
      <c r="P98" s="61"/>
      <c r="Q98" s="61"/>
      <c r="R98" s="34">
        <v>0</v>
      </c>
      <c r="S98" s="320">
        <v>0</v>
      </c>
      <c r="T98" s="61">
        <v>0</v>
      </c>
      <c r="U98" s="34"/>
      <c r="V98" s="34">
        <v>0</v>
      </c>
      <c r="W98" s="320">
        <v>0</v>
      </c>
      <c r="X98" s="34"/>
      <c r="Y98" s="34"/>
      <c r="Z98" s="34"/>
      <c r="AA98" s="34"/>
      <c r="AB98" s="34"/>
      <c r="AC98" s="109"/>
      <c r="AD98" s="47">
        <f t="shared" si="1"/>
        <v>0</v>
      </c>
      <c r="AE98" s="48">
        <f t="shared" si="2"/>
        <v>0</v>
      </c>
      <c r="AF98" s="49">
        <f t="shared" si="27"/>
        <v>0</v>
      </c>
      <c r="AG98" s="49"/>
      <c r="AH98" s="49"/>
      <c r="AI98" s="49"/>
      <c r="AJ98" s="43">
        <f t="shared" si="4"/>
        <v>0</v>
      </c>
      <c r="AK98" s="7">
        <f t="shared" si="5"/>
        <v>0</v>
      </c>
      <c r="AL98" s="7">
        <f t="shared" si="6"/>
        <v>0</v>
      </c>
      <c r="AM98" s="7">
        <f t="shared" si="7"/>
        <v>0</v>
      </c>
      <c r="AN98" s="7">
        <f t="shared" si="8"/>
        <v>0</v>
      </c>
      <c r="AO98" s="7">
        <f t="shared" si="9"/>
        <v>0</v>
      </c>
      <c r="AP98" s="7">
        <f t="shared" si="10"/>
        <v>0</v>
      </c>
      <c r="AQ98" s="7">
        <f t="shared" si="11"/>
        <v>0</v>
      </c>
      <c r="AR98" s="7">
        <f t="shared" si="12"/>
        <v>0</v>
      </c>
      <c r="AS98" s="7">
        <f t="shared" si="13"/>
        <v>0</v>
      </c>
      <c r="AT98" s="7">
        <f t="shared" si="14"/>
        <v>0</v>
      </c>
      <c r="AU98" s="7">
        <f t="shared" si="15"/>
        <v>0</v>
      </c>
      <c r="AV98" s="7">
        <f t="shared" si="16"/>
        <v>0</v>
      </c>
      <c r="AW98" s="7">
        <f t="shared" si="17"/>
        <v>0</v>
      </c>
      <c r="AX98" s="7">
        <f t="shared" si="18"/>
        <v>0</v>
      </c>
      <c r="AY98" s="7">
        <f t="shared" si="19"/>
        <v>0</v>
      </c>
      <c r="AZ98" s="7">
        <f t="shared" si="20"/>
        <v>0</v>
      </c>
      <c r="BA98" s="7">
        <f t="shared" si="21"/>
        <v>0</v>
      </c>
      <c r="BB98" s="7">
        <f t="shared" si="22"/>
        <v>0</v>
      </c>
      <c r="BC98" s="7">
        <f t="shared" si="23"/>
        <v>0</v>
      </c>
      <c r="BD98" s="7">
        <f t="shared" si="24"/>
        <v>0</v>
      </c>
      <c r="BE98" s="7">
        <f t="shared" si="25"/>
        <v>0</v>
      </c>
      <c r="BF98" s="7">
        <f t="shared" si="26"/>
        <v>0</v>
      </c>
      <c r="BI98" s="7">
        <f>IF(OR(ISERROR(+#REF!/($D98+$E98-$G98)*$G98+#REF!),LEFT(Z98,1)="x"),0,+#REF!/($D98+$E98-$G98)*$G98+#REF!)</f>
        <v>0</v>
      </c>
    </row>
    <row r="99" spans="1:61" ht="13.5" thickBot="1">
      <c r="A99" s="340"/>
      <c r="B99" s="323"/>
      <c r="C99" s="319"/>
      <c r="D99" s="46"/>
      <c r="E99" s="61"/>
      <c r="F99" s="332"/>
      <c r="G99" s="346" t="s">
        <v>20</v>
      </c>
      <c r="H99" s="321"/>
      <c r="I99" s="321"/>
      <c r="J99" s="321"/>
      <c r="K99" s="61"/>
      <c r="L99" s="61"/>
      <c r="M99" s="61"/>
      <c r="N99" s="61"/>
      <c r="O99" s="61"/>
      <c r="P99" s="61"/>
      <c r="Q99" s="61"/>
      <c r="R99" s="34">
        <v>0</v>
      </c>
      <c r="S99" s="320"/>
      <c r="T99" s="61"/>
      <c r="U99" s="34"/>
      <c r="V99" s="34"/>
      <c r="W99" s="320"/>
      <c r="X99" s="34"/>
      <c r="Y99" s="34"/>
      <c r="Z99" s="34"/>
      <c r="AA99" s="34"/>
      <c r="AB99" s="34"/>
      <c r="AC99" s="109"/>
      <c r="AD99" s="47">
        <f t="shared" si="1"/>
        <v>0</v>
      </c>
      <c r="AE99" s="48">
        <f t="shared" si="2"/>
        <v>0</v>
      </c>
      <c r="AF99" s="49">
        <f t="shared" si="27"/>
        <v>0</v>
      </c>
      <c r="AG99" s="49"/>
      <c r="AH99" s="49"/>
      <c r="AI99" s="49"/>
      <c r="AJ99" s="43">
        <f t="shared" si="4"/>
        <v>0</v>
      </c>
      <c r="AK99" s="7">
        <f t="shared" si="5"/>
        <v>0</v>
      </c>
      <c r="AL99" s="7">
        <f t="shared" si="6"/>
        <v>0</v>
      </c>
      <c r="AM99" s="7">
        <f t="shared" si="7"/>
        <v>0</v>
      </c>
      <c r="AN99" s="7">
        <f t="shared" si="8"/>
        <v>0</v>
      </c>
      <c r="AO99" s="7">
        <f t="shared" si="9"/>
        <v>0</v>
      </c>
      <c r="AP99" s="7">
        <f t="shared" si="10"/>
        <v>0</v>
      </c>
      <c r="AQ99" s="7">
        <f t="shared" si="11"/>
        <v>0</v>
      </c>
      <c r="AR99" s="7">
        <f t="shared" si="12"/>
        <v>0</v>
      </c>
      <c r="AS99" s="7">
        <f t="shared" si="13"/>
        <v>0</v>
      </c>
      <c r="AT99" s="7">
        <f t="shared" si="14"/>
        <v>0</v>
      </c>
      <c r="AU99" s="7">
        <f t="shared" si="15"/>
        <v>0</v>
      </c>
      <c r="AV99" s="7">
        <f t="shared" si="16"/>
        <v>0</v>
      </c>
      <c r="AW99" s="7">
        <f t="shared" si="17"/>
        <v>0</v>
      </c>
      <c r="AX99" s="7">
        <f t="shared" si="18"/>
        <v>0</v>
      </c>
      <c r="AY99" s="7">
        <f t="shared" si="19"/>
        <v>0</v>
      </c>
      <c r="AZ99" s="7">
        <f t="shared" si="20"/>
        <v>0</v>
      </c>
      <c r="BA99" s="7">
        <f t="shared" si="21"/>
        <v>0</v>
      </c>
      <c r="BB99" s="7">
        <f t="shared" si="22"/>
        <v>0</v>
      </c>
      <c r="BC99" s="7">
        <f t="shared" si="23"/>
        <v>0</v>
      </c>
      <c r="BD99" s="7">
        <f t="shared" si="24"/>
        <v>0</v>
      </c>
      <c r="BE99" s="7">
        <f t="shared" si="25"/>
        <v>0</v>
      </c>
      <c r="BF99" s="7">
        <f t="shared" si="26"/>
        <v>0</v>
      </c>
      <c r="BI99" s="7">
        <f>IF(OR(ISERROR(+#REF!/($D99+$E99-$G99)*$G99+#REF!),LEFT(Z99,1)="x"),0,+#REF!/($D99+$E99-$G99)*$G99+#REF!)</f>
        <v>0</v>
      </c>
    </row>
    <row r="100" spans="1:61" ht="14.25">
      <c r="A100" s="99" t="s">
        <v>20</v>
      </c>
      <c r="B100" s="100"/>
      <c r="C100" s="97" t="s">
        <v>26</v>
      </c>
      <c r="D100" s="92">
        <f>SUM(D69:D99)</f>
        <v>7661.5</v>
      </c>
      <c r="E100" s="92">
        <f>SUM(E69:E99)</f>
        <v>0</v>
      </c>
      <c r="F100" s="158">
        <f>SUM(F69:F99)</f>
        <v>0</v>
      </c>
      <c r="G100" s="92">
        <f t="shared" ref="G100:AC100" si="28">SUM(G69:G99)</f>
        <v>47</v>
      </c>
      <c r="H100" s="92">
        <f t="shared" si="28"/>
        <v>42</v>
      </c>
      <c r="I100" s="92">
        <f t="shared" si="28"/>
        <v>420</v>
      </c>
      <c r="J100" s="92">
        <f t="shared" si="28"/>
        <v>0</v>
      </c>
      <c r="K100" s="92">
        <f t="shared" si="28"/>
        <v>1000</v>
      </c>
      <c r="L100" s="92">
        <f t="shared" si="28"/>
        <v>860</v>
      </c>
      <c r="M100" s="92">
        <f t="shared" si="28"/>
        <v>0</v>
      </c>
      <c r="N100" s="92">
        <f t="shared" si="28"/>
        <v>0</v>
      </c>
      <c r="O100" s="92">
        <f t="shared" si="28"/>
        <v>0</v>
      </c>
      <c r="P100" s="92">
        <f t="shared" si="28"/>
        <v>10</v>
      </c>
      <c r="Q100" s="92">
        <f t="shared" si="28"/>
        <v>100</v>
      </c>
      <c r="R100" s="92">
        <f t="shared" si="28"/>
        <v>0</v>
      </c>
      <c r="S100" s="92">
        <f t="shared" si="28"/>
        <v>0</v>
      </c>
      <c r="T100" s="92">
        <f t="shared" si="28"/>
        <v>72.5</v>
      </c>
      <c r="U100" s="92">
        <f t="shared" si="28"/>
        <v>110</v>
      </c>
      <c r="V100" s="92">
        <f t="shared" si="28"/>
        <v>0</v>
      </c>
      <c r="W100" s="92">
        <f t="shared" si="28"/>
        <v>0</v>
      </c>
      <c r="X100" s="92">
        <f t="shared" si="28"/>
        <v>5000</v>
      </c>
      <c r="Y100" s="92">
        <f t="shared" si="28"/>
        <v>0</v>
      </c>
      <c r="Z100" s="92">
        <f t="shared" si="28"/>
        <v>0</v>
      </c>
      <c r="AA100" s="92">
        <f t="shared" si="28"/>
        <v>0</v>
      </c>
      <c r="AB100" s="92">
        <f t="shared" si="28"/>
        <v>0</v>
      </c>
      <c r="AC100" s="208">
        <f t="shared" si="28"/>
        <v>0</v>
      </c>
      <c r="AK100" s="7">
        <f t="shared" si="5"/>
        <v>42.259242235209143</v>
      </c>
      <c r="AL100" s="7">
        <f t="shared" si="6"/>
        <v>422.59242235209143</v>
      </c>
      <c r="AM100" s="7">
        <f t="shared" si="7"/>
        <v>0</v>
      </c>
      <c r="AN100" s="7">
        <f t="shared" si="8"/>
        <v>1006.1724341716462</v>
      </c>
      <c r="AO100" s="7">
        <f t="shared" si="9"/>
        <v>865.30829338761578</v>
      </c>
      <c r="AP100" s="7">
        <f t="shared" si="10"/>
        <v>0</v>
      </c>
      <c r="AQ100" s="7">
        <f t="shared" si="11"/>
        <v>0</v>
      </c>
      <c r="AR100" s="7">
        <f t="shared" si="12"/>
        <v>0</v>
      </c>
      <c r="AS100" s="7">
        <f t="shared" si="13"/>
        <v>10.061724341716461</v>
      </c>
      <c r="AT100" s="7">
        <f t="shared" si="14"/>
        <v>100.61724341716462</v>
      </c>
      <c r="AU100" s="7">
        <f t="shared" si="15"/>
        <v>0</v>
      </c>
      <c r="AV100" s="7">
        <f t="shared" si="16"/>
        <v>0</v>
      </c>
      <c r="AW100" s="7">
        <f t="shared" si="17"/>
        <v>72.947501477444348</v>
      </c>
      <c r="AX100" s="7">
        <f t="shared" si="18"/>
        <v>110.67896775888109</v>
      </c>
      <c r="AY100" s="7">
        <f t="shared" si="19"/>
        <v>0</v>
      </c>
      <c r="AZ100" s="7">
        <f t="shared" si="20"/>
        <v>0</v>
      </c>
      <c r="BA100" s="7">
        <f t="shared" si="21"/>
        <v>5030.8621708582314</v>
      </c>
      <c r="BB100" s="7">
        <f t="shared" si="22"/>
        <v>0</v>
      </c>
      <c r="BC100" s="7">
        <f t="shared" si="23"/>
        <v>0</v>
      </c>
      <c r="BD100" s="7">
        <f t="shared" si="24"/>
        <v>0</v>
      </c>
      <c r="BE100" s="7">
        <f t="shared" si="25"/>
        <v>0</v>
      </c>
      <c r="BF100" s="7">
        <f t="shared" si="26"/>
        <v>0</v>
      </c>
      <c r="BI100" s="7">
        <f>IF(OR(ISERROR(+#REF!/($D100+$E100-$G100)*$G100+#REF!),LEFT(Z100,1)="x"),0,+#REF!/($D100+$E100-$G100)*$G100+#REF!)</f>
        <v>0</v>
      </c>
    </row>
    <row r="101" spans="1:61" ht="13.5" thickBot="1">
      <c r="A101" s="50"/>
      <c r="B101" s="51"/>
      <c r="C101" s="39" t="s">
        <v>27</v>
      </c>
      <c r="D101" s="39">
        <f>SUM(D68:D99)</f>
        <v>7661.5</v>
      </c>
      <c r="E101" s="39">
        <f>SUM(E68:E99)</f>
        <v>0</v>
      </c>
      <c r="F101" s="159">
        <f>SUM(F68:F99)</f>
        <v>0</v>
      </c>
      <c r="G101" s="39">
        <f t="shared" ref="G101:AC101" si="29">SUM(G68:G99)</f>
        <v>47</v>
      </c>
      <c r="H101" s="39">
        <f t="shared" si="29"/>
        <v>42</v>
      </c>
      <c r="I101" s="39">
        <f t="shared" si="29"/>
        <v>420</v>
      </c>
      <c r="J101" s="39">
        <f t="shared" si="29"/>
        <v>0</v>
      </c>
      <c r="K101" s="39">
        <f t="shared" si="29"/>
        <v>1000</v>
      </c>
      <c r="L101" s="39">
        <f t="shared" si="29"/>
        <v>860</v>
      </c>
      <c r="M101" s="39">
        <f t="shared" si="29"/>
        <v>0</v>
      </c>
      <c r="N101" s="39">
        <f t="shared" si="29"/>
        <v>0</v>
      </c>
      <c r="O101" s="39">
        <f t="shared" si="29"/>
        <v>0</v>
      </c>
      <c r="P101" s="39">
        <f t="shared" si="29"/>
        <v>10</v>
      </c>
      <c r="Q101" s="39">
        <f t="shared" si="29"/>
        <v>100</v>
      </c>
      <c r="R101" s="39">
        <f t="shared" si="29"/>
        <v>0</v>
      </c>
      <c r="S101" s="39">
        <f t="shared" si="29"/>
        <v>0</v>
      </c>
      <c r="T101" s="39">
        <f t="shared" si="29"/>
        <v>72.5</v>
      </c>
      <c r="U101" s="39">
        <f t="shared" si="29"/>
        <v>110</v>
      </c>
      <c r="V101" s="39">
        <f t="shared" si="29"/>
        <v>0</v>
      </c>
      <c r="W101" s="39">
        <f t="shared" si="29"/>
        <v>0</v>
      </c>
      <c r="X101" s="39">
        <f t="shared" si="29"/>
        <v>5000</v>
      </c>
      <c r="Y101" s="39">
        <f t="shared" si="29"/>
        <v>0</v>
      </c>
      <c r="Z101" s="39">
        <f t="shared" si="29"/>
        <v>0</v>
      </c>
      <c r="AA101" s="39">
        <f t="shared" si="29"/>
        <v>0</v>
      </c>
      <c r="AB101" s="39">
        <f t="shared" si="29"/>
        <v>0</v>
      </c>
      <c r="AC101" s="210">
        <f t="shared" si="29"/>
        <v>0</v>
      </c>
      <c r="AJ101" s="57"/>
      <c r="AK101" s="7">
        <f t="shared" si="5"/>
        <v>42.259242235209143</v>
      </c>
      <c r="AL101" s="7">
        <f t="shared" si="6"/>
        <v>422.59242235209143</v>
      </c>
      <c r="AM101" s="7">
        <f t="shared" si="7"/>
        <v>0</v>
      </c>
      <c r="AN101" s="7">
        <f t="shared" si="8"/>
        <v>1006.1724341716462</v>
      </c>
      <c r="AO101" s="7">
        <f t="shared" si="9"/>
        <v>865.30829338761578</v>
      </c>
      <c r="AP101" s="7">
        <f t="shared" si="10"/>
        <v>0</v>
      </c>
      <c r="AQ101" s="7">
        <f t="shared" si="11"/>
        <v>0</v>
      </c>
      <c r="AR101" s="7">
        <f t="shared" si="12"/>
        <v>0</v>
      </c>
      <c r="AS101" s="7">
        <f t="shared" si="13"/>
        <v>10.061724341716461</v>
      </c>
      <c r="AT101" s="7">
        <f t="shared" si="14"/>
        <v>100.61724341716462</v>
      </c>
      <c r="AU101" s="7">
        <f t="shared" si="15"/>
        <v>0</v>
      </c>
      <c r="AV101" s="7">
        <f t="shared" si="16"/>
        <v>0</v>
      </c>
      <c r="AW101" s="7">
        <f t="shared" si="17"/>
        <v>72.947501477444348</v>
      </c>
      <c r="AX101" s="7">
        <f t="shared" si="18"/>
        <v>110.67896775888109</v>
      </c>
      <c r="AY101" s="7">
        <f t="shared" si="19"/>
        <v>0</v>
      </c>
      <c r="AZ101" s="7">
        <f t="shared" si="20"/>
        <v>0</v>
      </c>
      <c r="BA101" s="7">
        <f t="shared" si="21"/>
        <v>5030.8621708582314</v>
      </c>
      <c r="BB101" s="7">
        <f t="shared" si="22"/>
        <v>0</v>
      </c>
      <c r="BC101" s="7">
        <f t="shared" si="23"/>
        <v>0</v>
      </c>
      <c r="BD101" s="7">
        <f t="shared" si="24"/>
        <v>0</v>
      </c>
      <c r="BE101" s="7">
        <f t="shared" si="25"/>
        <v>0</v>
      </c>
      <c r="BF101" s="7">
        <f t="shared" si="26"/>
        <v>0</v>
      </c>
      <c r="BI101" s="7">
        <f>IF(OR(ISERROR(+#REF!/($D101+$E101-$G101)*$G101+#REF!),LEFT(Z101,1)="x"),0,+#REF!/($D101+$E101-$G101)*$G101+#REF!)</f>
        <v>0</v>
      </c>
    </row>
    <row r="102" spans="1:61">
      <c r="A102" s="17"/>
      <c r="B102" s="17"/>
      <c r="C102" s="17"/>
      <c r="D102" s="17"/>
      <c r="E102" s="17"/>
      <c r="F102" s="17"/>
      <c r="G102" s="17"/>
      <c r="H102" s="17" t="s">
        <v>20</v>
      </c>
      <c r="I102" s="17"/>
      <c r="J102" s="17"/>
      <c r="K102" s="17"/>
      <c r="L102" s="17"/>
      <c r="M102" s="17"/>
      <c r="N102" s="17"/>
      <c r="O102" s="17"/>
      <c r="P102" s="17"/>
      <c r="Q102" s="17"/>
      <c r="R102" s="17"/>
      <c r="S102" s="17"/>
      <c r="T102" s="17"/>
      <c r="U102" s="17"/>
      <c r="V102" s="17"/>
      <c r="W102" s="17"/>
      <c r="X102" s="17"/>
      <c r="Y102" s="17"/>
      <c r="Z102" s="17"/>
      <c r="AA102" s="17"/>
      <c r="AB102" s="17"/>
      <c r="AC102" s="17"/>
      <c r="AK102" s="7">
        <f t="shared" si="5"/>
        <v>0</v>
      </c>
      <c r="AL102" s="7">
        <f t="shared" si="6"/>
        <v>0</v>
      </c>
      <c r="AM102" s="7">
        <f t="shared" si="7"/>
        <v>0</v>
      </c>
      <c r="AN102" s="7">
        <f t="shared" si="8"/>
        <v>0</v>
      </c>
      <c r="AO102" s="7">
        <f t="shared" si="9"/>
        <v>0</v>
      </c>
      <c r="AP102" s="7">
        <f t="shared" si="10"/>
        <v>0</v>
      </c>
      <c r="AQ102" s="7">
        <f t="shared" si="11"/>
        <v>0</v>
      </c>
      <c r="AR102" s="7">
        <f t="shared" si="12"/>
        <v>0</v>
      </c>
      <c r="AS102" s="7">
        <f t="shared" si="13"/>
        <v>0</v>
      </c>
      <c r="AT102" s="7">
        <f t="shared" si="14"/>
        <v>0</v>
      </c>
      <c r="AU102" s="7">
        <f t="shared" si="15"/>
        <v>0</v>
      </c>
      <c r="AV102" s="7">
        <f t="shared" si="16"/>
        <v>0</v>
      </c>
      <c r="AW102" s="7">
        <f t="shared" si="17"/>
        <v>0</v>
      </c>
      <c r="AX102" s="7">
        <f t="shared" si="18"/>
        <v>0</v>
      </c>
      <c r="AY102" s="7">
        <f t="shared" si="19"/>
        <v>0</v>
      </c>
      <c r="AZ102" s="7">
        <f t="shared" si="20"/>
        <v>0</v>
      </c>
      <c r="BA102" s="7">
        <f t="shared" si="21"/>
        <v>0</v>
      </c>
      <c r="BB102" s="7">
        <f t="shared" si="22"/>
        <v>0</v>
      </c>
      <c r="BC102" s="7">
        <f t="shared" si="23"/>
        <v>0</v>
      </c>
      <c r="BD102" s="7">
        <f t="shared" si="24"/>
        <v>0</v>
      </c>
      <c r="BE102" s="7">
        <f t="shared" si="25"/>
        <v>0</v>
      </c>
      <c r="BF102" s="7">
        <f t="shared" si="26"/>
        <v>0</v>
      </c>
      <c r="BI102" s="7">
        <f>IF(OR(ISERROR(+#REF!/($D102+$E102-$G102)*$G102+#REF!),LEFT(Z102,1)="x"),0,+#REF!/($D102+$E102-$G102)*$G102+#REF!)</f>
        <v>0</v>
      </c>
    </row>
    <row r="103" spans="1:6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K103" s="7">
        <f t="shared" si="5"/>
        <v>0</v>
      </c>
      <c r="AL103" s="7">
        <f t="shared" si="6"/>
        <v>0</v>
      </c>
      <c r="AM103" s="7">
        <f t="shared" si="7"/>
        <v>0</v>
      </c>
      <c r="AN103" s="7">
        <f t="shared" si="8"/>
        <v>0</v>
      </c>
      <c r="AO103" s="7">
        <f t="shared" si="9"/>
        <v>0</v>
      </c>
      <c r="AP103" s="7">
        <f t="shared" si="10"/>
        <v>0</v>
      </c>
      <c r="AQ103" s="7">
        <f t="shared" si="11"/>
        <v>0</v>
      </c>
      <c r="AR103" s="7">
        <f t="shared" si="12"/>
        <v>0</v>
      </c>
      <c r="AS103" s="7">
        <f t="shared" si="13"/>
        <v>0</v>
      </c>
      <c r="AT103" s="7">
        <f t="shared" si="14"/>
        <v>0</v>
      </c>
      <c r="AU103" s="7">
        <f t="shared" si="15"/>
        <v>0</v>
      </c>
      <c r="AV103" s="7">
        <f t="shared" si="16"/>
        <v>0</v>
      </c>
      <c r="AW103" s="7">
        <f t="shared" si="17"/>
        <v>0</v>
      </c>
      <c r="AX103" s="7">
        <f t="shared" si="18"/>
        <v>0</v>
      </c>
      <c r="AY103" s="7">
        <f t="shared" si="19"/>
        <v>0</v>
      </c>
      <c r="AZ103" s="7">
        <f t="shared" si="20"/>
        <v>0</v>
      </c>
      <c r="BA103" s="7">
        <f t="shared" si="21"/>
        <v>0</v>
      </c>
      <c r="BB103" s="7">
        <f t="shared" si="22"/>
        <v>0</v>
      </c>
      <c r="BC103" s="7">
        <f t="shared" si="23"/>
        <v>0</v>
      </c>
      <c r="BD103" s="7">
        <f t="shared" si="24"/>
        <v>0</v>
      </c>
      <c r="BE103" s="7">
        <f t="shared" si="25"/>
        <v>0</v>
      </c>
      <c r="BF103" s="7">
        <f t="shared" si="26"/>
        <v>0</v>
      </c>
      <c r="BI103" s="7">
        <f>IF(OR(ISERROR(+#REF!/($D103+$E103-$G103)*$G103+#REF!),LEFT(Z103,1)="x"),0,+#REF!/($D103+$E103-$G103)*$G103+#REF!)</f>
        <v>0</v>
      </c>
    </row>
    <row r="104" spans="1:6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K104" s="7">
        <f t="shared" si="5"/>
        <v>0</v>
      </c>
      <c r="AL104" s="7">
        <f t="shared" si="6"/>
        <v>0</v>
      </c>
      <c r="AM104" s="7">
        <f t="shared" si="7"/>
        <v>0</v>
      </c>
      <c r="AN104" s="7">
        <f t="shared" si="8"/>
        <v>0</v>
      </c>
      <c r="AO104" s="7">
        <f t="shared" si="9"/>
        <v>0</v>
      </c>
      <c r="AP104" s="7">
        <f t="shared" si="10"/>
        <v>0</v>
      </c>
      <c r="AQ104" s="7">
        <f t="shared" si="11"/>
        <v>0</v>
      </c>
      <c r="AR104" s="7">
        <f t="shared" si="12"/>
        <v>0</v>
      </c>
      <c r="AS104" s="7">
        <f t="shared" si="13"/>
        <v>0</v>
      </c>
      <c r="AT104" s="7">
        <f t="shared" si="14"/>
        <v>0</v>
      </c>
      <c r="AU104" s="7">
        <f t="shared" si="15"/>
        <v>0</v>
      </c>
      <c r="AV104" s="7">
        <f t="shared" si="16"/>
        <v>0</v>
      </c>
      <c r="AW104" s="7">
        <f t="shared" si="17"/>
        <v>0</v>
      </c>
      <c r="AX104" s="7">
        <f t="shared" si="18"/>
        <v>0</v>
      </c>
      <c r="AY104" s="7">
        <f t="shared" si="19"/>
        <v>0</v>
      </c>
      <c r="AZ104" s="7">
        <f t="shared" si="20"/>
        <v>0</v>
      </c>
      <c r="BA104" s="7">
        <f t="shared" si="21"/>
        <v>0</v>
      </c>
      <c r="BB104" s="7">
        <f t="shared" si="22"/>
        <v>0</v>
      </c>
      <c r="BC104" s="7">
        <f t="shared" si="23"/>
        <v>0</v>
      </c>
      <c r="BD104" s="7">
        <f t="shared" si="24"/>
        <v>0</v>
      </c>
      <c r="BE104" s="7">
        <f t="shared" si="25"/>
        <v>0</v>
      </c>
      <c r="BF104" s="7">
        <f t="shared" si="26"/>
        <v>0</v>
      </c>
      <c r="BI104" s="7">
        <f>IF(OR(ISERROR(+#REF!/($D104+$E104-$G104)*$G104+#REF!),LEFT(Z104,1)="x"),0,+#REF!/($D104+$E104-$G104)*$G104+#REF!)</f>
        <v>0</v>
      </c>
    </row>
    <row r="105" spans="1:61" ht="15.75">
      <c r="A105" s="52" t="s">
        <v>61</v>
      </c>
      <c r="B105" s="52"/>
      <c r="C105" s="52"/>
      <c r="D105" s="19">
        <f>E105-H105</f>
        <v>0</v>
      </c>
      <c r="E105" s="53">
        <f>D100+E100+F100</f>
        <v>7661.5</v>
      </c>
      <c r="F105" s="53" t="s">
        <v>20</v>
      </c>
      <c r="G105" s="17"/>
      <c r="H105" s="53">
        <f>SUM(G100:AC100)</f>
        <v>7661.5</v>
      </c>
      <c r="I105" s="17"/>
      <c r="J105" s="17"/>
      <c r="K105" s="17"/>
      <c r="L105" s="17"/>
      <c r="M105" s="17"/>
      <c r="N105" s="17"/>
      <c r="O105" s="17"/>
      <c r="P105" s="17"/>
      <c r="Q105" s="17"/>
      <c r="R105" s="17"/>
      <c r="S105" s="17"/>
      <c r="T105" s="17"/>
      <c r="U105" s="17"/>
      <c r="V105" s="17"/>
      <c r="W105" s="17"/>
      <c r="X105" s="17"/>
      <c r="Y105" s="17"/>
      <c r="Z105" s="17"/>
      <c r="AA105" s="17"/>
      <c r="AB105" s="17"/>
      <c r="AC105" s="17"/>
    </row>
    <row r="106" spans="1:61" ht="15">
      <c r="A106" s="17"/>
      <c r="B106" s="17"/>
      <c r="C106" s="17"/>
      <c r="D106" s="54">
        <f>IF(D105=0,0,"Error - check totals do not balance, please see column AC - at the right side of the expenditure table for corrections to be made")</f>
        <v>0</v>
      </c>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spans="1:61">
      <c r="A107" s="17"/>
      <c r="B107" s="17"/>
      <c r="C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spans="1:61" ht="20.25">
      <c r="A108" s="160" t="s">
        <v>163</v>
      </c>
      <c r="B108" s="160"/>
      <c r="C108" s="160"/>
      <c r="D108" s="160"/>
      <c r="E108" s="160"/>
      <c r="F108" s="160"/>
      <c r="G108" s="160"/>
      <c r="H108" s="160"/>
      <c r="I108" s="17"/>
      <c r="J108" s="17"/>
      <c r="K108" s="17"/>
      <c r="L108" s="17"/>
      <c r="M108" s="17"/>
      <c r="N108" s="17"/>
      <c r="O108" s="17"/>
      <c r="P108" s="17"/>
      <c r="Q108" s="17"/>
      <c r="R108" s="17"/>
      <c r="S108" s="17"/>
      <c r="T108" s="17"/>
      <c r="U108" s="17"/>
      <c r="V108" s="17"/>
      <c r="W108" s="17"/>
      <c r="X108" s="17"/>
      <c r="Y108" s="17"/>
      <c r="Z108" s="17"/>
      <c r="AA108" s="17"/>
      <c r="AB108" s="17"/>
      <c r="AC108" s="17"/>
    </row>
    <row r="109" spans="1:6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spans="1:61" ht="15.75">
      <c r="A110" s="55" t="s">
        <v>62</v>
      </c>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spans="1:61">
      <c r="A111" s="17"/>
      <c r="B111" s="17"/>
      <c r="C111" s="17"/>
      <c r="D111" s="17"/>
      <c r="E111" s="162" t="s">
        <v>71</v>
      </c>
      <c r="F111" s="162" t="s">
        <v>19</v>
      </c>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spans="1:61">
      <c r="A112" s="161" t="s">
        <v>166</v>
      </c>
      <c r="B112" s="17"/>
      <c r="C112" s="17"/>
      <c r="D112" s="17"/>
      <c r="E112" s="53">
        <f>K10+K43+L43+M43+N43-D101</f>
        <v>946</v>
      </c>
      <c r="F112" s="53">
        <f>K11+O43+X101-N43</f>
        <v>3016</v>
      </c>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spans="1:29">
      <c r="A113" s="161"/>
      <c r="B113" s="17"/>
      <c r="C113" s="17"/>
      <c r="D113" s="17"/>
      <c r="E113" s="132"/>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spans="1:29">
      <c r="A114" s="161" t="s">
        <v>63</v>
      </c>
      <c r="B114" s="17"/>
      <c r="C114" s="17"/>
      <c r="D114" s="17"/>
      <c r="E114" s="132" t="s">
        <v>20</v>
      </c>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spans="1:29">
      <c r="B115" s="162" t="s">
        <v>187</v>
      </c>
      <c r="C115" s="17"/>
      <c r="D115" s="17"/>
      <c r="E115" s="132"/>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spans="1:29">
      <c r="A116" s="17"/>
      <c r="B116" s="162" t="s">
        <v>164</v>
      </c>
      <c r="C116" s="17"/>
      <c r="D116" s="17"/>
      <c r="E116" s="132"/>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spans="1:29">
      <c r="A117" s="17"/>
      <c r="B117" s="162" t="s">
        <v>189</v>
      </c>
      <c r="C117" s="17"/>
      <c r="D117" s="17"/>
      <c r="E117" s="132"/>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spans="1:29">
      <c r="A118" s="17"/>
      <c r="B118" s="17"/>
      <c r="C118" s="17"/>
      <c r="D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spans="1:29" ht="13.5" thickBot="1">
      <c r="A119" s="56" t="s">
        <v>165</v>
      </c>
      <c r="B119" s="56"/>
      <c r="C119" s="17"/>
      <c r="D119" s="17"/>
      <c r="E119" s="333">
        <f>E112+SUM(E113:E117)</f>
        <v>946</v>
      </c>
      <c r="F119" s="333">
        <f>F112+SUM(F113:F117)</f>
        <v>3016</v>
      </c>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spans="1:29" ht="13.5" thickTop="1">
      <c r="A120" s="56"/>
      <c r="B120" s="17"/>
      <c r="C120" s="17"/>
      <c r="D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spans="1:29">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spans="1:29">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spans="1:29">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spans="1:29">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spans="1:29" hidden="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spans="1:29" hidden="1">
      <c r="A126" s="56" t="s">
        <v>153</v>
      </c>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spans="1:29" ht="12.6" hidden="1" customHeight="1">
      <c r="A127" s="16"/>
      <c r="B127" s="17"/>
      <c r="C127" s="16"/>
      <c r="D127" s="18"/>
      <c r="E127" s="18"/>
      <c r="F127" s="18"/>
      <c r="G127" s="18"/>
      <c r="H127" s="18"/>
      <c r="I127" s="18"/>
      <c r="J127" s="18"/>
      <c r="K127" s="18"/>
      <c r="L127" s="18"/>
      <c r="M127" s="18"/>
      <c r="N127" s="17"/>
      <c r="O127" s="17"/>
      <c r="P127" s="17"/>
      <c r="Q127" s="17"/>
      <c r="R127" s="17"/>
      <c r="S127" s="17"/>
      <c r="T127" s="17"/>
      <c r="U127" s="17"/>
      <c r="V127" s="17"/>
      <c r="W127" s="17"/>
      <c r="X127" s="17"/>
      <c r="Y127" s="17"/>
      <c r="Z127" s="17"/>
      <c r="AA127" s="17"/>
      <c r="AB127" s="17"/>
      <c r="AC127" s="17"/>
    </row>
    <row r="128" spans="1:29" ht="14.25" hidden="1" customHeight="1">
      <c r="A128" s="16"/>
      <c r="B128" s="17"/>
      <c r="C128" s="16"/>
      <c r="D128" s="18"/>
      <c r="E128" s="18"/>
      <c r="F128" s="18"/>
      <c r="G128" s="18"/>
      <c r="H128" s="18"/>
      <c r="I128" s="18"/>
      <c r="J128" s="18"/>
      <c r="K128" s="18"/>
      <c r="L128" s="18"/>
      <c r="M128" s="18"/>
      <c r="N128" s="17"/>
      <c r="O128" s="17"/>
      <c r="P128" s="17"/>
      <c r="Q128" s="17"/>
      <c r="R128" s="17"/>
      <c r="S128" s="17"/>
      <c r="T128" s="17"/>
      <c r="U128" s="17"/>
      <c r="V128" s="17"/>
      <c r="W128" s="17"/>
      <c r="X128" s="17"/>
      <c r="Y128" s="17"/>
      <c r="Z128" s="17"/>
      <c r="AA128" s="17"/>
      <c r="AB128" s="17"/>
      <c r="AC128" s="17"/>
    </row>
    <row r="129" spans="1:29" hidden="1">
      <c r="A129" s="6">
        <f>($C$47+$C$48-407.33)/112.8*12.8</f>
        <v>-46.221843971631209</v>
      </c>
      <c r="B129" s="7">
        <v>0</v>
      </c>
      <c r="C129" s="7" t="s">
        <v>64</v>
      </c>
      <c r="D129" s="7"/>
      <c r="E129" s="68">
        <f>MAX(A129:B129)</f>
        <v>0</v>
      </c>
      <c r="F129" s="18"/>
      <c r="G129" s="18"/>
      <c r="H129" s="18"/>
      <c r="I129" s="18"/>
      <c r="J129" s="18"/>
      <c r="K129" s="18"/>
      <c r="L129" s="18"/>
      <c r="M129" s="18"/>
      <c r="N129" s="17"/>
      <c r="O129" s="17"/>
      <c r="P129" s="17"/>
      <c r="Q129" s="17"/>
      <c r="R129" s="17"/>
      <c r="S129" s="17"/>
      <c r="T129" s="17"/>
      <c r="U129" s="17"/>
      <c r="V129" s="17"/>
      <c r="W129" s="17"/>
      <c r="X129" s="17"/>
      <c r="Y129" s="17"/>
      <c r="Z129" s="17"/>
      <c r="AA129" s="17"/>
      <c r="AB129" s="17"/>
      <c r="AC129" s="17"/>
    </row>
    <row r="130" spans="1:29" hidden="1">
      <c r="D130" s="69"/>
      <c r="E130" s="8"/>
      <c r="F130" s="18"/>
      <c r="G130" s="18"/>
      <c r="H130" s="18"/>
      <c r="I130" s="18"/>
      <c r="J130" s="18"/>
      <c r="K130" s="18"/>
      <c r="L130" s="18"/>
      <c r="M130" s="18"/>
      <c r="N130" s="17"/>
      <c r="O130" s="17"/>
      <c r="P130" s="17"/>
      <c r="Q130" s="17"/>
      <c r="R130" s="17"/>
      <c r="S130" s="17"/>
      <c r="T130" s="17"/>
      <c r="U130" s="17"/>
      <c r="V130" s="17"/>
      <c r="W130" s="17"/>
      <c r="X130" s="17"/>
      <c r="Y130" s="17"/>
      <c r="Z130" s="17"/>
      <c r="AA130" s="17"/>
      <c r="AB130" s="17"/>
      <c r="AC130" s="17"/>
    </row>
    <row r="131" spans="1:29" hidden="1">
      <c r="A131" s="9">
        <f>$C$47+$C$48-A129</f>
        <v>46.221843971631209</v>
      </c>
      <c r="C131" s="10" t="s">
        <v>65</v>
      </c>
      <c r="D131" s="11">
        <f>SUM(A131-407.33)*0.11</f>
        <v>-39.721897163120566</v>
      </c>
      <c r="E131" s="12">
        <f>IF(D131&lt;0,0,MIN(D131,D132))</f>
        <v>0</v>
      </c>
      <c r="F131" s="18"/>
      <c r="G131" s="18"/>
      <c r="H131" s="18"/>
      <c r="I131" s="18"/>
      <c r="J131" s="18"/>
      <c r="K131" s="18"/>
      <c r="L131" s="18"/>
      <c r="M131" s="18"/>
      <c r="N131" s="17"/>
      <c r="O131" s="17"/>
      <c r="P131" s="17"/>
      <c r="Q131" s="17"/>
      <c r="R131" s="17"/>
      <c r="S131" s="17"/>
      <c r="T131" s="17"/>
      <c r="U131" s="17"/>
      <c r="V131" s="17"/>
      <c r="W131" s="17"/>
      <c r="X131" s="17"/>
      <c r="Y131" s="17"/>
      <c r="Z131" s="17"/>
      <c r="AA131" s="17"/>
      <c r="AB131" s="17"/>
      <c r="AC131" s="17"/>
    </row>
    <row r="132" spans="1:29" hidden="1">
      <c r="D132" s="12">
        <v>255.49</v>
      </c>
      <c r="E132" s="77">
        <v>0</v>
      </c>
      <c r="F132" s="18"/>
      <c r="G132" s="18"/>
      <c r="H132" s="18"/>
      <c r="I132" s="18"/>
      <c r="J132" s="18"/>
      <c r="K132" s="18"/>
      <c r="L132" s="18"/>
      <c r="M132" s="18"/>
      <c r="N132" s="17"/>
      <c r="O132" s="17"/>
      <c r="P132" s="17"/>
      <c r="Q132" s="17"/>
      <c r="R132" s="17"/>
      <c r="S132" s="17"/>
      <c r="T132" s="17"/>
      <c r="U132" s="17"/>
      <c r="V132" s="17"/>
      <c r="W132" s="17"/>
      <c r="X132" s="17"/>
      <c r="Y132" s="17"/>
      <c r="Z132" s="17"/>
      <c r="AA132" s="17"/>
      <c r="AB132" s="17"/>
      <c r="AC132" s="17"/>
    </row>
    <row r="133" spans="1:29" hidden="1">
      <c r="C133" s="7" t="s">
        <v>120</v>
      </c>
      <c r="D133" s="11">
        <f>SUM(A131-2730)*0.01</f>
        <v>-26.837781560283688</v>
      </c>
      <c r="E133" s="11">
        <f>MAX(D133,E132)</f>
        <v>0</v>
      </c>
      <c r="F133" s="18"/>
      <c r="G133" s="18"/>
      <c r="H133" s="18"/>
      <c r="I133" s="18"/>
      <c r="J133" s="18"/>
      <c r="K133" s="18"/>
      <c r="L133" s="18"/>
      <c r="M133" s="18"/>
      <c r="N133" s="17"/>
      <c r="O133" s="17"/>
      <c r="P133" s="17"/>
      <c r="Q133" s="17"/>
      <c r="R133" s="17"/>
      <c r="S133" s="17"/>
      <c r="T133" s="17"/>
      <c r="U133" s="17"/>
      <c r="V133" s="17"/>
      <c r="W133" s="17"/>
      <c r="X133" s="17"/>
      <c r="Y133" s="17"/>
      <c r="Z133" s="17"/>
      <c r="AA133" s="17"/>
      <c r="AB133" s="17"/>
      <c r="AC133" s="17"/>
    </row>
    <row r="134" spans="1:29" hidden="1">
      <c r="B134" s="10" t="s">
        <v>20</v>
      </c>
      <c r="C134" s="7" t="s">
        <v>66</v>
      </c>
      <c r="D134" s="6">
        <f>(A131-407.92-174.17-2525.83)*0.4</f>
        <v>-1224.6792624113475</v>
      </c>
      <c r="E134" s="12">
        <f>MAX(D134,D135)</f>
        <v>0</v>
      </c>
      <c r="F134" s="18"/>
      <c r="G134" s="18"/>
      <c r="H134" s="18"/>
      <c r="I134" s="18"/>
      <c r="J134" s="18"/>
      <c r="K134" s="18"/>
      <c r="L134" s="18"/>
      <c r="M134" s="18"/>
      <c r="N134" s="17"/>
      <c r="O134" s="17"/>
      <c r="P134" s="17"/>
      <c r="Q134" s="17"/>
      <c r="R134" s="17"/>
      <c r="S134" s="17"/>
      <c r="T134" s="17"/>
      <c r="U134" s="17"/>
      <c r="V134" s="17"/>
      <c r="W134" s="17"/>
      <c r="X134" s="17"/>
      <c r="Y134" s="17"/>
      <c r="Z134" s="17"/>
      <c r="AA134" s="17"/>
      <c r="AB134" s="17"/>
      <c r="AC134" s="17"/>
    </row>
    <row r="135" spans="1:29" hidden="1">
      <c r="A135" s="13"/>
      <c r="D135" s="7">
        <v>0</v>
      </c>
      <c r="E135" s="8"/>
      <c r="F135" s="18"/>
      <c r="G135" s="18"/>
      <c r="H135" s="18"/>
      <c r="I135" s="18"/>
      <c r="J135" s="18"/>
      <c r="K135" s="18"/>
      <c r="L135" s="18"/>
      <c r="M135" s="18"/>
      <c r="N135" s="17"/>
      <c r="O135" s="17"/>
      <c r="P135" s="17"/>
      <c r="Q135" s="17"/>
      <c r="R135" s="17"/>
      <c r="S135" s="17"/>
      <c r="T135" s="17"/>
      <c r="U135" s="17"/>
      <c r="V135" s="17"/>
      <c r="W135" s="17"/>
      <c r="X135" s="17"/>
      <c r="Y135" s="17"/>
      <c r="Z135" s="17"/>
      <c r="AA135" s="17"/>
      <c r="AB135" s="17"/>
      <c r="AC135" s="17"/>
    </row>
    <row r="136" spans="1:29" hidden="1">
      <c r="A136" s="13"/>
      <c r="C136" s="7" t="s">
        <v>67</v>
      </c>
      <c r="D136" s="6">
        <f>(A131-407.92-174.17)*0.22</f>
        <v>-117.89099432624114</v>
      </c>
      <c r="E136" s="12">
        <f>IF(D136&lt;0,0,MIN(D136,D137))</f>
        <v>0</v>
      </c>
      <c r="F136" s="18"/>
      <c r="G136" s="18"/>
      <c r="H136" s="18"/>
      <c r="I136" s="18"/>
      <c r="J136" s="18"/>
      <c r="K136" s="18"/>
      <c r="L136" s="18"/>
      <c r="M136" s="18"/>
      <c r="N136" s="17"/>
      <c r="O136" s="17"/>
      <c r="P136" s="17"/>
      <c r="Q136" s="17"/>
      <c r="R136" s="17"/>
      <c r="S136" s="17"/>
      <c r="T136" s="17"/>
      <c r="U136" s="17"/>
      <c r="V136" s="17"/>
      <c r="W136" s="17"/>
      <c r="X136" s="17"/>
      <c r="Y136" s="17"/>
      <c r="Z136" s="17"/>
      <c r="AA136" s="17"/>
      <c r="AB136" s="17"/>
      <c r="AC136" s="17"/>
    </row>
    <row r="137" spans="1:29" hidden="1">
      <c r="A137" s="13"/>
      <c r="D137" s="7">
        <v>555.67999999999995</v>
      </c>
      <c r="E137" s="8"/>
      <c r="F137" s="18"/>
      <c r="G137" s="18"/>
      <c r="H137" s="18"/>
      <c r="I137" s="18"/>
      <c r="J137" s="18"/>
      <c r="K137" s="18"/>
      <c r="L137" s="18"/>
      <c r="M137" s="18"/>
      <c r="N137" s="17"/>
      <c r="O137" s="17"/>
      <c r="P137" s="17"/>
      <c r="Q137" s="17"/>
      <c r="R137" s="17"/>
      <c r="S137" s="17"/>
      <c r="T137" s="17"/>
      <c r="U137" s="17"/>
      <c r="V137" s="17"/>
      <c r="W137" s="17"/>
      <c r="X137" s="17"/>
      <c r="Y137" s="17"/>
      <c r="Z137" s="17"/>
      <c r="AA137" s="17"/>
      <c r="AB137" s="17"/>
      <c r="AC137" s="17"/>
    </row>
    <row r="138" spans="1:29" hidden="1">
      <c r="A138" s="13"/>
      <c r="C138" s="7" t="s">
        <v>68</v>
      </c>
      <c r="D138" s="6">
        <f>(A131-407.92)*0.1</f>
        <v>-36.169815602836884</v>
      </c>
      <c r="E138" s="12">
        <f>IF(D138&lt;0,0,MIN(D138,D139))</f>
        <v>0</v>
      </c>
      <c r="F138" s="18"/>
      <c r="G138" s="18"/>
      <c r="H138" s="18"/>
      <c r="I138" s="18"/>
      <c r="J138" s="18"/>
      <c r="K138" s="18"/>
      <c r="L138" s="18"/>
      <c r="M138" s="18"/>
      <c r="N138" s="17"/>
      <c r="O138" s="17"/>
      <c r="P138" s="17"/>
      <c r="Q138" s="17"/>
      <c r="R138" s="17"/>
      <c r="S138" s="17"/>
      <c r="T138" s="17"/>
      <c r="U138" s="17"/>
      <c r="V138" s="17"/>
      <c r="W138" s="17"/>
      <c r="X138" s="17"/>
      <c r="Y138" s="17"/>
      <c r="Z138" s="17"/>
      <c r="AA138" s="17"/>
      <c r="AB138" s="17"/>
      <c r="AC138" s="17"/>
    </row>
    <row r="139" spans="1:29" hidden="1">
      <c r="D139" s="7">
        <v>17.420000000000002</v>
      </c>
      <c r="E139" s="8"/>
      <c r="F139" s="18"/>
      <c r="G139" s="18"/>
      <c r="H139" s="18"/>
      <c r="I139" s="18"/>
      <c r="J139" s="18"/>
      <c r="K139" s="18"/>
      <c r="L139" s="18"/>
      <c r="M139" s="18"/>
      <c r="N139" s="17"/>
      <c r="O139" s="17"/>
      <c r="P139" s="17"/>
      <c r="Q139" s="17"/>
      <c r="R139" s="17"/>
      <c r="S139" s="17"/>
      <c r="T139" s="17"/>
      <c r="U139" s="17"/>
      <c r="V139" s="17"/>
      <c r="W139" s="17"/>
      <c r="X139" s="17"/>
      <c r="Y139" s="17"/>
      <c r="Z139" s="17"/>
      <c r="AA139" s="17"/>
      <c r="AB139" s="17"/>
      <c r="AC139" s="17"/>
    </row>
    <row r="140" spans="1:29" hidden="1">
      <c r="D140" s="7"/>
      <c r="E140" s="8"/>
      <c r="F140" s="18"/>
      <c r="G140" s="18"/>
      <c r="H140" s="18"/>
      <c r="I140" s="18"/>
      <c r="J140" s="18"/>
      <c r="K140" s="18"/>
      <c r="L140" s="18"/>
      <c r="M140" s="18"/>
      <c r="N140" s="17"/>
      <c r="O140" s="17"/>
      <c r="P140" s="17"/>
      <c r="Q140" s="17"/>
      <c r="R140" s="17"/>
      <c r="S140" s="17"/>
      <c r="T140" s="17"/>
      <c r="U140" s="17"/>
      <c r="V140" s="17"/>
      <c r="W140" s="17"/>
      <c r="X140" s="17"/>
      <c r="Y140" s="17"/>
      <c r="Z140" s="17"/>
      <c r="AA140" s="17"/>
      <c r="AB140" s="17"/>
      <c r="AC140" s="17"/>
    </row>
    <row r="141" spans="1:29" ht="13.5" hidden="1" thickBot="1">
      <c r="C141" s="14" t="s">
        <v>69</v>
      </c>
      <c r="D141" s="7"/>
      <c r="E141" s="15">
        <f>SUM(E129:E139)</f>
        <v>0</v>
      </c>
      <c r="F141" s="18"/>
      <c r="G141" s="18"/>
      <c r="H141" s="18"/>
      <c r="I141" s="18"/>
      <c r="J141" s="18"/>
      <c r="K141" s="18"/>
      <c r="L141" s="18"/>
      <c r="M141" s="18"/>
      <c r="N141" s="17"/>
      <c r="O141" s="17"/>
      <c r="P141" s="17"/>
      <c r="Q141" s="17"/>
      <c r="R141" s="17"/>
      <c r="S141" s="17"/>
      <c r="T141" s="17"/>
      <c r="U141" s="17"/>
      <c r="V141" s="17"/>
      <c r="W141" s="17"/>
      <c r="X141" s="17"/>
      <c r="Y141" s="17"/>
      <c r="Z141" s="17"/>
      <c r="AA141" s="17"/>
      <c r="AB141" s="17"/>
      <c r="AC141" s="17"/>
    </row>
    <row r="142" spans="1:29" hidden="1">
      <c r="A142" s="16"/>
      <c r="B142" s="17"/>
      <c r="C142" s="16"/>
      <c r="D142" s="18"/>
      <c r="E142" s="18"/>
      <c r="F142" s="18"/>
      <c r="G142" s="18"/>
      <c r="H142" s="18"/>
      <c r="I142" s="18"/>
      <c r="J142" s="18"/>
      <c r="K142" s="18"/>
      <c r="L142" s="18"/>
      <c r="M142" s="18"/>
      <c r="N142" s="17"/>
      <c r="O142" s="17"/>
      <c r="P142" s="17"/>
      <c r="Q142" s="17"/>
      <c r="R142" s="17"/>
      <c r="S142" s="17"/>
      <c r="T142" s="17"/>
      <c r="U142" s="17"/>
      <c r="V142" s="17"/>
      <c r="W142" s="17"/>
      <c r="X142" s="17"/>
      <c r="Y142" s="17"/>
      <c r="Z142" s="17"/>
      <c r="AA142" s="17"/>
      <c r="AB142" s="17"/>
      <c r="AC142" s="17"/>
    </row>
    <row r="143" spans="1:29" hidden="1"/>
    <row r="144" spans="1:29" hidden="1">
      <c r="A144" s="56" t="s">
        <v>154</v>
      </c>
      <c r="B144" s="17"/>
      <c r="C144" s="17"/>
      <c r="D144" s="17"/>
      <c r="E144" s="17"/>
    </row>
    <row r="145" spans="1:5" hidden="1">
      <c r="A145" s="16"/>
      <c r="B145" s="17"/>
      <c r="C145" s="16"/>
      <c r="D145" s="18"/>
      <c r="E145" s="18"/>
    </row>
    <row r="146" spans="1:5" hidden="1">
      <c r="A146" s="16"/>
      <c r="B146" s="17"/>
      <c r="C146" s="16"/>
      <c r="D146" s="18"/>
      <c r="E146" s="18"/>
    </row>
    <row r="147" spans="1:5" hidden="1">
      <c r="A147" s="6">
        <f>($C$47+$C$48-420.33)/112.8*12.8</f>
        <v>-47.697021276595748</v>
      </c>
      <c r="B147" s="7">
        <v>0</v>
      </c>
      <c r="C147" s="7" t="s">
        <v>64</v>
      </c>
      <c r="D147" s="7"/>
      <c r="E147" s="68">
        <f>MAX(A147:B147)</f>
        <v>0</v>
      </c>
    </row>
    <row r="148" spans="1:5" hidden="1">
      <c r="D148" s="69"/>
      <c r="E148" s="8"/>
    </row>
    <row r="149" spans="1:5" hidden="1">
      <c r="A149" s="9">
        <f>$C$47+$C$48-A147</f>
        <v>47.697021276595748</v>
      </c>
      <c r="C149" s="10" t="s">
        <v>65</v>
      </c>
      <c r="D149" s="11">
        <f>SUM(A149-420.33)*0.11</f>
        <v>-40.989627659574467</v>
      </c>
      <c r="E149" s="12">
        <f>IF(D149&lt;0,0,MIN(D149,D150))</f>
        <v>0</v>
      </c>
    </row>
    <row r="150" spans="1:5" hidden="1">
      <c r="D150" s="12">
        <f>(645-97)*(52)/12*0.11</f>
        <v>261.21333333333331</v>
      </c>
      <c r="E150" s="77">
        <v>0</v>
      </c>
    </row>
    <row r="151" spans="1:5" hidden="1">
      <c r="C151" s="7" t="s">
        <v>120</v>
      </c>
      <c r="D151" s="11">
        <f>SUM(A149-645*(52)/12)*0.01</f>
        <v>-27.47302978723404</v>
      </c>
      <c r="E151" s="11">
        <f>MAX(D151,E150)</f>
        <v>0</v>
      </c>
    </row>
    <row r="152" spans="1:5" hidden="1">
      <c r="B152" s="10" t="s">
        <v>20</v>
      </c>
      <c r="C152" s="7" t="s">
        <v>66</v>
      </c>
      <c r="D152" s="6">
        <f>(A149-419.58-179.17-2595.83)*0.4</f>
        <v>-1258.7531914893616</v>
      </c>
      <c r="E152" s="12">
        <f>MAX(D152,D153)</f>
        <v>0</v>
      </c>
    </row>
    <row r="153" spans="1:5" hidden="1">
      <c r="A153" s="13"/>
      <c r="D153" s="7">
        <v>0</v>
      </c>
      <c r="E153" s="8"/>
    </row>
    <row r="154" spans="1:5" hidden="1">
      <c r="A154" s="13"/>
      <c r="C154" s="7" t="s">
        <v>67</v>
      </c>
      <c r="D154" s="6">
        <f>(A149-419.52-179.17)*0.22</f>
        <v>-121.21845531914893</v>
      </c>
      <c r="E154" s="12">
        <f>IF(D154&lt;0,0,MIN(D154,D155))</f>
        <v>0</v>
      </c>
    </row>
    <row r="155" spans="1:5" hidden="1">
      <c r="A155" s="13"/>
      <c r="D155" s="7">
        <v>571.08000000000004</v>
      </c>
      <c r="E155" s="8"/>
    </row>
    <row r="156" spans="1:5" hidden="1">
      <c r="A156" s="13"/>
      <c r="C156" s="7" t="s">
        <v>68</v>
      </c>
      <c r="D156" s="6">
        <f>(A149-419.58)*0.1</f>
        <v>-37.188297872340421</v>
      </c>
      <c r="E156" s="12">
        <f>IF(D156&lt;0,0,MIN(D156,D157))</f>
        <v>0</v>
      </c>
    </row>
    <row r="157" spans="1:5" hidden="1">
      <c r="D157" s="7">
        <v>17.920000000000002</v>
      </c>
      <c r="E157" s="8"/>
    </row>
    <row r="158" spans="1:5" hidden="1">
      <c r="D158" s="7"/>
      <c r="E158" s="8"/>
    </row>
    <row r="159" spans="1:5" ht="13.5" hidden="1" thickBot="1">
      <c r="C159" s="14" t="s">
        <v>69</v>
      </c>
      <c r="D159" s="7"/>
      <c r="E159" s="15">
        <f>SUM(E147:E157)</f>
        <v>0</v>
      </c>
    </row>
    <row r="160" spans="1:5" hidden="1"/>
  </sheetData>
  <sheetProtection password="CE8E" sheet="1"/>
  <phoneticPr fontId="0" type="noConversion"/>
  <pageMargins left="0.74803149606299213" right="0.74803149606299213" top="0.98425196850393704" bottom="0.98425196850393704" header="0.51181102362204722" footer="0.51181102362204722"/>
  <pageSetup paperSize="9" scale="26" fitToWidth="2" orientation="landscape" horizontalDpi="300" verticalDpi="300" r:id="rId1"/>
  <headerFooter alignWithMargins="0">
    <oddFooter>&amp;C&amp;"Bodoni Bd BT,Bold Italic"&amp;9Page &amp;P of &amp;N</oddFooter>
  </headerFooter>
  <ignoredErrors>
    <ignoredError sqref="E119:F119" unlockedFormula="1"/>
  </ignoredError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BE311"/>
  <sheetViews>
    <sheetView showZeros="0" topLeftCell="A22" zoomScale="70" zoomScaleNormal="70" workbookViewId="0">
      <pane xSplit="7" topLeftCell="H1" activePane="topRight" state="frozen"/>
      <selection activeCell="L49" sqref="L49"/>
      <selection pane="topRight" activeCell="L80" sqref="L80:L81"/>
    </sheetView>
  </sheetViews>
  <sheetFormatPr defaultColWidth="0" defaultRowHeight="12.75"/>
  <cols>
    <col min="1" max="1" width="10.7109375" style="7" customWidth="1"/>
    <col min="2" max="2" width="25.7109375" style="7" customWidth="1"/>
    <col min="3" max="3" width="17.7109375" style="7" customWidth="1"/>
    <col min="4" max="4" width="13.7109375" style="20" customWidth="1"/>
    <col min="5" max="5" width="14.5703125" style="20" customWidth="1"/>
    <col min="6" max="6" width="17.5703125" style="20" customWidth="1"/>
    <col min="7"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1" width="10.42578125" style="7" hidden="1" customWidth="1"/>
    <col min="32" max="32" width="12.7109375" style="632" customWidth="1"/>
    <col min="33" max="33" width="17.140625" style="7" hidden="1" customWidth="1"/>
    <col min="34" max="16384" width="0" style="7" hidden="1"/>
  </cols>
  <sheetData>
    <row r="1" spans="1:29" ht="13.5" thickBot="1">
      <c r="A1" s="7">
        <v>0</v>
      </c>
    </row>
    <row r="2" spans="1:29" ht="29.45" customHeight="1" thickBot="1">
      <c r="A2" s="105" t="s">
        <v>461</v>
      </c>
      <c r="B2" s="82"/>
      <c r="C2" s="303"/>
      <c r="D2" s="82"/>
      <c r="E2" s="303"/>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106" t="s">
        <v>84</v>
      </c>
      <c r="B4" s="304"/>
      <c r="C4" s="108">
        <v>43040</v>
      </c>
      <c r="H4" s="21"/>
      <c r="L4" s="21"/>
      <c r="P4" s="21"/>
      <c r="Q4" s="22"/>
      <c r="R4" s="22"/>
      <c r="S4" s="22"/>
      <c r="T4" s="22"/>
      <c r="U4" s="22"/>
      <c r="V4" s="22"/>
      <c r="W4" s="22"/>
      <c r="X4" s="22"/>
      <c r="Y4" s="22"/>
      <c r="Z4" s="22"/>
      <c r="AA4" s="22"/>
      <c r="AB4" s="22"/>
      <c r="AC4" s="22"/>
    </row>
    <row r="5" spans="1:29">
      <c r="N5" s="20"/>
    </row>
    <row r="6" spans="1:29" ht="15" customHeight="1" thickBot="1">
      <c r="I6" s="306"/>
      <c r="N6" s="20"/>
    </row>
    <row r="7" spans="1:29" ht="21" thickBot="1">
      <c r="A7" s="101" t="s">
        <v>0</v>
      </c>
      <c r="B7" s="102"/>
      <c r="C7" s="102"/>
      <c r="D7" s="102"/>
      <c r="E7" s="102"/>
      <c r="F7" s="102"/>
      <c r="G7" s="103"/>
      <c r="H7" s="23"/>
      <c r="I7" s="101" t="s">
        <v>211</v>
      </c>
      <c r="J7" s="102"/>
      <c r="K7" s="102"/>
      <c r="L7" s="102"/>
      <c r="M7" s="102"/>
      <c r="N7" s="103"/>
    </row>
    <row r="8" spans="1:29" ht="13.5" thickBot="1">
      <c r="A8" s="24"/>
      <c r="B8" s="24"/>
      <c r="C8" s="24"/>
      <c r="D8" s="5"/>
      <c r="E8" s="5"/>
      <c r="F8" s="5"/>
      <c r="G8" s="5"/>
      <c r="H8" s="5"/>
      <c r="I8" s="5"/>
      <c r="J8" s="5"/>
      <c r="K8" s="5"/>
      <c r="L8" s="5"/>
      <c r="M8" s="5"/>
      <c r="N8" s="5"/>
    </row>
    <row r="9" spans="1:29" ht="15.75" thickBot="1">
      <c r="A9" s="25" t="s">
        <v>2</v>
      </c>
      <c r="B9" s="24"/>
      <c r="C9" s="24"/>
      <c r="D9" s="26"/>
      <c r="E9" s="547" t="s">
        <v>242</v>
      </c>
      <c r="F9" s="241"/>
      <c r="G9" s="5"/>
      <c r="H9" s="5"/>
      <c r="I9" s="5"/>
      <c r="J9" s="5"/>
      <c r="K9" s="5"/>
      <c r="L9" s="5"/>
      <c r="M9" s="5"/>
      <c r="N9" s="5"/>
    </row>
    <row r="10" spans="1:29" ht="15.75" thickBot="1">
      <c r="A10" s="24"/>
      <c r="B10" s="24"/>
      <c r="C10" s="24"/>
      <c r="E10" s="27"/>
      <c r="F10" s="5"/>
      <c r="G10" s="5"/>
      <c r="H10" s="5"/>
      <c r="I10" s="782" t="s">
        <v>70</v>
      </c>
      <c r="J10" s="5" t="s">
        <v>71</v>
      </c>
      <c r="K10" s="260">
        <v>28875.31</v>
      </c>
      <c r="L10" s="5"/>
      <c r="M10" s="5"/>
      <c r="N10" s="5"/>
    </row>
    <row r="11" spans="1:29" ht="15.75" thickBot="1">
      <c r="A11" s="25" t="s">
        <v>4</v>
      </c>
      <c r="B11" s="24"/>
      <c r="C11" s="24"/>
      <c r="E11" s="547" t="s">
        <v>3</v>
      </c>
      <c r="F11" s="5"/>
      <c r="G11" s="5"/>
      <c r="H11" s="5"/>
      <c r="I11" s="782"/>
      <c r="J11" s="5" t="s">
        <v>19</v>
      </c>
      <c r="K11" s="260">
        <v>87011.69</v>
      </c>
      <c r="L11" s="5"/>
      <c r="M11" s="5"/>
      <c r="N11" s="5"/>
      <c r="O11" s="14" t="s">
        <v>20</v>
      </c>
    </row>
    <row r="12" spans="1:29" ht="15.75" thickBot="1">
      <c r="A12" s="25" t="s">
        <v>306</v>
      </c>
      <c r="B12" s="24"/>
      <c r="C12" s="24"/>
      <c r="E12" s="335">
        <v>0.16500000000000001</v>
      </c>
      <c r="F12" s="5"/>
      <c r="G12" s="5"/>
      <c r="H12" s="5"/>
      <c r="I12" s="5"/>
      <c r="J12" s="309" t="s">
        <v>316</v>
      </c>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12"/>
      <c r="C16" s="33" t="s">
        <v>77</v>
      </c>
      <c r="D16" s="301">
        <v>0</v>
      </c>
      <c r="E16" s="301">
        <v>0</v>
      </c>
      <c r="F16" s="301"/>
      <c r="G16" s="302">
        <v>0</v>
      </c>
      <c r="H16" s="34"/>
      <c r="I16" s="153" t="s">
        <v>20</v>
      </c>
      <c r="J16" s="152" t="s">
        <v>77</v>
      </c>
      <c r="K16" s="154"/>
      <c r="L16" s="301" t="s">
        <v>20</v>
      </c>
      <c r="M16" s="301"/>
      <c r="N16" s="301"/>
      <c r="O16" s="313"/>
      <c r="P16" s="314"/>
    </row>
    <row r="17" spans="1:16">
      <c r="A17" s="555"/>
      <c r="B17" s="548" t="s">
        <v>476</v>
      </c>
      <c r="C17" s="2"/>
      <c r="D17" s="346">
        <f>IF(E$9="y",F17-G17,0)</f>
        <v>0</v>
      </c>
      <c r="E17" s="46">
        <f>IF(E$9="n",F17-G17,0)</f>
        <v>0</v>
      </c>
      <c r="F17" s="741"/>
      <c r="G17" s="551">
        <f>IF(($E$11="n"),0,IF((LEFT(C17,1)="v"),F17,IF((LEFT(C17,1)="z"),0,F17*1/6)))</f>
        <v>0</v>
      </c>
      <c r="H17" s="34"/>
      <c r="I17" s="560"/>
      <c r="J17" s="743" t="s">
        <v>477</v>
      </c>
      <c r="K17" s="567"/>
      <c r="L17" s="562">
        <v>23100</v>
      </c>
      <c r="M17" s="562"/>
      <c r="N17" s="562"/>
      <c r="O17" s="562"/>
      <c r="P17" s="563"/>
    </row>
    <row r="18" spans="1:16">
      <c r="A18" s="555"/>
      <c r="B18" s="1"/>
      <c r="C18" s="2"/>
      <c r="D18" s="346">
        <f t="shared" ref="D18:D52" si="0">IF(E$9="y",F18-G18,0)</f>
        <v>0</v>
      </c>
      <c r="E18" s="46">
        <f t="shared" ref="E18:E52" si="1">IF(E$9="n",F18-G18,0)</f>
        <v>0</v>
      </c>
      <c r="F18" s="550"/>
      <c r="G18" s="551">
        <f t="shared" ref="G18:G52" si="2">IF(($E$11="n"),0,IF((LEFT(C18,1)="v"),F18,IF((LEFT(C18,1)="z"),0,F18*1/6)))</f>
        <v>0</v>
      </c>
      <c r="H18" s="34"/>
      <c r="I18" s="560"/>
      <c r="J18" s="565"/>
      <c r="K18" s="567"/>
      <c r="L18" s="562"/>
      <c r="M18" s="562"/>
      <c r="N18" s="562"/>
      <c r="O18" s="562"/>
      <c r="P18" s="563">
        <v>1.43</v>
      </c>
    </row>
    <row r="19" spans="1:16">
      <c r="A19" s="555"/>
      <c r="B19" s="1"/>
      <c r="C19" s="256"/>
      <c r="D19" s="346">
        <f t="shared" si="0"/>
        <v>0</v>
      </c>
      <c r="E19" s="46">
        <f t="shared" si="1"/>
        <v>0</v>
      </c>
      <c r="F19" s="550"/>
      <c r="G19" s="551">
        <f t="shared" si="2"/>
        <v>0</v>
      </c>
      <c r="H19" s="34"/>
      <c r="I19" s="560"/>
      <c r="J19" s="565"/>
      <c r="K19" s="567"/>
      <c r="L19" s="562"/>
      <c r="M19" s="562"/>
      <c r="N19" s="562"/>
      <c r="O19" s="562"/>
      <c r="P19" s="563"/>
    </row>
    <row r="20" spans="1:16">
      <c r="A20" s="555"/>
      <c r="B20" s="1"/>
      <c r="C20" s="256"/>
      <c r="D20" s="346">
        <f t="shared" si="0"/>
        <v>0</v>
      </c>
      <c r="E20" s="46">
        <f t="shared" si="1"/>
        <v>0</v>
      </c>
      <c r="F20" s="550"/>
      <c r="G20" s="551">
        <f t="shared" si="2"/>
        <v>0</v>
      </c>
      <c r="H20" s="34"/>
      <c r="I20" s="560"/>
      <c r="J20" s="565"/>
      <c r="K20" s="567"/>
      <c r="L20" s="562"/>
      <c r="M20" s="562"/>
      <c r="N20" s="562"/>
      <c r="O20" s="562"/>
      <c r="P20" s="563"/>
    </row>
    <row r="21" spans="1:16">
      <c r="A21" s="555"/>
      <c r="B21" s="1"/>
      <c r="C21" s="256"/>
      <c r="D21" s="346">
        <f t="shared" si="0"/>
        <v>0</v>
      </c>
      <c r="E21" s="46">
        <f t="shared" si="1"/>
        <v>0</v>
      </c>
      <c r="F21" s="550"/>
      <c r="G21" s="551">
        <f t="shared" si="2"/>
        <v>0</v>
      </c>
      <c r="H21" s="34"/>
      <c r="I21" s="560"/>
      <c r="J21" s="565"/>
      <c r="K21" s="567"/>
      <c r="L21" s="562"/>
      <c r="M21" s="562"/>
      <c r="N21" s="562"/>
      <c r="O21" s="562"/>
      <c r="P21" s="563"/>
    </row>
    <row r="22" spans="1:16">
      <c r="A22" s="555"/>
      <c r="B22" s="1"/>
      <c r="C22" s="2"/>
      <c r="D22" s="346">
        <f t="shared" si="0"/>
        <v>0</v>
      </c>
      <c r="E22" s="46">
        <f t="shared" si="1"/>
        <v>0</v>
      </c>
      <c r="F22" s="550"/>
      <c r="G22" s="551">
        <f t="shared" si="2"/>
        <v>0</v>
      </c>
      <c r="H22" s="34"/>
      <c r="I22" s="560"/>
      <c r="J22" s="565"/>
      <c r="K22" s="567"/>
      <c r="L22" s="562"/>
      <c r="M22" s="562"/>
      <c r="N22" s="562"/>
      <c r="O22" s="562"/>
      <c r="P22" s="563"/>
    </row>
    <row r="23" spans="1:16">
      <c r="A23" s="555"/>
      <c r="B23" s="1"/>
      <c r="C23" s="2"/>
      <c r="D23" s="346">
        <f t="shared" si="0"/>
        <v>0</v>
      </c>
      <c r="E23" s="46">
        <f t="shared" si="1"/>
        <v>0</v>
      </c>
      <c r="F23" s="550"/>
      <c r="G23" s="551">
        <f t="shared" si="2"/>
        <v>0</v>
      </c>
      <c r="H23" s="34"/>
      <c r="I23" s="560"/>
      <c r="J23" s="565"/>
      <c r="K23" s="567"/>
      <c r="L23" s="562"/>
      <c r="M23" s="562"/>
      <c r="N23" s="562"/>
      <c r="O23" s="562"/>
      <c r="P23" s="563"/>
    </row>
    <row r="24" spans="1:16">
      <c r="A24" s="555"/>
      <c r="B24" s="1"/>
      <c r="C24" s="2"/>
      <c r="D24" s="346">
        <f t="shared" si="0"/>
        <v>0</v>
      </c>
      <c r="E24" s="46">
        <f t="shared" si="1"/>
        <v>0</v>
      </c>
      <c r="F24" s="550"/>
      <c r="G24" s="551">
        <f t="shared" si="2"/>
        <v>0</v>
      </c>
      <c r="H24" s="34"/>
      <c r="I24" s="560"/>
      <c r="J24" s="565"/>
      <c r="K24" s="567"/>
      <c r="L24" s="562"/>
      <c r="M24" s="562"/>
      <c r="N24" s="562"/>
      <c r="O24" s="562"/>
      <c r="P24" s="563"/>
    </row>
    <row r="25" spans="1:16">
      <c r="A25" s="555"/>
      <c r="B25" s="1"/>
      <c r="C25" s="256"/>
      <c r="D25" s="346">
        <f t="shared" si="0"/>
        <v>0</v>
      </c>
      <c r="E25" s="46">
        <f t="shared" si="1"/>
        <v>0</v>
      </c>
      <c r="F25" s="550"/>
      <c r="G25" s="551">
        <f t="shared" si="2"/>
        <v>0</v>
      </c>
      <c r="H25" s="34"/>
      <c r="I25" s="560"/>
      <c r="J25" s="565"/>
      <c r="K25" s="567"/>
      <c r="L25" s="562"/>
      <c r="M25" s="562"/>
      <c r="N25" s="562"/>
      <c r="O25" s="562"/>
      <c r="P25" s="563"/>
    </row>
    <row r="26" spans="1:16">
      <c r="A26" s="555"/>
      <c r="B26" s="1"/>
      <c r="C26" s="256"/>
      <c r="D26" s="346">
        <f t="shared" si="0"/>
        <v>0</v>
      </c>
      <c r="E26" s="46">
        <f t="shared" si="1"/>
        <v>0</v>
      </c>
      <c r="F26" s="550"/>
      <c r="G26" s="551">
        <f t="shared" si="2"/>
        <v>0</v>
      </c>
      <c r="H26" s="34"/>
      <c r="I26" s="560"/>
      <c r="J26" s="565"/>
      <c r="K26" s="567"/>
      <c r="L26" s="562"/>
      <c r="M26" s="562"/>
      <c r="N26" s="562"/>
      <c r="O26" s="562"/>
      <c r="P26" s="563"/>
    </row>
    <row r="27" spans="1:16">
      <c r="A27" s="555"/>
      <c r="B27" s="1"/>
      <c r="C27" s="2"/>
      <c r="D27" s="346">
        <f t="shared" si="0"/>
        <v>0</v>
      </c>
      <c r="E27" s="46">
        <f t="shared" si="1"/>
        <v>0</v>
      </c>
      <c r="F27" s="550"/>
      <c r="G27" s="551">
        <f t="shared" si="2"/>
        <v>0</v>
      </c>
      <c r="H27" s="34"/>
      <c r="I27" s="560"/>
      <c r="J27" s="565"/>
      <c r="K27" s="567"/>
      <c r="L27" s="562"/>
      <c r="M27" s="562"/>
      <c r="N27" s="562"/>
      <c r="O27" s="562"/>
      <c r="P27" s="563"/>
    </row>
    <row r="28" spans="1:16">
      <c r="A28" s="555"/>
      <c r="B28" s="1"/>
      <c r="C28" s="2"/>
      <c r="D28" s="346">
        <f t="shared" si="0"/>
        <v>0</v>
      </c>
      <c r="E28" s="46">
        <f t="shared" si="1"/>
        <v>0</v>
      </c>
      <c r="F28" s="550"/>
      <c r="G28" s="551">
        <f t="shared" si="2"/>
        <v>0</v>
      </c>
      <c r="H28" s="34"/>
      <c r="I28" s="560"/>
      <c r="J28" s="565"/>
      <c r="K28" s="567"/>
      <c r="L28" s="562"/>
      <c r="M28" s="562"/>
      <c r="N28" s="562"/>
      <c r="O28" s="562"/>
      <c r="P28" s="563"/>
    </row>
    <row r="29" spans="1:16">
      <c r="A29" s="555"/>
      <c r="B29" s="1"/>
      <c r="C29" s="2"/>
      <c r="D29" s="346">
        <f t="shared" si="0"/>
        <v>0</v>
      </c>
      <c r="E29" s="46">
        <f t="shared" si="1"/>
        <v>0</v>
      </c>
      <c r="F29" s="550"/>
      <c r="G29" s="551">
        <f t="shared" si="2"/>
        <v>0</v>
      </c>
      <c r="H29" s="34"/>
      <c r="I29" s="560"/>
      <c r="J29" s="565"/>
      <c r="K29" s="567"/>
      <c r="L29" s="562"/>
      <c r="M29" s="562"/>
      <c r="N29" s="562"/>
      <c r="O29" s="562"/>
      <c r="P29" s="563"/>
    </row>
    <row r="30" spans="1:16">
      <c r="A30" s="555"/>
      <c r="B30" s="1"/>
      <c r="C30" s="2"/>
      <c r="D30" s="346">
        <f t="shared" si="0"/>
        <v>0</v>
      </c>
      <c r="E30" s="46">
        <f t="shared" si="1"/>
        <v>0</v>
      </c>
      <c r="F30" s="550"/>
      <c r="G30" s="551">
        <f t="shared" si="2"/>
        <v>0</v>
      </c>
      <c r="H30" s="34"/>
      <c r="I30" s="560"/>
      <c r="J30" s="565"/>
      <c r="K30" s="567"/>
      <c r="L30" s="562"/>
      <c r="M30" s="562"/>
      <c r="N30" s="562"/>
      <c r="O30" s="562"/>
      <c r="P30" s="563"/>
    </row>
    <row r="31" spans="1:16">
      <c r="A31" s="555"/>
      <c r="B31" s="1"/>
      <c r="C31" s="2"/>
      <c r="D31" s="346">
        <f t="shared" si="0"/>
        <v>0</v>
      </c>
      <c r="E31" s="46">
        <f t="shared" si="1"/>
        <v>0</v>
      </c>
      <c r="F31" s="550"/>
      <c r="G31" s="551">
        <f t="shared" si="2"/>
        <v>0</v>
      </c>
      <c r="H31" s="34"/>
      <c r="I31" s="560"/>
      <c r="J31" s="565"/>
      <c r="K31" s="567"/>
      <c r="L31" s="562"/>
      <c r="M31" s="562"/>
      <c r="N31" s="562"/>
      <c r="O31" s="562"/>
      <c r="P31" s="563"/>
    </row>
    <row r="32" spans="1:16">
      <c r="A32" s="555"/>
      <c r="B32" s="1"/>
      <c r="C32" s="2"/>
      <c r="D32" s="346">
        <f t="shared" si="0"/>
        <v>0</v>
      </c>
      <c r="E32" s="46">
        <f t="shared" si="1"/>
        <v>0</v>
      </c>
      <c r="F32" s="550"/>
      <c r="G32" s="551">
        <f t="shared" si="2"/>
        <v>0</v>
      </c>
      <c r="H32" s="34"/>
      <c r="I32" s="560"/>
      <c r="J32" s="565"/>
      <c r="K32" s="567"/>
      <c r="L32" s="562"/>
      <c r="M32" s="562"/>
      <c r="N32" s="562"/>
      <c r="O32" s="562"/>
      <c r="P32" s="563"/>
    </row>
    <row r="33" spans="1:16">
      <c r="A33" s="555"/>
      <c r="B33" s="1"/>
      <c r="C33" s="2"/>
      <c r="D33" s="346">
        <f t="shared" si="0"/>
        <v>0</v>
      </c>
      <c r="E33" s="46">
        <f t="shared" si="1"/>
        <v>0</v>
      </c>
      <c r="F33" s="550"/>
      <c r="G33" s="551">
        <f t="shared" si="2"/>
        <v>0</v>
      </c>
      <c r="H33" s="34"/>
      <c r="I33" s="560"/>
      <c r="J33" s="565"/>
      <c r="K33" s="567"/>
      <c r="L33" s="562"/>
      <c r="M33" s="562"/>
      <c r="N33" s="562"/>
      <c r="O33" s="562"/>
      <c r="P33" s="563"/>
    </row>
    <row r="34" spans="1:16">
      <c r="A34" s="555"/>
      <c r="B34" s="1"/>
      <c r="C34" s="2"/>
      <c r="D34" s="346">
        <f t="shared" si="0"/>
        <v>0</v>
      </c>
      <c r="E34" s="46">
        <f t="shared" si="1"/>
        <v>0</v>
      </c>
      <c r="F34" s="550"/>
      <c r="G34" s="551">
        <f t="shared" si="2"/>
        <v>0</v>
      </c>
      <c r="H34" s="34"/>
      <c r="I34" s="560"/>
      <c r="J34" s="565"/>
      <c r="K34" s="567"/>
      <c r="L34" s="562"/>
      <c r="M34" s="562"/>
      <c r="N34" s="562"/>
      <c r="O34" s="562"/>
      <c r="P34" s="563"/>
    </row>
    <row r="35" spans="1:16">
      <c r="A35" s="555"/>
      <c r="B35" s="1"/>
      <c r="C35" s="2"/>
      <c r="D35" s="346">
        <f t="shared" si="0"/>
        <v>0</v>
      </c>
      <c r="E35" s="46">
        <f t="shared" si="1"/>
        <v>0</v>
      </c>
      <c r="F35" s="550"/>
      <c r="G35" s="551">
        <f t="shared" si="2"/>
        <v>0</v>
      </c>
      <c r="H35" s="34"/>
      <c r="I35" s="560"/>
      <c r="J35" s="565"/>
      <c r="K35" s="567"/>
      <c r="L35" s="562"/>
      <c r="M35" s="562"/>
      <c r="N35" s="562"/>
      <c r="O35" s="562"/>
      <c r="P35" s="563"/>
    </row>
    <row r="36" spans="1:16">
      <c r="A36" s="555"/>
      <c r="B36" s="1"/>
      <c r="C36" s="2"/>
      <c r="D36" s="346">
        <f t="shared" si="0"/>
        <v>0</v>
      </c>
      <c r="E36" s="46">
        <f t="shared" si="1"/>
        <v>0</v>
      </c>
      <c r="F36" s="550"/>
      <c r="G36" s="551">
        <f t="shared" si="2"/>
        <v>0</v>
      </c>
      <c r="H36" s="34"/>
      <c r="I36" s="560"/>
      <c r="J36" s="565"/>
      <c r="K36" s="567"/>
      <c r="L36" s="562"/>
      <c r="M36" s="562"/>
      <c r="N36" s="562"/>
      <c r="O36" s="562"/>
      <c r="P36" s="563"/>
    </row>
    <row r="37" spans="1:16">
      <c r="A37" s="555"/>
      <c r="B37" s="1"/>
      <c r="C37" s="2"/>
      <c r="D37" s="346">
        <f t="shared" si="0"/>
        <v>0</v>
      </c>
      <c r="E37" s="46">
        <f t="shared" si="1"/>
        <v>0</v>
      </c>
      <c r="F37" s="550"/>
      <c r="G37" s="551">
        <f t="shared" si="2"/>
        <v>0</v>
      </c>
      <c r="H37" s="34"/>
      <c r="I37" s="560"/>
      <c r="J37" s="565"/>
      <c r="K37" s="567"/>
      <c r="L37" s="562"/>
      <c r="M37" s="562"/>
      <c r="N37" s="562"/>
      <c r="O37" s="562"/>
      <c r="P37" s="563"/>
    </row>
    <row r="38" spans="1:16">
      <c r="A38" s="555"/>
      <c r="B38" s="1"/>
      <c r="C38" s="2"/>
      <c r="D38" s="346">
        <f t="shared" si="0"/>
        <v>0</v>
      </c>
      <c r="E38" s="46">
        <f t="shared" si="1"/>
        <v>0</v>
      </c>
      <c r="F38" s="550"/>
      <c r="G38" s="551">
        <f t="shared" si="2"/>
        <v>0</v>
      </c>
      <c r="H38" s="34"/>
      <c r="I38" s="560"/>
      <c r="J38" s="565"/>
      <c r="K38" s="567"/>
      <c r="L38" s="562"/>
      <c r="M38" s="562"/>
      <c r="N38" s="562"/>
      <c r="O38" s="562"/>
      <c r="P38" s="563"/>
    </row>
    <row r="39" spans="1:16" hidden="1">
      <c r="A39" s="555"/>
      <c r="B39" s="1"/>
      <c r="C39" s="2"/>
      <c r="D39" s="346">
        <f t="shared" si="0"/>
        <v>0</v>
      </c>
      <c r="E39" s="46">
        <f t="shared" si="1"/>
        <v>0</v>
      </c>
      <c r="F39" s="550"/>
      <c r="G39" s="551">
        <f t="shared" si="2"/>
        <v>0</v>
      </c>
      <c r="H39" s="34"/>
      <c r="I39" s="560"/>
      <c r="J39" s="565"/>
      <c r="K39" s="567"/>
      <c r="L39" s="562"/>
      <c r="M39" s="562"/>
      <c r="N39" s="562"/>
      <c r="O39" s="562"/>
      <c r="P39" s="563"/>
    </row>
    <row r="40" spans="1:16" hidden="1">
      <c r="A40" s="555"/>
      <c r="B40" s="1"/>
      <c r="C40" s="2"/>
      <c r="D40" s="346">
        <f t="shared" si="0"/>
        <v>0</v>
      </c>
      <c r="E40" s="46">
        <f t="shared" si="1"/>
        <v>0</v>
      </c>
      <c r="F40" s="550"/>
      <c r="G40" s="551">
        <f t="shared" si="2"/>
        <v>0</v>
      </c>
      <c r="H40" s="34"/>
      <c r="I40" s="560"/>
      <c r="J40" s="565"/>
      <c r="K40" s="567"/>
      <c r="L40" s="562"/>
      <c r="M40" s="562"/>
      <c r="N40" s="562"/>
      <c r="O40" s="562"/>
      <c r="P40" s="563"/>
    </row>
    <row r="41" spans="1:16" hidden="1">
      <c r="A41" s="555"/>
      <c r="B41" s="549">
        <f>IF(E9="Both","Enter manual values here",0)</f>
        <v>0</v>
      </c>
      <c r="C41" s="2"/>
      <c r="D41" s="552">
        <f t="shared" si="0"/>
        <v>0</v>
      </c>
      <c r="E41" s="553">
        <f t="shared" si="1"/>
        <v>0</v>
      </c>
      <c r="F41" s="550"/>
      <c r="G41" s="551">
        <f t="shared" si="2"/>
        <v>0</v>
      </c>
      <c r="H41" s="34"/>
      <c r="I41" s="560"/>
      <c r="J41" s="565"/>
      <c r="K41" s="567"/>
      <c r="L41" s="562"/>
      <c r="M41" s="562"/>
      <c r="N41" s="562"/>
      <c r="O41" s="562"/>
      <c r="P41" s="563"/>
    </row>
    <row r="42" spans="1:16" hidden="1">
      <c r="A42" s="555"/>
      <c r="B42" s="1"/>
      <c r="C42" s="2"/>
      <c r="D42" s="552">
        <f t="shared" si="0"/>
        <v>0</v>
      </c>
      <c r="E42" s="553">
        <f t="shared" si="1"/>
        <v>0</v>
      </c>
      <c r="F42" s="550"/>
      <c r="G42" s="551">
        <f t="shared" si="2"/>
        <v>0</v>
      </c>
      <c r="H42" s="34"/>
      <c r="I42" s="560"/>
      <c r="J42" s="565"/>
      <c r="K42" s="567"/>
      <c r="L42" s="562"/>
      <c r="M42" s="562"/>
      <c r="N42" s="562"/>
      <c r="O42" s="562"/>
      <c r="P42" s="563"/>
    </row>
    <row r="43" spans="1:16" hidden="1">
      <c r="A43" s="555"/>
      <c r="B43" s="1"/>
      <c r="C43" s="2"/>
      <c r="D43" s="552">
        <f t="shared" si="0"/>
        <v>0</v>
      </c>
      <c r="E43" s="553">
        <f t="shared" si="1"/>
        <v>0</v>
      </c>
      <c r="F43" s="550"/>
      <c r="G43" s="551">
        <f t="shared" si="2"/>
        <v>0</v>
      </c>
      <c r="H43" s="34"/>
      <c r="I43" s="560"/>
      <c r="J43" s="565"/>
      <c r="K43" s="567"/>
      <c r="L43" s="562"/>
      <c r="M43" s="562"/>
      <c r="N43" s="562"/>
      <c r="O43" s="562"/>
      <c r="P43" s="563"/>
    </row>
    <row r="44" spans="1:16" hidden="1">
      <c r="A44" s="555"/>
      <c r="B44" s="1"/>
      <c r="C44" s="2"/>
      <c r="D44" s="552">
        <f t="shared" si="0"/>
        <v>0</v>
      </c>
      <c r="E44" s="553">
        <f t="shared" si="1"/>
        <v>0</v>
      </c>
      <c r="F44" s="550"/>
      <c r="G44" s="551">
        <f t="shared" si="2"/>
        <v>0</v>
      </c>
      <c r="H44" s="34"/>
      <c r="I44" s="560"/>
      <c r="J44" s="565"/>
      <c r="K44" s="567"/>
      <c r="L44" s="562"/>
      <c r="M44" s="562"/>
      <c r="N44" s="562"/>
      <c r="O44" s="562"/>
      <c r="P44" s="563"/>
    </row>
    <row r="45" spans="1:16" hidden="1">
      <c r="A45" s="555"/>
      <c r="B45" s="1"/>
      <c r="C45" s="2"/>
      <c r="D45" s="552">
        <f t="shared" si="0"/>
        <v>0</v>
      </c>
      <c r="E45" s="553">
        <f t="shared" si="1"/>
        <v>0</v>
      </c>
      <c r="F45" s="550"/>
      <c r="G45" s="551">
        <f t="shared" si="2"/>
        <v>0</v>
      </c>
      <c r="H45" s="34"/>
      <c r="I45" s="560"/>
      <c r="J45" s="565"/>
      <c r="K45" s="567"/>
      <c r="L45" s="562"/>
      <c r="M45" s="562"/>
      <c r="N45" s="562"/>
      <c r="O45" s="562"/>
      <c r="P45" s="563"/>
    </row>
    <row r="46" spans="1:16" hidden="1">
      <c r="A46" s="555"/>
      <c r="B46" s="1"/>
      <c r="C46" s="2"/>
      <c r="D46" s="552">
        <f t="shared" si="0"/>
        <v>0</v>
      </c>
      <c r="E46" s="553">
        <f t="shared" si="1"/>
        <v>0</v>
      </c>
      <c r="F46" s="550"/>
      <c r="G46" s="551">
        <f t="shared" si="2"/>
        <v>0</v>
      </c>
      <c r="H46" s="34"/>
      <c r="I46" s="560"/>
      <c r="J46" s="565"/>
      <c r="K46" s="567"/>
      <c r="L46" s="562"/>
      <c r="M46" s="562"/>
      <c r="N46" s="562"/>
      <c r="O46" s="562"/>
      <c r="P46" s="563"/>
    </row>
    <row r="47" spans="1:16" hidden="1">
      <c r="A47" s="555"/>
      <c r="B47" s="1"/>
      <c r="C47" s="2"/>
      <c r="D47" s="552">
        <f t="shared" si="0"/>
        <v>0</v>
      </c>
      <c r="E47" s="553">
        <f t="shared" si="1"/>
        <v>0</v>
      </c>
      <c r="F47" s="550"/>
      <c r="G47" s="551">
        <f t="shared" si="2"/>
        <v>0</v>
      </c>
      <c r="H47" s="34"/>
      <c r="I47" s="560"/>
      <c r="J47" s="565"/>
      <c r="K47" s="567"/>
      <c r="L47" s="562"/>
      <c r="M47" s="562"/>
      <c r="N47" s="562"/>
      <c r="O47" s="562"/>
      <c r="P47" s="563"/>
    </row>
    <row r="48" spans="1:16" hidden="1">
      <c r="A48" s="555"/>
      <c r="B48" s="1"/>
      <c r="C48" s="2"/>
      <c r="D48" s="552">
        <f t="shared" si="0"/>
        <v>0</v>
      </c>
      <c r="E48" s="553">
        <f t="shared" si="1"/>
        <v>0</v>
      </c>
      <c r="F48" s="550"/>
      <c r="G48" s="551">
        <f t="shared" si="2"/>
        <v>0</v>
      </c>
      <c r="H48" s="34"/>
      <c r="I48" s="560"/>
      <c r="J48" s="565"/>
      <c r="K48" s="567"/>
      <c r="L48" s="562"/>
      <c r="M48" s="562"/>
      <c r="N48" s="562"/>
      <c r="O48" s="562"/>
      <c r="P48" s="563"/>
    </row>
    <row r="49" spans="1:32" hidden="1">
      <c r="A49" s="555"/>
      <c r="B49" s="1"/>
      <c r="C49" s="2"/>
      <c r="D49" s="552">
        <f t="shared" si="0"/>
        <v>0</v>
      </c>
      <c r="E49" s="553">
        <f t="shared" si="1"/>
        <v>0</v>
      </c>
      <c r="F49" s="550"/>
      <c r="G49" s="551">
        <f t="shared" si="2"/>
        <v>0</v>
      </c>
      <c r="H49" s="34"/>
      <c r="I49" s="560"/>
      <c r="J49" s="565"/>
      <c r="K49" s="567"/>
      <c r="L49" s="562"/>
      <c r="M49" s="562"/>
      <c r="N49" s="562"/>
      <c r="O49" s="562"/>
      <c r="P49" s="563"/>
    </row>
    <row r="50" spans="1:32" hidden="1">
      <c r="A50" s="555"/>
      <c r="B50" s="1"/>
      <c r="C50" s="2"/>
      <c r="D50" s="552">
        <f t="shared" si="0"/>
        <v>0</v>
      </c>
      <c r="E50" s="553">
        <f t="shared" si="1"/>
        <v>0</v>
      </c>
      <c r="F50" s="550"/>
      <c r="G50" s="551">
        <f t="shared" si="2"/>
        <v>0</v>
      </c>
      <c r="H50" s="34"/>
      <c r="I50" s="560"/>
      <c r="J50" s="565"/>
      <c r="K50" s="567"/>
      <c r="L50" s="562"/>
      <c r="M50" s="562"/>
      <c r="N50" s="562"/>
      <c r="O50" s="562"/>
      <c r="P50" s="563"/>
    </row>
    <row r="51" spans="1:32" hidden="1">
      <c r="A51" s="555"/>
      <c r="B51" s="1"/>
      <c r="C51" s="2"/>
      <c r="D51" s="552">
        <f t="shared" si="0"/>
        <v>0</v>
      </c>
      <c r="E51" s="553">
        <f t="shared" si="1"/>
        <v>0</v>
      </c>
      <c r="F51" s="550"/>
      <c r="G51" s="551">
        <f t="shared" si="2"/>
        <v>0</v>
      </c>
      <c r="H51" s="34"/>
      <c r="I51" s="560"/>
      <c r="J51" s="565"/>
      <c r="K51" s="567"/>
      <c r="L51" s="562"/>
      <c r="M51" s="562"/>
      <c r="N51" s="562"/>
      <c r="O51" s="562"/>
      <c r="P51" s="563"/>
    </row>
    <row r="52" spans="1:32" ht="13.5" thickBot="1">
      <c r="A52" s="556"/>
      <c r="B52" s="3"/>
      <c r="C52" s="4"/>
      <c r="D52" s="552">
        <f t="shared" si="0"/>
        <v>0</v>
      </c>
      <c r="E52" s="553">
        <f t="shared" si="1"/>
        <v>0</v>
      </c>
      <c r="F52" s="550"/>
      <c r="G52" s="551">
        <f t="shared" si="2"/>
        <v>0</v>
      </c>
      <c r="H52" s="34"/>
      <c r="I52" s="561"/>
      <c r="J52" s="566"/>
      <c r="K52" s="568"/>
      <c r="L52" s="562"/>
      <c r="M52" s="564"/>
      <c r="N52" s="564"/>
      <c r="O52" s="564"/>
      <c r="P52" s="563"/>
    </row>
    <row r="53" spans="1:32" s="10" customFormat="1" ht="14.25">
      <c r="A53" s="557" t="s">
        <v>26</v>
      </c>
      <c r="B53" s="91"/>
      <c r="C53" s="91"/>
      <c r="D53" s="92">
        <f>SUM(D17:D52)</f>
        <v>0</v>
      </c>
      <c r="E53" s="92">
        <f>SUM(E17:E52)</f>
        <v>0</v>
      </c>
      <c r="F53" s="92">
        <f>SUM(F17:F52)</f>
        <v>0</v>
      </c>
      <c r="G53" s="208">
        <f>SUM(G17:G52)</f>
        <v>0</v>
      </c>
      <c r="H53" s="588"/>
      <c r="I53" s="589" t="s">
        <v>26</v>
      </c>
      <c r="J53" s="91"/>
      <c r="K53" s="590"/>
      <c r="L53" s="92">
        <f>SUM(L17:L52)</f>
        <v>23100</v>
      </c>
      <c r="M53" s="92">
        <f>SUM(M17:M52)</f>
        <v>0</v>
      </c>
      <c r="N53" s="92">
        <f>SUM(N17:N52)</f>
        <v>0</v>
      </c>
      <c r="O53" s="92">
        <f>SUM(O17:O52)</f>
        <v>0</v>
      </c>
      <c r="P53" s="208">
        <f>SUM(P17:P52)</f>
        <v>1.43</v>
      </c>
      <c r="AF53" s="632"/>
    </row>
    <row r="54" spans="1:32" s="10" customFormat="1" ht="13.5" thickBot="1">
      <c r="A54" s="265" t="s">
        <v>27</v>
      </c>
      <c r="B54" s="38"/>
      <c r="C54" s="38"/>
      <c r="D54" s="643">
        <f>SUM(D16:D52)</f>
        <v>0</v>
      </c>
      <c r="E54" s="643">
        <f>SUM(E16:E52)</f>
        <v>0</v>
      </c>
      <c r="F54" s="643">
        <f>SUM(F16:F52)</f>
        <v>0</v>
      </c>
      <c r="G54" s="644">
        <f>SUM(G16:G52)</f>
        <v>0</v>
      </c>
      <c r="H54" s="588"/>
      <c r="I54" s="591" t="s">
        <v>27</v>
      </c>
      <c r="J54" s="38"/>
      <c r="K54" s="151"/>
      <c r="L54" s="643">
        <f>SUM(L16:L52)</f>
        <v>23100</v>
      </c>
      <c r="M54" s="643">
        <f>SUM(M16:M52)</f>
        <v>0</v>
      </c>
      <c r="N54" s="643">
        <f>SUM(N16:N52)</f>
        <v>0</v>
      </c>
      <c r="O54" s="643">
        <f>SUM(O16:O52)</f>
        <v>0</v>
      </c>
      <c r="P54" s="645">
        <f>SUM(P16:P52)</f>
        <v>1.43</v>
      </c>
      <c r="AF54" s="632"/>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row>
    <row r="58" spans="1:32" ht="18" hidden="1">
      <c r="A58" s="66" t="s">
        <v>28</v>
      </c>
      <c r="B58" s="17"/>
      <c r="C58" s="75">
        <f>IF(E9="y",G59*0.95-(SUM(H197:K197)),0)</f>
        <v>0</v>
      </c>
      <c r="E58" s="655" t="s">
        <v>136</v>
      </c>
      <c r="F58" s="70" t="s">
        <v>138</v>
      </c>
      <c r="G58" s="656" t="s">
        <v>420</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0</v>
      </c>
      <c r="F60" s="70">
        <f>+G60-E60</f>
        <v>0</v>
      </c>
      <c r="G60" s="70">
        <f>IF(E59+E60&lt;&gt;0,E60/(E59+E60)*(G61-G62),0)</f>
        <v>0</v>
      </c>
      <c r="H60" s="18"/>
      <c r="I60" s="18"/>
      <c r="J60" s="18"/>
      <c r="K60" s="18"/>
      <c r="L60" s="18"/>
      <c r="M60" s="18"/>
    </row>
    <row r="61" spans="1:32" hidden="1">
      <c r="A61" s="16"/>
      <c r="B61" s="17"/>
      <c r="C61" s="16"/>
      <c r="D61" s="70" t="s">
        <v>16</v>
      </c>
      <c r="E61" s="70">
        <f>+F53</f>
        <v>0</v>
      </c>
      <c r="F61" s="70">
        <f>+G61-E61</f>
        <v>0</v>
      </c>
      <c r="G61" s="70">
        <f>+E61</f>
        <v>0</v>
      </c>
      <c r="H61" s="18"/>
      <c r="I61" s="18"/>
      <c r="J61" s="18"/>
      <c r="K61" s="18"/>
      <c r="L61" s="18"/>
      <c r="M61" s="18"/>
    </row>
    <row r="62" spans="1:32" hidden="1">
      <c r="A62" s="67" t="s">
        <v>29</v>
      </c>
      <c r="B62" s="17"/>
      <c r="C62" s="70">
        <f>IF(E243&lt;=0,0,IF(C4&lt;42095,E265,E243))</f>
        <v>0</v>
      </c>
      <c r="D62" s="70" t="s">
        <v>17</v>
      </c>
      <c r="E62" s="70">
        <f>+G53</f>
        <v>0</v>
      </c>
      <c r="F62" s="70">
        <f>+G62-E62</f>
        <v>0</v>
      </c>
      <c r="G62" s="70">
        <f>IF(E12&gt;0,(G61)*E12,E62)</f>
        <v>0</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A73" s="16"/>
      <c r="B73" s="17"/>
      <c r="C73" s="16"/>
      <c r="D73" s="18"/>
      <c r="E73" s="18"/>
      <c r="F73" s="18"/>
      <c r="G73" s="18"/>
      <c r="H73" s="18"/>
      <c r="I73" s="18"/>
      <c r="J73" s="18"/>
      <c r="K73" s="18"/>
      <c r="L73" s="18"/>
      <c r="M73" s="18"/>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103"/>
    </row>
    <row r="75" spans="1:56">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1"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c r="AD77" s="17"/>
      <c r="AE77" s="17"/>
      <c r="AF77" s="183"/>
    </row>
    <row r="78" spans="1:56" ht="13.5" thickBot="1">
      <c r="A78" s="580" t="s">
        <v>11</v>
      </c>
      <c r="B78" s="580" t="s">
        <v>13</v>
      </c>
      <c r="C78" s="594" t="s">
        <v>38</v>
      </c>
      <c r="D78" s="569" t="s">
        <v>39</v>
      </c>
      <c r="E78" s="569" t="s">
        <v>40</v>
      </c>
      <c r="F78" s="569" t="s">
        <v>155</v>
      </c>
      <c r="G78" s="595" t="s">
        <v>17</v>
      </c>
      <c r="H78" s="594" t="s">
        <v>294</v>
      </c>
      <c r="I78" s="569" t="s">
        <v>42</v>
      </c>
      <c r="J78" s="594" t="s">
        <v>127</v>
      </c>
      <c r="K78" s="569" t="s">
        <v>44</v>
      </c>
      <c r="L78" s="596" t="s">
        <v>161</v>
      </c>
      <c r="M78" s="596" t="s">
        <v>160</v>
      </c>
      <c r="N78" s="596" t="s">
        <v>49</v>
      </c>
      <c r="O78" s="569" t="s">
        <v>132</v>
      </c>
      <c r="P78" s="569" t="s">
        <v>45</v>
      </c>
      <c r="Q78" s="569" t="s">
        <v>46</v>
      </c>
      <c r="R78" s="571" t="s">
        <v>171</v>
      </c>
      <c r="S78" s="569" t="s">
        <v>113</v>
      </c>
      <c r="T78" s="594" t="s">
        <v>57</v>
      </c>
      <c r="U78" s="569" t="s">
        <v>50</v>
      </c>
      <c r="V78" s="594" t="s">
        <v>207</v>
      </c>
      <c r="W78" s="594" t="s">
        <v>175</v>
      </c>
      <c r="X78" s="594" t="s">
        <v>302</v>
      </c>
      <c r="Y78" s="569" t="s">
        <v>121</v>
      </c>
      <c r="Z78" s="594" t="s">
        <v>173</v>
      </c>
      <c r="AA78" s="594" t="s">
        <v>302</v>
      </c>
      <c r="AB78" s="596" t="s">
        <v>152</v>
      </c>
      <c r="AC78" s="569" t="s">
        <v>51</v>
      </c>
      <c r="AD78" s="17"/>
      <c r="AE78" s="17"/>
      <c r="AF78" s="183" t="s">
        <v>52</v>
      </c>
    </row>
    <row r="79" spans="1:56">
      <c r="A79" s="258"/>
      <c r="B79" s="593" t="s">
        <v>77</v>
      </c>
      <c r="C79" s="45"/>
      <c r="D79" s="388"/>
      <c r="E79" s="387">
        <f>'Accountant Calculations'!C54</f>
        <v>0</v>
      </c>
      <c r="F79" s="387">
        <f>'Accountant Calculations'!C57</f>
        <v>0</v>
      </c>
      <c r="G79" s="388"/>
      <c r="H79" s="598"/>
      <c r="I79" s="599"/>
      <c r="J79" s="599"/>
      <c r="K79" s="599"/>
      <c r="L79" s="599"/>
      <c r="M79" s="599"/>
      <c r="N79" s="599"/>
      <c r="O79" s="599"/>
      <c r="P79" s="599"/>
      <c r="Q79" s="599"/>
      <c r="R79" s="599"/>
      <c r="S79" s="599"/>
      <c r="T79" s="599"/>
      <c r="U79" s="599"/>
      <c r="V79" s="599"/>
      <c r="W79" s="599"/>
      <c r="X79" s="599"/>
      <c r="Y79" s="599"/>
      <c r="Z79" s="599"/>
      <c r="AA79" s="599"/>
      <c r="AB79" s="599"/>
      <c r="AC79" s="600"/>
      <c r="AD79" s="209"/>
      <c r="AE79" s="631"/>
      <c r="AF79" s="633"/>
      <c r="AG79" s="43">
        <f>IF(AF79=0,0,"ERROR HERE")</f>
        <v>0</v>
      </c>
      <c r="AH79" s="7">
        <f t="shared" ref="AH79:AQ80" si="3">IF(OR(ISERROR(+H79/($D79+$E79-$G79)*$G79+H79),LEFT(F79,1)="x"),0,+H79/($D79+$E79-$G79)*$G79+H79)</f>
        <v>0</v>
      </c>
      <c r="AI79" s="7">
        <f t="shared" si="3"/>
        <v>0</v>
      </c>
      <c r="AJ79" s="7">
        <f t="shared" si="3"/>
        <v>0</v>
      </c>
      <c r="AK79" s="7">
        <f t="shared" si="3"/>
        <v>0</v>
      </c>
      <c r="AL79" s="7">
        <f t="shared" si="3"/>
        <v>0</v>
      </c>
      <c r="AM79" s="7">
        <f t="shared" si="3"/>
        <v>0</v>
      </c>
      <c r="AN79" s="7">
        <f t="shared" si="3"/>
        <v>0</v>
      </c>
      <c r="AO79" s="7">
        <f t="shared" si="3"/>
        <v>0</v>
      </c>
      <c r="AP79" s="7">
        <f t="shared" si="3"/>
        <v>0</v>
      </c>
      <c r="AQ79" s="7">
        <f t="shared" si="3"/>
        <v>0</v>
      </c>
      <c r="AR79" s="7">
        <f t="shared" ref="AR79:AX80" si="4">IF(OR(ISERROR(+R79/($D79+$E79-$G79)*$G79+R79),LEFT(P79,1)="x"),0,+R79/($D79+$E79-$G79)*$G79+R79)</f>
        <v>0</v>
      </c>
      <c r="AS79" s="7">
        <f t="shared" si="4"/>
        <v>0</v>
      </c>
      <c r="AT79" s="7">
        <f t="shared" si="4"/>
        <v>0</v>
      </c>
      <c r="AU79" s="7">
        <f t="shared" si="4"/>
        <v>0</v>
      </c>
      <c r="AV79" s="7">
        <f t="shared" si="4"/>
        <v>0</v>
      </c>
      <c r="AW79" s="7">
        <f t="shared" si="4"/>
        <v>0</v>
      </c>
      <c r="AX79" s="7">
        <f t="shared" si="4"/>
        <v>0</v>
      </c>
      <c r="AY79" s="7">
        <f>IF(OR(ISERROR(+Z79/($D79+$E79-$G79)*$G79+Z79),LEFT(W79,1)="x"),0,+Z79/($D79+$E79-$G79)*$G79+Z79)</f>
        <v>0</v>
      </c>
      <c r="AZ79" s="7">
        <f>IF(OR(ISERROR(+#REF!/($D79+$E79-$G79)*$G79+#REF!),LEFT(X79,1)="x"),0,+#REF!/($D79+$E79-$G79)*$G79+#REF!)</f>
        <v>0</v>
      </c>
      <c r="BA79" s="7">
        <f>IF(OR(ISERROR(+#REF!/($D79+$E79-$G79)*$G79+#REF!),LEFT(Z79,1)="x"),0,+#REF!/($D79+$E79-$G79)*$G79+#REF!)</f>
        <v>0</v>
      </c>
      <c r="BB79" s="7" t="e">
        <f>IF(OR(ISERROR(+#REF!/($D79+$E79-$G79)*$G79+#REF!),LEFT(#REF!,1)="x"),0,+#REF!/($D79+$E79-$G79)*$G79+#REF!)</f>
        <v>#REF!</v>
      </c>
      <c r="BC79" s="7" t="e">
        <f>IF(OR(ISERROR(+AA79/($D79+$E79-$G79)*$G79+AA79),LEFT(#REF!,1)="x"),0,+AA79/($D79+$E79-$G79)*$G79+AA79)</f>
        <v>#REF!</v>
      </c>
      <c r="BD79" s="7" t="e">
        <f>IF(OR(ISERROR(+AC79/($D79+$E79-$G79)*$G79+AC79),LEFT(#REF!,1)="x"),0,+AC79/($D79+$E79-$G79)*$G79+AC79)</f>
        <v>#REF!</v>
      </c>
    </row>
    <row r="80" spans="1:56">
      <c r="A80" s="555"/>
      <c r="B80" s="719" t="s">
        <v>462</v>
      </c>
      <c r="C80" s="719"/>
      <c r="D80" s="720">
        <v>924</v>
      </c>
      <c r="E80" s="721"/>
      <c r="F80" s="722"/>
      <c r="G80" s="723"/>
      <c r="H80" s="724"/>
      <c r="I80" s="724"/>
      <c r="J80" s="724"/>
      <c r="K80" s="725"/>
      <c r="L80" s="720">
        <v>924</v>
      </c>
      <c r="M80" s="725"/>
      <c r="N80" s="725"/>
      <c r="O80" s="725"/>
      <c r="P80" s="725"/>
      <c r="Q80" s="725"/>
      <c r="R80" s="726"/>
      <c r="S80" s="727"/>
      <c r="T80" s="725"/>
      <c r="U80" s="726"/>
      <c r="V80" s="726"/>
      <c r="W80" s="727"/>
      <c r="X80" s="726"/>
      <c r="Y80" s="726"/>
      <c r="Z80" s="726"/>
      <c r="AA80" s="726"/>
      <c r="AB80" s="726"/>
      <c r="AC80" s="563"/>
      <c r="AD80" s="629">
        <f>SUM(G80:AC80)</f>
        <v>924</v>
      </c>
      <c r="AE80" s="629">
        <f>SUM(D80:F80)</f>
        <v>924</v>
      </c>
      <c r="AF80" s="634">
        <f>AD80-AE80</f>
        <v>0</v>
      </c>
      <c r="AG80" s="43">
        <f>IF(AF80=0,0,"ERROR HERE")</f>
        <v>0</v>
      </c>
      <c r="AH80" s="7">
        <f t="shared" si="3"/>
        <v>0</v>
      </c>
      <c r="AI80" s="7">
        <f t="shared" si="3"/>
        <v>0</v>
      </c>
      <c r="AJ80" s="7">
        <f t="shared" si="3"/>
        <v>0</v>
      </c>
      <c r="AK80" s="7">
        <f t="shared" si="3"/>
        <v>0</v>
      </c>
      <c r="AL80" s="7">
        <f t="shared" si="3"/>
        <v>924</v>
      </c>
      <c r="AM80" s="7">
        <f t="shared" si="3"/>
        <v>0</v>
      </c>
      <c r="AN80" s="7">
        <f t="shared" si="3"/>
        <v>0</v>
      </c>
      <c r="AO80" s="7">
        <f t="shared" si="3"/>
        <v>0</v>
      </c>
      <c r="AP80" s="7">
        <f t="shared" si="3"/>
        <v>0</v>
      </c>
      <c r="AQ80" s="7">
        <f t="shared" si="3"/>
        <v>0</v>
      </c>
      <c r="AR80" s="7">
        <f t="shared" si="4"/>
        <v>0</v>
      </c>
      <c r="AS80" s="7">
        <f t="shared" si="4"/>
        <v>0</v>
      </c>
      <c r="AT80" s="7">
        <f t="shared" si="4"/>
        <v>0</v>
      </c>
      <c r="AU80" s="7">
        <f t="shared" si="4"/>
        <v>0</v>
      </c>
      <c r="AV80" s="7">
        <f t="shared" si="4"/>
        <v>0</v>
      </c>
      <c r="AW80" s="7">
        <f t="shared" si="4"/>
        <v>0</v>
      </c>
      <c r="AX80" s="7">
        <f t="shared" si="4"/>
        <v>0</v>
      </c>
      <c r="AY80" s="7">
        <f>IF(OR(ISERROR(+Z80/($D80+$E80-$G80)*$G80+Z80),LEFT(W80,1)="x"),0,+Z80/($D80+$E80-$G80)*$G80+Z80)</f>
        <v>0</v>
      </c>
      <c r="AZ80" s="7">
        <f>IF(OR(ISERROR(+#REF!/($D80+$E80-$G80)*$G80+#REF!),LEFT(X80,1)="x"),0,+#REF!/($D80+$E80-$G80)*$G80+#REF!)</f>
        <v>0</v>
      </c>
      <c r="BA80" s="7">
        <f>IF(OR(ISERROR(+#REF!/($D80+$E80-$G80)*$G80+#REF!),LEFT(Z80,1)="x"),0,+#REF!/($D80+$E80-$G80)*$G80+#REF!)</f>
        <v>0</v>
      </c>
      <c r="BB80" s="7" t="e">
        <f>IF(OR(ISERROR(+#REF!/($D80+$E80-$G80)*$G80+#REF!),LEFT(#REF!,1)="x"),0,+#REF!/($D80+$E80-$G80)*$G80+#REF!)</f>
        <v>#REF!</v>
      </c>
      <c r="BC80" s="7" t="e">
        <f>IF(OR(ISERROR(+AA80/($D80+$E80-$G80)*$G80+AA80),LEFT(#REF!,1)="x"),0,+AA80/($D80+$E80-$G80)*$G80+AA80)</f>
        <v>#REF!</v>
      </c>
      <c r="BD80" s="7" t="e">
        <f>IF(OR(ISERROR(+AC80/($D80+$E80-$G80)*$G80+AC80),LEFT(#REF!,1)="x"),0,+AC80/($D80+$E80-$G80)*$G80+AC80)</f>
        <v>#REF!</v>
      </c>
    </row>
    <row r="81" spans="1:33">
      <c r="A81" s="555"/>
      <c r="B81" s="719" t="s">
        <v>463</v>
      </c>
      <c r="C81" s="719"/>
      <c r="D81" s="719">
        <v>900</v>
      </c>
      <c r="E81" s="721"/>
      <c r="F81" s="722"/>
      <c r="G81" s="723"/>
      <c r="H81" s="724"/>
      <c r="I81" s="724"/>
      <c r="J81" s="724"/>
      <c r="K81" s="725"/>
      <c r="L81" s="719">
        <v>900</v>
      </c>
      <c r="M81" s="725"/>
      <c r="N81" s="725"/>
      <c r="O81" s="725"/>
      <c r="P81" s="725"/>
      <c r="Q81" s="725"/>
      <c r="R81" s="726"/>
      <c r="S81" s="727"/>
      <c r="T81" s="725"/>
      <c r="U81" s="726"/>
      <c r="V81" s="726"/>
      <c r="W81" s="727"/>
      <c r="X81" s="726"/>
      <c r="Y81" s="726"/>
      <c r="Z81" s="726"/>
      <c r="AA81" s="726"/>
      <c r="AB81" s="726"/>
      <c r="AC81" s="563"/>
      <c r="AD81" s="629">
        <f t="shared" ref="AD81:AD144" si="5">SUM(G81:AC81)</f>
        <v>900</v>
      </c>
      <c r="AE81" s="629">
        <f t="shared" ref="AE81:AE144" si="6">SUM(D81:F81)</f>
        <v>900</v>
      </c>
      <c r="AF81" s="634">
        <f t="shared" ref="AF81:AF144" si="7">AD81-AE81</f>
        <v>0</v>
      </c>
      <c r="AG81" s="43"/>
    </row>
    <row r="82" spans="1:33">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719"/>
      <c r="Y82" s="719"/>
      <c r="Z82" s="719"/>
      <c r="AA82" s="719"/>
      <c r="AB82" s="719"/>
      <c r="AC82" s="563"/>
      <c r="AD82" s="629">
        <f t="shared" si="5"/>
        <v>138</v>
      </c>
      <c r="AE82" s="629">
        <f t="shared" si="6"/>
        <v>138</v>
      </c>
      <c r="AF82" s="634">
        <f t="shared" si="7"/>
        <v>0</v>
      </c>
      <c r="AG82" s="43"/>
    </row>
    <row r="83" spans="1:33">
      <c r="A83" s="555"/>
      <c r="B83" s="719" t="s">
        <v>465</v>
      </c>
      <c r="C83" s="719"/>
      <c r="D83" s="721"/>
      <c r="E83" s="719">
        <v>164</v>
      </c>
      <c r="F83" s="722"/>
      <c r="G83" s="723"/>
      <c r="H83" s="724"/>
      <c r="I83" s="719">
        <v>164</v>
      </c>
      <c r="J83" s="724"/>
      <c r="K83" s="725"/>
      <c r="L83" s="725"/>
      <c r="M83" s="725"/>
      <c r="N83" s="725"/>
      <c r="O83" s="725"/>
      <c r="P83" s="725"/>
      <c r="Q83" s="725"/>
      <c r="R83" s="726"/>
      <c r="S83" s="727"/>
      <c r="T83" s="725"/>
      <c r="U83" s="726"/>
      <c r="V83" s="726"/>
      <c r="W83" s="727"/>
      <c r="X83" s="726"/>
      <c r="Y83" s="726"/>
      <c r="Z83" s="726"/>
      <c r="AA83" s="726"/>
      <c r="AB83" s="726"/>
      <c r="AC83" s="563"/>
      <c r="AD83" s="629">
        <f t="shared" si="5"/>
        <v>164</v>
      </c>
      <c r="AE83" s="629">
        <f t="shared" si="6"/>
        <v>164</v>
      </c>
      <c r="AF83" s="634">
        <f t="shared" si="7"/>
        <v>0</v>
      </c>
      <c r="AG83" s="43"/>
    </row>
    <row r="84" spans="1:33">
      <c r="A84" s="555"/>
      <c r="B84" s="719" t="s">
        <v>466</v>
      </c>
      <c r="C84" s="719"/>
      <c r="D84" s="721"/>
      <c r="E84" s="719">
        <v>20</v>
      </c>
      <c r="F84" s="722"/>
      <c r="G84" s="723"/>
      <c r="H84" s="724"/>
      <c r="I84" s="724"/>
      <c r="J84" s="724"/>
      <c r="K84" s="725"/>
      <c r="L84" s="725"/>
      <c r="M84" s="725"/>
      <c r="N84" s="725"/>
      <c r="O84" s="725"/>
      <c r="P84" s="719">
        <v>20</v>
      </c>
      <c r="Q84" s="725"/>
      <c r="R84" s="726"/>
      <c r="S84" s="727"/>
      <c r="T84" s="725"/>
      <c r="U84" s="726"/>
      <c r="V84" s="726"/>
      <c r="W84" s="727"/>
      <c r="X84" s="726"/>
      <c r="Y84" s="726"/>
      <c r="Z84" s="726"/>
      <c r="AA84" s="726"/>
      <c r="AB84" s="726"/>
      <c r="AC84" s="563"/>
      <c r="AD84" s="629">
        <f t="shared" si="5"/>
        <v>20</v>
      </c>
      <c r="AE84" s="629">
        <f t="shared" si="6"/>
        <v>20</v>
      </c>
      <c r="AF84" s="634">
        <f t="shared" si="7"/>
        <v>0</v>
      </c>
      <c r="AG84" s="43"/>
    </row>
    <row r="85" spans="1:33">
      <c r="A85" s="555"/>
      <c r="B85" s="719" t="s">
        <v>467</v>
      </c>
      <c r="C85" s="719"/>
      <c r="D85" s="721"/>
      <c r="E85" s="719">
        <v>95</v>
      </c>
      <c r="F85" s="722"/>
      <c r="G85" s="723"/>
      <c r="H85" s="724"/>
      <c r="I85" s="724"/>
      <c r="J85" s="724"/>
      <c r="K85" s="725"/>
      <c r="L85" s="725"/>
      <c r="M85" s="725"/>
      <c r="N85" s="725"/>
      <c r="O85" s="725"/>
      <c r="P85" s="725"/>
      <c r="Q85" s="725"/>
      <c r="R85" s="726"/>
      <c r="S85" s="727"/>
      <c r="T85" s="725"/>
      <c r="U85" s="719"/>
      <c r="V85" s="726"/>
      <c r="W85" s="719">
        <v>95</v>
      </c>
      <c r="X85" s="726"/>
      <c r="Y85" s="726"/>
      <c r="Z85" s="726"/>
      <c r="AA85" s="726"/>
      <c r="AB85" s="726"/>
      <c r="AC85" s="563"/>
      <c r="AD85" s="629">
        <f t="shared" si="5"/>
        <v>95</v>
      </c>
      <c r="AE85" s="629">
        <f t="shared" si="6"/>
        <v>95</v>
      </c>
      <c r="AF85" s="634">
        <f t="shared" si="7"/>
        <v>0</v>
      </c>
      <c r="AG85" s="43"/>
    </row>
    <row r="86" spans="1:33">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726"/>
      <c r="Y86" s="726"/>
      <c r="Z86" s="726"/>
      <c r="AA86" s="726"/>
      <c r="AB86" s="726"/>
      <c r="AC86" s="563"/>
      <c r="AD86" s="629">
        <f t="shared" si="5"/>
        <v>85</v>
      </c>
      <c r="AE86" s="629">
        <f t="shared" si="6"/>
        <v>85</v>
      </c>
      <c r="AF86" s="634">
        <f t="shared" si="7"/>
        <v>0</v>
      </c>
      <c r="AG86" s="43"/>
    </row>
    <row r="87" spans="1:33">
      <c r="A87" s="555"/>
      <c r="B87" s="719" t="s">
        <v>469</v>
      </c>
      <c r="C87" s="719"/>
      <c r="D87" s="721"/>
      <c r="E87" s="719">
        <v>225</v>
      </c>
      <c r="F87" s="722"/>
      <c r="G87" s="723"/>
      <c r="H87" s="719">
        <v>225</v>
      </c>
      <c r="I87" s="724"/>
      <c r="J87" s="724"/>
      <c r="K87" s="725"/>
      <c r="L87" s="725"/>
      <c r="M87" s="725"/>
      <c r="N87" s="725"/>
      <c r="O87" s="725"/>
      <c r="P87" s="725"/>
      <c r="Q87" s="725"/>
      <c r="R87" s="726"/>
      <c r="S87" s="727"/>
      <c r="T87" s="719"/>
      <c r="U87" s="726"/>
      <c r="V87" s="726"/>
      <c r="W87" s="727"/>
      <c r="X87" s="726"/>
      <c r="Y87" s="726"/>
      <c r="Z87" s="726"/>
      <c r="AA87" s="726"/>
      <c r="AB87" s="726"/>
      <c r="AC87" s="563"/>
      <c r="AD87" s="629">
        <f t="shared" si="5"/>
        <v>225</v>
      </c>
      <c r="AE87" s="629">
        <f t="shared" si="6"/>
        <v>225</v>
      </c>
      <c r="AF87" s="634">
        <f t="shared" si="7"/>
        <v>0</v>
      </c>
      <c r="AG87" s="43"/>
    </row>
    <row r="88" spans="1:33">
      <c r="A88" s="555"/>
      <c r="B88" s="719" t="s">
        <v>470</v>
      </c>
      <c r="C88" s="719"/>
      <c r="D88" s="721"/>
      <c r="E88" s="719">
        <v>157</v>
      </c>
      <c r="F88" s="722"/>
      <c r="G88" s="723"/>
      <c r="H88" s="719"/>
      <c r="I88" s="724"/>
      <c r="J88" s="724"/>
      <c r="K88" s="725"/>
      <c r="L88" s="725"/>
      <c r="M88" s="725"/>
      <c r="N88" s="725"/>
      <c r="O88" s="725"/>
      <c r="P88" s="725"/>
      <c r="Q88" s="725"/>
      <c r="R88" s="726"/>
      <c r="S88" s="727"/>
      <c r="T88" s="725"/>
      <c r="U88" s="726"/>
      <c r="V88" s="726"/>
      <c r="W88" s="727"/>
      <c r="X88" s="726"/>
      <c r="Y88" s="726"/>
      <c r="Z88" s="726"/>
      <c r="AA88" s="726"/>
      <c r="AB88" s="719">
        <v>157</v>
      </c>
      <c r="AC88" s="563"/>
      <c r="AD88" s="629">
        <f t="shared" si="5"/>
        <v>157</v>
      </c>
      <c r="AE88" s="629">
        <f t="shared" si="6"/>
        <v>157</v>
      </c>
      <c r="AF88" s="634">
        <f t="shared" si="7"/>
        <v>0</v>
      </c>
      <c r="AG88" s="43"/>
    </row>
    <row r="89" spans="1:33">
      <c r="A89" s="555"/>
      <c r="B89" s="719" t="s">
        <v>471</v>
      </c>
      <c r="C89" s="719"/>
      <c r="D89" s="721"/>
      <c r="E89" s="721">
        <v>55</v>
      </c>
      <c r="F89" s="728"/>
      <c r="G89" s="729"/>
      <c r="H89" s="724"/>
      <c r="I89" s="724"/>
      <c r="J89" s="724"/>
      <c r="K89" s="725"/>
      <c r="L89" s="725"/>
      <c r="M89" s="725"/>
      <c r="N89" s="725"/>
      <c r="O89" s="725"/>
      <c r="P89" s="725"/>
      <c r="Q89" s="725"/>
      <c r="R89" s="725"/>
      <c r="S89" s="725">
        <v>55</v>
      </c>
      <c r="T89" s="725"/>
      <c r="U89" s="725"/>
      <c r="V89" s="725"/>
      <c r="W89" s="725"/>
      <c r="X89" s="725"/>
      <c r="Y89" s="725"/>
      <c r="Z89" s="725"/>
      <c r="AA89" s="725"/>
      <c r="AB89" s="725"/>
      <c r="AC89" s="563"/>
      <c r="AD89" s="629">
        <f t="shared" si="5"/>
        <v>55</v>
      </c>
      <c r="AE89" s="629">
        <f t="shared" si="6"/>
        <v>55</v>
      </c>
      <c r="AF89" s="634">
        <f t="shared" si="7"/>
        <v>0</v>
      </c>
      <c r="AG89" s="43"/>
    </row>
    <row r="90" spans="1:33">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738"/>
      <c r="Y90" s="738"/>
      <c r="Z90" s="738"/>
      <c r="AA90" s="738"/>
      <c r="AB90" s="738"/>
      <c r="AC90" s="563"/>
      <c r="AD90" s="629">
        <f t="shared" si="5"/>
        <v>65</v>
      </c>
      <c r="AE90" s="629">
        <f t="shared" si="6"/>
        <v>65</v>
      </c>
      <c r="AF90" s="634">
        <f t="shared" si="7"/>
        <v>0</v>
      </c>
      <c r="AG90" s="43"/>
    </row>
    <row r="91" spans="1:33">
      <c r="A91" s="555"/>
      <c r="B91" s="605" t="s">
        <v>43</v>
      </c>
      <c r="C91" s="607"/>
      <c r="D91" s="608"/>
      <c r="E91" s="608">
        <v>35</v>
      </c>
      <c r="F91" s="608"/>
      <c r="G91" s="609"/>
      <c r="H91" s="585"/>
      <c r="I91" s="562"/>
      <c r="J91" s="562">
        <v>35</v>
      </c>
      <c r="K91" s="562"/>
      <c r="L91" s="562"/>
      <c r="M91" s="562"/>
      <c r="N91" s="602" t="s">
        <v>241</v>
      </c>
      <c r="O91" s="562"/>
      <c r="P91" s="562"/>
      <c r="Q91" s="562"/>
      <c r="R91" s="562"/>
      <c r="S91" s="562"/>
      <c r="T91" s="562"/>
      <c r="U91" s="562"/>
      <c r="V91" s="562"/>
      <c r="W91" s="562"/>
      <c r="X91" s="562"/>
      <c r="Y91" s="562"/>
      <c r="Z91" s="562"/>
      <c r="AA91" s="562"/>
      <c r="AB91" s="562"/>
      <c r="AC91" s="563"/>
      <c r="AD91" s="629">
        <f t="shared" si="5"/>
        <v>35</v>
      </c>
      <c r="AE91" s="629">
        <f t="shared" si="6"/>
        <v>35</v>
      </c>
      <c r="AF91" s="634">
        <f t="shared" si="7"/>
        <v>0</v>
      </c>
      <c r="AG91" s="43"/>
    </row>
    <row r="92" spans="1:33">
      <c r="A92" s="555"/>
      <c r="B92" s="605" t="s">
        <v>174</v>
      </c>
      <c r="C92" s="607"/>
      <c r="D92" s="739">
        <v>5.5</v>
      </c>
      <c r="E92" s="608"/>
      <c r="F92" s="609"/>
      <c r="G92" s="609"/>
      <c r="H92" s="603"/>
      <c r="I92" s="562"/>
      <c r="J92" s="562"/>
      <c r="K92" s="562"/>
      <c r="L92" s="562"/>
      <c r="M92" s="562"/>
      <c r="N92" s="562"/>
      <c r="O92" s="562"/>
      <c r="P92" s="562"/>
      <c r="Q92" s="562"/>
      <c r="R92" s="562"/>
      <c r="S92" s="562"/>
      <c r="T92" s="562"/>
      <c r="U92" s="562"/>
      <c r="V92" s="740">
        <v>5.5</v>
      </c>
      <c r="W92" s="562"/>
      <c r="X92" s="562"/>
      <c r="Y92" s="562"/>
      <c r="Z92" s="562"/>
      <c r="AA92" s="562"/>
      <c r="AB92" s="562"/>
      <c r="AC92" s="563"/>
      <c r="AD92" s="629">
        <f t="shared" si="5"/>
        <v>5.5</v>
      </c>
      <c r="AE92" s="629">
        <f t="shared" si="6"/>
        <v>5.5</v>
      </c>
      <c r="AF92" s="634">
        <f t="shared" si="7"/>
        <v>0</v>
      </c>
      <c r="AG92" s="43"/>
    </row>
    <row r="93" spans="1:33">
      <c r="A93" s="555"/>
      <c r="B93" s="719" t="s">
        <v>60</v>
      </c>
      <c r="C93" s="719"/>
      <c r="D93" s="721">
        <v>901</v>
      </c>
      <c r="E93" s="721">
        <v>-901</v>
      </c>
      <c r="F93" s="608"/>
      <c r="G93" s="609"/>
      <c r="H93" s="585"/>
      <c r="I93" s="562"/>
      <c r="J93" s="562"/>
      <c r="K93" s="562"/>
      <c r="L93" s="562"/>
      <c r="M93" s="562"/>
      <c r="N93" s="562"/>
      <c r="O93" s="562"/>
      <c r="P93" s="562"/>
      <c r="Q93" s="562"/>
      <c r="R93" s="562"/>
      <c r="S93" s="562"/>
      <c r="T93" s="562"/>
      <c r="U93" s="562"/>
      <c r="V93" s="562"/>
      <c r="W93" s="562"/>
      <c r="X93" s="562"/>
      <c r="Y93" s="562"/>
      <c r="Z93" s="562"/>
      <c r="AA93" s="562"/>
      <c r="AB93" s="562"/>
      <c r="AC93" s="563"/>
      <c r="AD93" s="629">
        <f t="shared" si="5"/>
        <v>0</v>
      </c>
      <c r="AE93" s="629">
        <f t="shared" si="6"/>
        <v>0</v>
      </c>
      <c r="AF93" s="634">
        <f t="shared" si="7"/>
        <v>0</v>
      </c>
      <c r="AG93" s="43"/>
    </row>
    <row r="94" spans="1:33">
      <c r="A94" s="555"/>
      <c r="B94" s="604"/>
      <c r="C94" s="607"/>
      <c r="D94" s="608"/>
      <c r="E94" s="608"/>
      <c r="F94" s="608"/>
      <c r="G94" s="609"/>
      <c r="H94" s="585"/>
      <c r="I94" s="562"/>
      <c r="J94" s="562"/>
      <c r="K94" s="562"/>
      <c r="L94" s="562"/>
      <c r="M94" s="562"/>
      <c r="N94" s="562"/>
      <c r="O94" s="562"/>
      <c r="P94" s="562"/>
      <c r="Q94" s="562"/>
      <c r="R94" s="562"/>
      <c r="S94" s="562"/>
      <c r="T94" s="562"/>
      <c r="U94" s="562"/>
      <c r="V94" s="562"/>
      <c r="W94" s="562"/>
      <c r="X94" s="562"/>
      <c r="Y94" s="562"/>
      <c r="Z94" s="562"/>
      <c r="AA94" s="562"/>
      <c r="AB94" s="562"/>
      <c r="AC94" s="563"/>
      <c r="AD94" s="629">
        <f t="shared" si="5"/>
        <v>0</v>
      </c>
      <c r="AE94" s="629">
        <f t="shared" si="6"/>
        <v>0</v>
      </c>
      <c r="AF94" s="634">
        <f t="shared" si="7"/>
        <v>0</v>
      </c>
      <c r="AG94" s="43"/>
    </row>
    <row r="95" spans="1:33">
      <c r="A95" s="555"/>
      <c r="B95" s="604"/>
      <c r="C95" s="607"/>
      <c r="D95" s="608">
        <v>901</v>
      </c>
      <c r="E95" s="608">
        <v>-901</v>
      </c>
      <c r="F95" s="608"/>
      <c r="G95" s="609"/>
      <c r="H95" s="585"/>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5"/>
        <v>0</v>
      </c>
      <c r="AE95" s="629">
        <f t="shared" si="6"/>
        <v>0</v>
      </c>
      <c r="AF95" s="634">
        <f t="shared" si="7"/>
        <v>0</v>
      </c>
      <c r="AG95" s="43"/>
    </row>
    <row r="96" spans="1:33">
      <c r="A96" s="555"/>
      <c r="B96" s="604"/>
      <c r="C96" s="607"/>
      <c r="D96" s="608"/>
      <c r="E96" s="608"/>
      <c r="F96" s="608"/>
      <c r="G96" s="609"/>
      <c r="H96" s="585"/>
      <c r="I96" s="562"/>
      <c r="J96" s="562"/>
      <c r="K96" s="562"/>
      <c r="L96" s="562"/>
      <c r="M96" s="562"/>
      <c r="N96" s="562"/>
      <c r="O96" s="562"/>
      <c r="P96" s="562"/>
      <c r="Q96" s="562"/>
      <c r="R96" s="562"/>
      <c r="S96" s="562"/>
      <c r="T96" s="562"/>
      <c r="U96" s="562"/>
      <c r="V96" s="562"/>
      <c r="W96" s="562"/>
      <c r="X96" s="562"/>
      <c r="Y96" s="562"/>
      <c r="Z96" s="562"/>
      <c r="AA96" s="608"/>
      <c r="AB96" s="562"/>
      <c r="AC96" s="563"/>
      <c r="AD96" s="629">
        <f t="shared" si="5"/>
        <v>0</v>
      </c>
      <c r="AE96" s="629">
        <f t="shared" si="6"/>
        <v>0</v>
      </c>
      <c r="AF96" s="634">
        <f t="shared" si="7"/>
        <v>0</v>
      </c>
      <c r="AG96" s="43"/>
    </row>
    <row r="97" spans="1:33">
      <c r="A97" s="555"/>
      <c r="B97" s="604"/>
      <c r="C97" s="607"/>
      <c r="D97" s="608">
        <v>924</v>
      </c>
      <c r="E97" s="608"/>
      <c r="F97" s="608"/>
      <c r="G97" s="609"/>
      <c r="H97" s="585"/>
      <c r="I97" s="562"/>
      <c r="J97" s="562"/>
      <c r="K97" s="562"/>
      <c r="L97" s="608">
        <v>924</v>
      </c>
      <c r="M97" s="562"/>
      <c r="N97" s="562"/>
      <c r="O97" s="562"/>
      <c r="P97" s="562"/>
      <c r="Q97" s="562"/>
      <c r="R97" s="562"/>
      <c r="S97" s="562"/>
      <c r="T97" s="562"/>
      <c r="U97" s="562"/>
      <c r="V97" s="562"/>
      <c r="W97" s="562"/>
      <c r="X97" s="562"/>
      <c r="Y97" s="562"/>
      <c r="Z97" s="562"/>
      <c r="AA97" s="562"/>
      <c r="AB97" s="562"/>
      <c r="AC97" s="563"/>
      <c r="AD97" s="629">
        <f t="shared" si="5"/>
        <v>924</v>
      </c>
      <c r="AE97" s="629">
        <f t="shared" si="6"/>
        <v>924</v>
      </c>
      <c r="AF97" s="634">
        <f t="shared" si="7"/>
        <v>0</v>
      </c>
      <c r="AG97" s="43"/>
    </row>
    <row r="98" spans="1:33">
      <c r="A98" s="555"/>
      <c r="B98" s="604"/>
      <c r="C98" s="607"/>
      <c r="D98" s="608">
        <v>900</v>
      </c>
      <c r="E98" s="608"/>
      <c r="F98" s="608"/>
      <c r="G98" s="609"/>
      <c r="H98" s="585"/>
      <c r="I98" s="562"/>
      <c r="J98" s="562"/>
      <c r="K98" s="562"/>
      <c r="L98" s="608">
        <v>900</v>
      </c>
      <c r="M98" s="562"/>
      <c r="N98" s="562"/>
      <c r="O98" s="562"/>
      <c r="P98" s="562"/>
      <c r="Q98" s="562"/>
      <c r="R98" s="562"/>
      <c r="S98" s="562"/>
      <c r="T98" s="562"/>
      <c r="U98" s="562"/>
      <c r="V98" s="562"/>
      <c r="W98" s="562"/>
      <c r="X98" s="562"/>
      <c r="Y98" s="562"/>
      <c r="Z98" s="562"/>
      <c r="AA98" s="562"/>
      <c r="AB98" s="562"/>
      <c r="AC98" s="563"/>
      <c r="AD98" s="629">
        <f t="shared" si="5"/>
        <v>900</v>
      </c>
      <c r="AE98" s="629">
        <f t="shared" si="6"/>
        <v>900</v>
      </c>
      <c r="AF98" s="634">
        <f t="shared" si="7"/>
        <v>0</v>
      </c>
      <c r="AG98" s="43"/>
    </row>
    <row r="99" spans="1:33">
      <c r="A99" s="555"/>
      <c r="B99" s="604"/>
      <c r="C99" s="607"/>
      <c r="D99" s="608"/>
      <c r="E99" s="608"/>
      <c r="F99" s="608"/>
      <c r="G99" s="609"/>
      <c r="H99" s="585"/>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5"/>
        <v>0</v>
      </c>
      <c r="AE99" s="629">
        <f t="shared" si="6"/>
        <v>0</v>
      </c>
      <c r="AF99" s="634">
        <f t="shared" si="7"/>
        <v>0</v>
      </c>
      <c r="AG99" s="43"/>
    </row>
    <row r="100" spans="1:33">
      <c r="A100" s="555"/>
      <c r="B100" s="604"/>
      <c r="C100" s="607"/>
      <c r="D100" s="608"/>
      <c r="E100" s="608"/>
      <c r="F100" s="609"/>
      <c r="G100" s="609"/>
      <c r="H100" s="585"/>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5"/>
        <v>0</v>
      </c>
      <c r="AE100" s="629">
        <f t="shared" si="6"/>
        <v>0</v>
      </c>
      <c r="AF100" s="634">
        <f t="shared" si="7"/>
        <v>0</v>
      </c>
      <c r="AG100" s="43"/>
    </row>
    <row r="101" spans="1:33">
      <c r="A101" s="555"/>
      <c r="B101" s="604"/>
      <c r="C101" s="607"/>
      <c r="D101" s="608"/>
      <c r="E101" s="608"/>
      <c r="F101" s="609"/>
      <c r="G101" s="609"/>
      <c r="H101" s="585"/>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5"/>
        <v>0</v>
      </c>
      <c r="AE101" s="629">
        <f t="shared" si="6"/>
        <v>0</v>
      </c>
      <c r="AF101" s="634">
        <f t="shared" si="7"/>
        <v>0</v>
      </c>
      <c r="AG101" s="43"/>
    </row>
    <row r="102" spans="1:33">
      <c r="A102" s="555"/>
      <c r="B102" s="604"/>
      <c r="C102" s="607"/>
      <c r="D102" s="608"/>
      <c r="E102" s="608"/>
      <c r="F102" s="609"/>
      <c r="G102" s="609"/>
      <c r="H102" s="585"/>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5"/>
        <v>0</v>
      </c>
      <c r="AE102" s="629">
        <f t="shared" si="6"/>
        <v>0</v>
      </c>
      <c r="AF102" s="634">
        <f t="shared" si="7"/>
        <v>0</v>
      </c>
      <c r="AG102" s="43"/>
    </row>
    <row r="103" spans="1:33">
      <c r="A103" s="555"/>
      <c r="B103" s="604"/>
      <c r="C103" s="607"/>
      <c r="D103" s="608"/>
      <c r="E103" s="608"/>
      <c r="F103" s="609"/>
      <c r="G103" s="609"/>
      <c r="H103" s="585"/>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5"/>
        <v>0</v>
      </c>
      <c r="AE103" s="629">
        <f t="shared" si="6"/>
        <v>0</v>
      </c>
      <c r="AF103" s="634">
        <f t="shared" si="7"/>
        <v>0</v>
      </c>
      <c r="AG103" s="43"/>
    </row>
    <row r="104" spans="1:33">
      <c r="A104" s="555"/>
      <c r="B104" s="604"/>
      <c r="C104" s="607"/>
      <c r="D104" s="608"/>
      <c r="E104" s="608"/>
      <c r="F104" s="609"/>
      <c r="G104" s="609"/>
      <c r="H104" s="585"/>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5"/>
        <v>0</v>
      </c>
      <c r="AE104" s="629">
        <f t="shared" si="6"/>
        <v>0</v>
      </c>
      <c r="AF104" s="634">
        <f t="shared" si="7"/>
        <v>0</v>
      </c>
      <c r="AG104" s="43"/>
    </row>
    <row r="105" spans="1:33" hidden="1">
      <c r="A105" s="555"/>
      <c r="B105" s="604"/>
      <c r="C105" s="607"/>
      <c r="D105" s="608"/>
      <c r="E105" s="608"/>
      <c r="F105" s="609"/>
      <c r="G105" s="609"/>
      <c r="H105" s="585"/>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5"/>
        <v>0</v>
      </c>
      <c r="AE105" s="629">
        <f t="shared" si="6"/>
        <v>0</v>
      </c>
      <c r="AF105" s="634">
        <f t="shared" si="7"/>
        <v>0</v>
      </c>
      <c r="AG105" s="43"/>
    </row>
    <row r="106" spans="1:33" hidden="1">
      <c r="A106" s="555"/>
      <c r="B106" s="604"/>
      <c r="C106" s="607"/>
      <c r="D106" s="608"/>
      <c r="E106" s="608"/>
      <c r="F106" s="609"/>
      <c r="G106" s="609"/>
      <c r="H106" s="585"/>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5"/>
        <v>0</v>
      </c>
      <c r="AE106" s="629">
        <f t="shared" si="6"/>
        <v>0</v>
      </c>
      <c r="AF106" s="634">
        <f t="shared" si="7"/>
        <v>0</v>
      </c>
      <c r="AG106" s="43"/>
    </row>
    <row r="107" spans="1:33" hidden="1">
      <c r="A107" s="555"/>
      <c r="B107" s="604"/>
      <c r="C107" s="607"/>
      <c r="D107" s="608"/>
      <c r="E107" s="608"/>
      <c r="F107" s="609"/>
      <c r="G107" s="609"/>
      <c r="H107" s="585"/>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5"/>
        <v>0</v>
      </c>
      <c r="AE107" s="629">
        <f t="shared" si="6"/>
        <v>0</v>
      </c>
      <c r="AF107" s="634">
        <f t="shared" si="7"/>
        <v>0</v>
      </c>
      <c r="AG107" s="43"/>
    </row>
    <row r="108" spans="1:33" hidden="1">
      <c r="A108" s="555"/>
      <c r="B108" s="604"/>
      <c r="C108" s="607"/>
      <c r="D108" s="608"/>
      <c r="E108" s="608"/>
      <c r="F108" s="609"/>
      <c r="G108" s="609"/>
      <c r="H108" s="585"/>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5"/>
        <v>0</v>
      </c>
      <c r="AE108" s="629">
        <f t="shared" si="6"/>
        <v>0</v>
      </c>
      <c r="AF108" s="634">
        <f t="shared" si="7"/>
        <v>0</v>
      </c>
      <c r="AG108" s="43"/>
    </row>
    <row r="109" spans="1:33" hidden="1">
      <c r="A109" s="555"/>
      <c r="B109" s="604"/>
      <c r="C109" s="607"/>
      <c r="D109" s="608"/>
      <c r="E109" s="608"/>
      <c r="F109" s="609"/>
      <c r="G109" s="609"/>
      <c r="H109" s="585"/>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5"/>
        <v>0</v>
      </c>
      <c r="AE109" s="629">
        <f t="shared" si="6"/>
        <v>0</v>
      </c>
      <c r="AF109" s="634">
        <f t="shared" si="7"/>
        <v>0</v>
      </c>
      <c r="AG109" s="43"/>
    </row>
    <row r="110" spans="1:33" hidden="1">
      <c r="A110" s="555"/>
      <c r="B110" s="604"/>
      <c r="C110" s="607"/>
      <c r="D110" s="608"/>
      <c r="E110" s="608"/>
      <c r="F110" s="609"/>
      <c r="G110" s="609"/>
      <c r="H110" s="585"/>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5"/>
        <v>0</v>
      </c>
      <c r="AE110" s="629">
        <f t="shared" si="6"/>
        <v>0</v>
      </c>
      <c r="AF110" s="634">
        <f t="shared" si="7"/>
        <v>0</v>
      </c>
      <c r="AG110" s="43"/>
    </row>
    <row r="111" spans="1:33" hidden="1">
      <c r="A111" s="555"/>
      <c r="B111" s="604"/>
      <c r="C111" s="607"/>
      <c r="D111" s="608"/>
      <c r="E111" s="608"/>
      <c r="F111" s="609"/>
      <c r="G111" s="609"/>
      <c r="H111" s="585"/>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5"/>
        <v>0</v>
      </c>
      <c r="AE111" s="629">
        <f t="shared" si="6"/>
        <v>0</v>
      </c>
      <c r="AF111" s="634">
        <f t="shared" si="7"/>
        <v>0</v>
      </c>
      <c r="AG111" s="43"/>
    </row>
    <row r="112" spans="1:33" hidden="1">
      <c r="A112" s="555"/>
      <c r="B112" s="604"/>
      <c r="C112" s="607"/>
      <c r="D112" s="608"/>
      <c r="E112" s="608"/>
      <c r="F112" s="609"/>
      <c r="G112" s="609"/>
      <c r="H112" s="585"/>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5"/>
        <v>0</v>
      </c>
      <c r="AE112" s="629">
        <f t="shared" si="6"/>
        <v>0</v>
      </c>
      <c r="AF112" s="634">
        <f t="shared" si="7"/>
        <v>0</v>
      </c>
      <c r="AG112" s="43"/>
    </row>
    <row r="113" spans="1:33" hidden="1">
      <c r="A113" s="555"/>
      <c r="B113" s="604"/>
      <c r="C113" s="607"/>
      <c r="D113" s="608"/>
      <c r="E113" s="608"/>
      <c r="F113" s="609"/>
      <c r="G113" s="609"/>
      <c r="H113" s="585"/>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5"/>
        <v>0</v>
      </c>
      <c r="AE113" s="629">
        <f t="shared" si="6"/>
        <v>0</v>
      </c>
      <c r="AF113" s="634">
        <f t="shared" si="7"/>
        <v>0</v>
      </c>
      <c r="AG113" s="43"/>
    </row>
    <row r="114" spans="1:33" hidden="1">
      <c r="A114" s="555"/>
      <c r="B114" s="604"/>
      <c r="C114" s="607"/>
      <c r="D114" s="608"/>
      <c r="E114" s="608"/>
      <c r="F114" s="609"/>
      <c r="G114" s="609"/>
      <c r="H114" s="585"/>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5"/>
        <v>0</v>
      </c>
      <c r="AE114" s="629">
        <f t="shared" si="6"/>
        <v>0</v>
      </c>
      <c r="AF114" s="634">
        <f t="shared" si="7"/>
        <v>0</v>
      </c>
      <c r="AG114" s="43"/>
    </row>
    <row r="115" spans="1:33" hidden="1">
      <c r="A115" s="555"/>
      <c r="B115" s="604"/>
      <c r="C115" s="607"/>
      <c r="D115" s="608"/>
      <c r="E115" s="608"/>
      <c r="F115" s="609"/>
      <c r="G115" s="609"/>
      <c r="H115" s="585"/>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5"/>
        <v>0</v>
      </c>
      <c r="AE115" s="629">
        <f t="shared" si="6"/>
        <v>0</v>
      </c>
      <c r="AF115" s="634">
        <f t="shared" si="7"/>
        <v>0</v>
      </c>
      <c r="AG115" s="43"/>
    </row>
    <row r="116" spans="1:33" hidden="1">
      <c r="A116" s="555"/>
      <c r="B116" s="604"/>
      <c r="C116" s="607"/>
      <c r="D116" s="608"/>
      <c r="E116" s="608"/>
      <c r="F116" s="609"/>
      <c r="G116" s="609"/>
      <c r="H116" s="585"/>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5"/>
        <v>0</v>
      </c>
      <c r="AE116" s="629">
        <f t="shared" si="6"/>
        <v>0</v>
      </c>
      <c r="AF116" s="634">
        <f t="shared" si="7"/>
        <v>0</v>
      </c>
      <c r="AG116" s="43"/>
    </row>
    <row r="117" spans="1:33" hidden="1">
      <c r="A117" s="555"/>
      <c r="B117" s="604"/>
      <c r="C117" s="607"/>
      <c r="D117" s="608"/>
      <c r="E117" s="608"/>
      <c r="F117" s="609"/>
      <c r="G117" s="609"/>
      <c r="H117" s="585"/>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5"/>
        <v>0</v>
      </c>
      <c r="AE117" s="629">
        <f t="shared" si="6"/>
        <v>0</v>
      </c>
      <c r="AF117" s="634">
        <f t="shared" si="7"/>
        <v>0</v>
      </c>
      <c r="AG117" s="43"/>
    </row>
    <row r="118" spans="1:33" hidden="1">
      <c r="A118" s="555"/>
      <c r="B118" s="604"/>
      <c r="C118" s="607"/>
      <c r="D118" s="608"/>
      <c r="E118" s="608"/>
      <c r="F118" s="609"/>
      <c r="G118" s="609"/>
      <c r="H118" s="585"/>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5"/>
        <v>0</v>
      </c>
      <c r="AE118" s="629">
        <f t="shared" si="6"/>
        <v>0</v>
      </c>
      <c r="AF118" s="634">
        <f t="shared" si="7"/>
        <v>0</v>
      </c>
      <c r="AG118" s="43"/>
    </row>
    <row r="119" spans="1:33" hidden="1">
      <c r="A119" s="555"/>
      <c r="B119" s="604"/>
      <c r="C119" s="607"/>
      <c r="D119" s="608"/>
      <c r="E119" s="608"/>
      <c r="F119" s="609"/>
      <c r="G119" s="609"/>
      <c r="H119" s="585"/>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5"/>
        <v>0</v>
      </c>
      <c r="AE119" s="629">
        <f t="shared" si="6"/>
        <v>0</v>
      </c>
      <c r="AF119" s="634">
        <f t="shared" si="7"/>
        <v>0</v>
      </c>
      <c r="AG119" s="43"/>
    </row>
    <row r="120" spans="1:33" hidden="1">
      <c r="A120" s="555"/>
      <c r="B120" s="604"/>
      <c r="C120" s="607"/>
      <c r="D120" s="608"/>
      <c r="E120" s="608"/>
      <c r="F120" s="609"/>
      <c r="G120" s="609"/>
      <c r="H120" s="585"/>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5"/>
        <v>0</v>
      </c>
      <c r="AE120" s="629">
        <f t="shared" si="6"/>
        <v>0</v>
      </c>
      <c r="AF120" s="634">
        <f t="shared" si="7"/>
        <v>0</v>
      </c>
      <c r="AG120" s="43"/>
    </row>
    <row r="121" spans="1:33" hidden="1">
      <c r="A121" s="555"/>
      <c r="B121" s="604"/>
      <c r="C121" s="607"/>
      <c r="D121" s="608"/>
      <c r="E121" s="608"/>
      <c r="F121" s="609"/>
      <c r="G121" s="609"/>
      <c r="H121" s="585"/>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5"/>
        <v>0</v>
      </c>
      <c r="AE121" s="629">
        <f t="shared" si="6"/>
        <v>0</v>
      </c>
      <c r="AF121" s="634">
        <f t="shared" si="7"/>
        <v>0</v>
      </c>
      <c r="AG121" s="43"/>
    </row>
    <row r="122" spans="1:33" hidden="1">
      <c r="A122" s="555"/>
      <c r="B122" s="604"/>
      <c r="C122" s="607"/>
      <c r="D122" s="608"/>
      <c r="E122" s="608"/>
      <c r="F122" s="609"/>
      <c r="G122" s="609"/>
      <c r="H122" s="585"/>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5"/>
        <v>0</v>
      </c>
      <c r="AE122" s="629">
        <f t="shared" si="6"/>
        <v>0</v>
      </c>
      <c r="AF122" s="634">
        <f t="shared" si="7"/>
        <v>0</v>
      </c>
      <c r="AG122" s="43"/>
    </row>
    <row r="123" spans="1:33" hidden="1">
      <c r="A123" s="555"/>
      <c r="B123" s="604"/>
      <c r="C123" s="607"/>
      <c r="D123" s="608"/>
      <c r="E123" s="608"/>
      <c r="F123" s="609"/>
      <c r="G123" s="609"/>
      <c r="H123" s="585"/>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5"/>
        <v>0</v>
      </c>
      <c r="AE123" s="629">
        <f t="shared" si="6"/>
        <v>0</v>
      </c>
      <c r="AF123" s="634">
        <f t="shared" si="7"/>
        <v>0</v>
      </c>
      <c r="AG123" s="43"/>
    </row>
    <row r="124" spans="1:33" hidden="1">
      <c r="A124" s="555"/>
      <c r="B124" s="604"/>
      <c r="C124" s="607"/>
      <c r="D124" s="608"/>
      <c r="E124" s="608"/>
      <c r="F124" s="609"/>
      <c r="G124" s="609"/>
      <c r="H124" s="585"/>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5"/>
        <v>0</v>
      </c>
      <c r="AE124" s="629">
        <f t="shared" si="6"/>
        <v>0</v>
      </c>
      <c r="AF124" s="634">
        <f t="shared" si="7"/>
        <v>0</v>
      </c>
      <c r="AG124" s="43"/>
    </row>
    <row r="125" spans="1:33" hidden="1">
      <c r="A125" s="555"/>
      <c r="B125" s="604"/>
      <c r="C125" s="607"/>
      <c r="D125" s="608"/>
      <c r="E125" s="608"/>
      <c r="F125" s="609"/>
      <c r="G125" s="609"/>
      <c r="H125" s="585"/>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5"/>
        <v>0</v>
      </c>
      <c r="AE125" s="629">
        <f t="shared" si="6"/>
        <v>0</v>
      </c>
      <c r="AF125" s="634">
        <f t="shared" si="7"/>
        <v>0</v>
      </c>
      <c r="AG125" s="43"/>
    </row>
    <row r="126" spans="1:33" hidden="1">
      <c r="A126" s="555"/>
      <c r="B126" s="604"/>
      <c r="C126" s="607"/>
      <c r="D126" s="608"/>
      <c r="E126" s="608"/>
      <c r="F126" s="609"/>
      <c r="G126" s="609"/>
      <c r="H126" s="585"/>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5"/>
        <v>0</v>
      </c>
      <c r="AE126" s="629">
        <f t="shared" si="6"/>
        <v>0</v>
      </c>
      <c r="AF126" s="634">
        <f t="shared" si="7"/>
        <v>0</v>
      </c>
      <c r="AG126" s="43"/>
    </row>
    <row r="127" spans="1:33" hidden="1">
      <c r="A127" s="555"/>
      <c r="B127" s="604"/>
      <c r="C127" s="607"/>
      <c r="D127" s="608"/>
      <c r="E127" s="608"/>
      <c r="F127" s="609"/>
      <c r="G127" s="609"/>
      <c r="H127" s="585"/>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5"/>
        <v>0</v>
      </c>
      <c r="AE127" s="629">
        <f t="shared" si="6"/>
        <v>0</v>
      </c>
      <c r="AF127" s="634">
        <f t="shared" si="7"/>
        <v>0</v>
      </c>
      <c r="AG127" s="43"/>
    </row>
    <row r="128" spans="1:33" hidden="1">
      <c r="A128" s="555"/>
      <c r="B128" s="604"/>
      <c r="C128" s="607"/>
      <c r="D128" s="608"/>
      <c r="E128" s="608"/>
      <c r="F128" s="609"/>
      <c r="G128" s="609"/>
      <c r="H128" s="585"/>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5"/>
        <v>0</v>
      </c>
      <c r="AE128" s="629">
        <f t="shared" si="6"/>
        <v>0</v>
      </c>
      <c r="AF128" s="634">
        <f t="shared" si="7"/>
        <v>0</v>
      </c>
      <c r="AG128" s="43"/>
    </row>
    <row r="129" spans="1:33" hidden="1">
      <c r="A129" s="555"/>
      <c r="B129" s="604"/>
      <c r="C129" s="607"/>
      <c r="D129" s="608"/>
      <c r="E129" s="608"/>
      <c r="F129" s="609"/>
      <c r="G129" s="609"/>
      <c r="H129" s="585"/>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5"/>
        <v>0</v>
      </c>
      <c r="AE129" s="629">
        <f t="shared" si="6"/>
        <v>0</v>
      </c>
      <c r="AF129" s="634">
        <f t="shared" si="7"/>
        <v>0</v>
      </c>
      <c r="AG129" s="43"/>
    </row>
    <row r="130" spans="1:33" hidden="1">
      <c r="A130" s="555"/>
      <c r="B130" s="604"/>
      <c r="C130" s="607"/>
      <c r="D130" s="608"/>
      <c r="E130" s="608"/>
      <c r="F130" s="609"/>
      <c r="G130" s="609"/>
      <c r="H130" s="585"/>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5"/>
        <v>0</v>
      </c>
      <c r="AE130" s="629">
        <f t="shared" si="6"/>
        <v>0</v>
      </c>
      <c r="AF130" s="634">
        <f t="shared" si="7"/>
        <v>0</v>
      </c>
      <c r="AG130" s="43"/>
    </row>
    <row r="131" spans="1:33" hidden="1">
      <c r="A131" s="555"/>
      <c r="B131" s="604"/>
      <c r="C131" s="607"/>
      <c r="D131" s="608"/>
      <c r="E131" s="608"/>
      <c r="F131" s="609"/>
      <c r="G131" s="609"/>
      <c r="H131" s="585"/>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5"/>
        <v>0</v>
      </c>
      <c r="AE131" s="629">
        <f t="shared" si="6"/>
        <v>0</v>
      </c>
      <c r="AF131" s="634">
        <f t="shared" si="7"/>
        <v>0</v>
      </c>
      <c r="AG131" s="43"/>
    </row>
    <row r="132" spans="1:33" hidden="1">
      <c r="A132" s="555"/>
      <c r="B132" s="604"/>
      <c r="C132" s="607"/>
      <c r="D132" s="608"/>
      <c r="E132" s="608"/>
      <c r="F132" s="609"/>
      <c r="G132" s="609"/>
      <c r="H132" s="585"/>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5"/>
        <v>0</v>
      </c>
      <c r="AE132" s="629">
        <f t="shared" si="6"/>
        <v>0</v>
      </c>
      <c r="AF132" s="634">
        <f t="shared" si="7"/>
        <v>0</v>
      </c>
      <c r="AG132" s="43"/>
    </row>
    <row r="133" spans="1:33" hidden="1">
      <c r="A133" s="555"/>
      <c r="B133" s="604"/>
      <c r="C133" s="607"/>
      <c r="D133" s="608"/>
      <c r="E133" s="608"/>
      <c r="F133" s="609"/>
      <c r="G133" s="609"/>
      <c r="H133" s="585"/>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5"/>
        <v>0</v>
      </c>
      <c r="AE133" s="629">
        <f t="shared" si="6"/>
        <v>0</v>
      </c>
      <c r="AF133" s="634">
        <f t="shared" si="7"/>
        <v>0</v>
      </c>
      <c r="AG133" s="43"/>
    </row>
    <row r="134" spans="1:33" hidden="1">
      <c r="A134" s="555"/>
      <c r="B134" s="604"/>
      <c r="C134" s="607"/>
      <c r="D134" s="608"/>
      <c r="E134" s="608"/>
      <c r="F134" s="609"/>
      <c r="G134" s="609"/>
      <c r="H134" s="585"/>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5"/>
        <v>0</v>
      </c>
      <c r="AE134" s="629">
        <f t="shared" si="6"/>
        <v>0</v>
      </c>
      <c r="AF134" s="634">
        <f t="shared" si="7"/>
        <v>0</v>
      </c>
      <c r="AG134" s="43"/>
    </row>
    <row r="135" spans="1:33" hidden="1">
      <c r="A135" s="555"/>
      <c r="B135" s="604"/>
      <c r="C135" s="607"/>
      <c r="D135" s="608"/>
      <c r="E135" s="608"/>
      <c r="F135" s="609"/>
      <c r="G135" s="609"/>
      <c r="H135" s="585"/>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5"/>
        <v>0</v>
      </c>
      <c r="AE135" s="629">
        <f t="shared" si="6"/>
        <v>0</v>
      </c>
      <c r="AF135" s="634">
        <f t="shared" si="7"/>
        <v>0</v>
      </c>
      <c r="AG135" s="43"/>
    </row>
    <row r="136" spans="1:33" hidden="1">
      <c r="A136" s="555"/>
      <c r="B136" s="604"/>
      <c r="C136" s="607"/>
      <c r="D136" s="608"/>
      <c r="E136" s="608"/>
      <c r="F136" s="609"/>
      <c r="G136" s="609"/>
      <c r="H136" s="585"/>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5"/>
        <v>0</v>
      </c>
      <c r="AE136" s="629">
        <f t="shared" si="6"/>
        <v>0</v>
      </c>
      <c r="AF136" s="634">
        <f t="shared" si="7"/>
        <v>0</v>
      </c>
      <c r="AG136" s="43"/>
    </row>
    <row r="137" spans="1:33" hidden="1">
      <c r="A137" s="555"/>
      <c r="B137" s="604"/>
      <c r="C137" s="607"/>
      <c r="D137" s="608"/>
      <c r="E137" s="608"/>
      <c r="F137" s="609"/>
      <c r="G137" s="609"/>
      <c r="H137" s="585"/>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5"/>
        <v>0</v>
      </c>
      <c r="AE137" s="629">
        <f t="shared" si="6"/>
        <v>0</v>
      </c>
      <c r="AF137" s="634">
        <f t="shared" si="7"/>
        <v>0</v>
      </c>
      <c r="AG137" s="43"/>
    </row>
    <row r="138" spans="1:33" hidden="1">
      <c r="A138" s="555"/>
      <c r="B138" s="604"/>
      <c r="C138" s="607"/>
      <c r="D138" s="608"/>
      <c r="E138" s="608"/>
      <c r="F138" s="609"/>
      <c r="G138" s="609"/>
      <c r="H138" s="585"/>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5"/>
        <v>0</v>
      </c>
      <c r="AE138" s="629">
        <f t="shared" si="6"/>
        <v>0</v>
      </c>
      <c r="AF138" s="634">
        <f t="shared" si="7"/>
        <v>0</v>
      </c>
      <c r="AG138" s="43"/>
    </row>
    <row r="139" spans="1:33" hidden="1">
      <c r="A139" s="555"/>
      <c r="B139" s="604"/>
      <c r="C139" s="607"/>
      <c r="D139" s="608"/>
      <c r="E139" s="608"/>
      <c r="F139" s="609"/>
      <c r="G139" s="609"/>
      <c r="H139" s="585"/>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5"/>
        <v>0</v>
      </c>
      <c r="AE139" s="629">
        <f t="shared" si="6"/>
        <v>0</v>
      </c>
      <c r="AF139" s="634">
        <f t="shared" si="7"/>
        <v>0</v>
      </c>
      <c r="AG139" s="43"/>
    </row>
    <row r="140" spans="1:33" hidden="1">
      <c r="A140" s="555"/>
      <c r="B140" s="604"/>
      <c r="C140" s="607"/>
      <c r="D140" s="608"/>
      <c r="E140" s="608"/>
      <c r="F140" s="609"/>
      <c r="G140" s="609"/>
      <c r="H140" s="585"/>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5"/>
        <v>0</v>
      </c>
      <c r="AE140" s="629">
        <f t="shared" si="6"/>
        <v>0</v>
      </c>
      <c r="AF140" s="634">
        <f t="shared" si="7"/>
        <v>0</v>
      </c>
      <c r="AG140" s="43"/>
    </row>
    <row r="141" spans="1:33" hidden="1">
      <c r="A141" s="555"/>
      <c r="B141" s="604"/>
      <c r="C141" s="607"/>
      <c r="D141" s="608"/>
      <c r="E141" s="608"/>
      <c r="F141" s="609"/>
      <c r="G141" s="609"/>
      <c r="H141" s="585"/>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5"/>
        <v>0</v>
      </c>
      <c r="AE141" s="629">
        <f t="shared" si="6"/>
        <v>0</v>
      </c>
      <c r="AF141" s="634">
        <f t="shared" si="7"/>
        <v>0</v>
      </c>
      <c r="AG141" s="43"/>
    </row>
    <row r="142" spans="1:33" hidden="1">
      <c r="A142" s="555"/>
      <c r="B142" s="604"/>
      <c r="C142" s="607"/>
      <c r="D142" s="608"/>
      <c r="E142" s="608"/>
      <c r="F142" s="609"/>
      <c r="G142" s="609"/>
      <c r="H142" s="585"/>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5"/>
        <v>0</v>
      </c>
      <c r="AE142" s="629">
        <f t="shared" si="6"/>
        <v>0</v>
      </c>
      <c r="AF142" s="634">
        <f t="shared" si="7"/>
        <v>0</v>
      </c>
      <c r="AG142" s="43"/>
    </row>
    <row r="143" spans="1:33" hidden="1">
      <c r="A143" s="555"/>
      <c r="B143" s="604"/>
      <c r="C143" s="607"/>
      <c r="D143" s="608"/>
      <c r="E143" s="608"/>
      <c r="F143" s="609"/>
      <c r="G143" s="609"/>
      <c r="H143" s="585"/>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5"/>
        <v>0</v>
      </c>
      <c r="AE143" s="629">
        <f t="shared" si="6"/>
        <v>0</v>
      </c>
      <c r="AF143" s="634">
        <f t="shared" si="7"/>
        <v>0</v>
      </c>
      <c r="AG143" s="43"/>
    </row>
    <row r="144" spans="1:33" hidden="1">
      <c r="A144" s="555"/>
      <c r="B144" s="604"/>
      <c r="C144" s="607"/>
      <c r="D144" s="608"/>
      <c r="E144" s="608"/>
      <c r="F144" s="609"/>
      <c r="G144" s="609"/>
      <c r="H144" s="585"/>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si="5"/>
        <v>0</v>
      </c>
      <c r="AE144" s="629">
        <f t="shared" si="6"/>
        <v>0</v>
      </c>
      <c r="AF144" s="634">
        <f t="shared" si="7"/>
        <v>0</v>
      </c>
      <c r="AG144" s="43"/>
    </row>
    <row r="145" spans="1:33" hidden="1">
      <c r="A145" s="555"/>
      <c r="B145" s="604"/>
      <c r="C145" s="607"/>
      <c r="D145" s="608"/>
      <c r="E145" s="608"/>
      <c r="F145" s="609"/>
      <c r="G145" s="609"/>
      <c r="H145" s="585"/>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ref="AD145:AD196" si="8">SUM(G145:AC145)</f>
        <v>0</v>
      </c>
      <c r="AE145" s="629">
        <f t="shared" ref="AE145:AE196" si="9">SUM(D145:F145)</f>
        <v>0</v>
      </c>
      <c r="AF145" s="634">
        <f t="shared" ref="AF145:AF196" si="10">AD145-AE145</f>
        <v>0</v>
      </c>
      <c r="AG145" s="43"/>
    </row>
    <row r="146" spans="1:33" hidden="1">
      <c r="A146" s="555"/>
      <c r="B146" s="604"/>
      <c r="C146" s="607"/>
      <c r="D146" s="608"/>
      <c r="E146" s="608"/>
      <c r="F146" s="609"/>
      <c r="G146" s="609"/>
      <c r="H146" s="585"/>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8"/>
        <v>0</v>
      </c>
      <c r="AE146" s="629">
        <f t="shared" si="9"/>
        <v>0</v>
      </c>
      <c r="AF146" s="634">
        <f t="shared" si="10"/>
        <v>0</v>
      </c>
      <c r="AG146" s="43"/>
    </row>
    <row r="147" spans="1:33" hidden="1">
      <c r="A147" s="555"/>
      <c r="B147" s="604"/>
      <c r="C147" s="607"/>
      <c r="D147" s="608"/>
      <c r="E147" s="608"/>
      <c r="F147" s="609"/>
      <c r="G147" s="609"/>
      <c r="H147" s="585"/>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8"/>
        <v>0</v>
      </c>
      <c r="AE147" s="629">
        <f t="shared" si="9"/>
        <v>0</v>
      </c>
      <c r="AF147" s="634">
        <f t="shared" si="10"/>
        <v>0</v>
      </c>
      <c r="AG147" s="43"/>
    </row>
    <row r="148" spans="1:33" hidden="1">
      <c r="A148" s="555"/>
      <c r="B148" s="604"/>
      <c r="C148" s="607"/>
      <c r="D148" s="608"/>
      <c r="E148" s="608"/>
      <c r="F148" s="609"/>
      <c r="G148" s="609"/>
      <c r="H148" s="585"/>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8"/>
        <v>0</v>
      </c>
      <c r="AE148" s="629">
        <f t="shared" si="9"/>
        <v>0</v>
      </c>
      <c r="AF148" s="634">
        <f t="shared" si="10"/>
        <v>0</v>
      </c>
      <c r="AG148" s="43"/>
    </row>
    <row r="149" spans="1:33" hidden="1">
      <c r="A149" s="555"/>
      <c r="B149" s="604"/>
      <c r="C149" s="607"/>
      <c r="D149" s="608"/>
      <c r="E149" s="608"/>
      <c r="F149" s="609"/>
      <c r="G149" s="609"/>
      <c r="H149" s="585"/>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8"/>
        <v>0</v>
      </c>
      <c r="AE149" s="629">
        <f t="shared" si="9"/>
        <v>0</v>
      </c>
      <c r="AF149" s="634">
        <f t="shared" si="10"/>
        <v>0</v>
      </c>
      <c r="AG149" s="43"/>
    </row>
    <row r="150" spans="1:33" hidden="1">
      <c r="A150" s="555"/>
      <c r="B150" s="604"/>
      <c r="C150" s="607"/>
      <c r="D150" s="608"/>
      <c r="E150" s="608"/>
      <c r="F150" s="609"/>
      <c r="G150" s="609"/>
      <c r="H150" s="585"/>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8"/>
        <v>0</v>
      </c>
      <c r="AE150" s="629">
        <f t="shared" si="9"/>
        <v>0</v>
      </c>
      <c r="AF150" s="634">
        <f t="shared" si="10"/>
        <v>0</v>
      </c>
      <c r="AG150" s="43"/>
    </row>
    <row r="151" spans="1:33" hidden="1">
      <c r="A151" s="555"/>
      <c r="B151" s="604"/>
      <c r="C151" s="607"/>
      <c r="D151" s="608"/>
      <c r="E151" s="608"/>
      <c r="F151" s="609"/>
      <c r="G151" s="609"/>
      <c r="H151" s="585"/>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8"/>
        <v>0</v>
      </c>
      <c r="AE151" s="629">
        <f t="shared" si="9"/>
        <v>0</v>
      </c>
      <c r="AF151" s="634">
        <f t="shared" si="10"/>
        <v>0</v>
      </c>
      <c r="AG151" s="43"/>
    </row>
    <row r="152" spans="1:33" hidden="1">
      <c r="A152" s="555"/>
      <c r="B152" s="604"/>
      <c r="C152" s="607"/>
      <c r="D152" s="608"/>
      <c r="E152" s="608"/>
      <c r="F152" s="609"/>
      <c r="G152" s="609"/>
      <c r="H152" s="585"/>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8"/>
        <v>0</v>
      </c>
      <c r="AE152" s="629">
        <f t="shared" si="9"/>
        <v>0</v>
      </c>
      <c r="AF152" s="634">
        <f t="shared" si="10"/>
        <v>0</v>
      </c>
      <c r="AG152" s="43"/>
    </row>
    <row r="153" spans="1:33" hidden="1">
      <c r="A153" s="555"/>
      <c r="B153" s="604"/>
      <c r="C153" s="607"/>
      <c r="D153" s="608"/>
      <c r="E153" s="608"/>
      <c r="F153" s="609"/>
      <c r="G153" s="609"/>
      <c r="H153" s="585"/>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8"/>
        <v>0</v>
      </c>
      <c r="AE153" s="629">
        <f t="shared" si="9"/>
        <v>0</v>
      </c>
      <c r="AF153" s="634">
        <f t="shared" si="10"/>
        <v>0</v>
      </c>
      <c r="AG153" s="43"/>
    </row>
    <row r="154" spans="1:33" hidden="1">
      <c r="A154" s="555"/>
      <c r="B154" s="604"/>
      <c r="C154" s="607"/>
      <c r="D154" s="608"/>
      <c r="E154" s="608"/>
      <c r="F154" s="609"/>
      <c r="G154" s="609"/>
      <c r="H154" s="585"/>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8"/>
        <v>0</v>
      </c>
      <c r="AE154" s="629">
        <f t="shared" si="9"/>
        <v>0</v>
      </c>
      <c r="AF154" s="634">
        <f t="shared" si="10"/>
        <v>0</v>
      </c>
      <c r="AG154" s="43"/>
    </row>
    <row r="155" spans="1:33" hidden="1">
      <c r="A155" s="555"/>
      <c r="B155" s="604"/>
      <c r="C155" s="607"/>
      <c r="D155" s="608"/>
      <c r="E155" s="608"/>
      <c r="F155" s="609"/>
      <c r="G155" s="609"/>
      <c r="H155" s="585"/>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8"/>
        <v>0</v>
      </c>
      <c r="AE155" s="629">
        <f t="shared" si="9"/>
        <v>0</v>
      </c>
      <c r="AF155" s="634">
        <f t="shared" si="10"/>
        <v>0</v>
      </c>
      <c r="AG155" s="43"/>
    </row>
    <row r="156" spans="1:33" hidden="1">
      <c r="A156" s="555"/>
      <c r="B156" s="604"/>
      <c r="C156" s="607"/>
      <c r="D156" s="608"/>
      <c r="E156" s="608"/>
      <c r="F156" s="609"/>
      <c r="G156" s="609"/>
      <c r="H156" s="585"/>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8"/>
        <v>0</v>
      </c>
      <c r="AE156" s="629">
        <f t="shared" si="9"/>
        <v>0</v>
      </c>
      <c r="AF156" s="634">
        <f t="shared" si="10"/>
        <v>0</v>
      </c>
      <c r="AG156" s="43"/>
    </row>
    <row r="157" spans="1:33" hidden="1">
      <c r="A157" s="555"/>
      <c r="B157" s="604"/>
      <c r="C157" s="607"/>
      <c r="D157" s="608"/>
      <c r="E157" s="608"/>
      <c r="F157" s="609"/>
      <c r="G157" s="609"/>
      <c r="H157" s="585"/>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8"/>
        <v>0</v>
      </c>
      <c r="AE157" s="629">
        <f t="shared" si="9"/>
        <v>0</v>
      </c>
      <c r="AF157" s="634">
        <f t="shared" si="10"/>
        <v>0</v>
      </c>
      <c r="AG157" s="43"/>
    </row>
    <row r="158" spans="1:33" hidden="1">
      <c r="A158" s="555"/>
      <c r="B158" s="604"/>
      <c r="C158" s="607"/>
      <c r="D158" s="608"/>
      <c r="E158" s="608"/>
      <c r="F158" s="609"/>
      <c r="G158" s="609"/>
      <c r="H158" s="585"/>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8"/>
        <v>0</v>
      </c>
      <c r="AE158" s="629">
        <f t="shared" si="9"/>
        <v>0</v>
      </c>
      <c r="AF158" s="634">
        <f t="shared" si="10"/>
        <v>0</v>
      </c>
      <c r="AG158" s="43"/>
    </row>
    <row r="159" spans="1:33" hidden="1">
      <c r="A159" s="555"/>
      <c r="B159" s="604"/>
      <c r="C159" s="607"/>
      <c r="D159" s="608"/>
      <c r="E159" s="608"/>
      <c r="F159" s="609"/>
      <c r="G159" s="609"/>
      <c r="H159" s="585"/>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8"/>
        <v>0</v>
      </c>
      <c r="AE159" s="629">
        <f t="shared" si="9"/>
        <v>0</v>
      </c>
      <c r="AF159" s="634">
        <f t="shared" si="10"/>
        <v>0</v>
      </c>
      <c r="AG159" s="43"/>
    </row>
    <row r="160" spans="1:33" hidden="1">
      <c r="A160" s="555"/>
      <c r="B160" s="604"/>
      <c r="C160" s="607"/>
      <c r="D160" s="608"/>
      <c r="E160" s="608"/>
      <c r="F160" s="609"/>
      <c r="G160" s="609"/>
      <c r="H160" s="585"/>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8"/>
        <v>0</v>
      </c>
      <c r="AE160" s="629">
        <f t="shared" si="9"/>
        <v>0</v>
      </c>
      <c r="AF160" s="634">
        <f t="shared" si="10"/>
        <v>0</v>
      </c>
      <c r="AG160" s="43"/>
    </row>
    <row r="161" spans="1:57" hidden="1">
      <c r="A161" s="555"/>
      <c r="B161" s="604"/>
      <c r="C161" s="607"/>
      <c r="D161" s="608"/>
      <c r="E161" s="608"/>
      <c r="F161" s="609"/>
      <c r="G161" s="609"/>
      <c r="H161" s="585"/>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8"/>
        <v>0</v>
      </c>
      <c r="AE161" s="629">
        <f t="shared" si="9"/>
        <v>0</v>
      </c>
      <c r="AF161" s="634">
        <f t="shared" si="10"/>
        <v>0</v>
      </c>
      <c r="AG161" s="43"/>
    </row>
    <row r="162" spans="1:57" hidden="1">
      <c r="A162" s="555"/>
      <c r="B162" s="604"/>
      <c r="C162" s="607"/>
      <c r="D162" s="608"/>
      <c r="E162" s="608"/>
      <c r="F162" s="609"/>
      <c r="G162" s="609"/>
      <c r="H162" s="585"/>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8"/>
        <v>0</v>
      </c>
      <c r="AE162" s="629">
        <f t="shared" si="9"/>
        <v>0</v>
      </c>
      <c r="AF162" s="634">
        <f t="shared" si="10"/>
        <v>0</v>
      </c>
      <c r="AG162" s="43"/>
    </row>
    <row r="163" spans="1:57" hidden="1">
      <c r="A163" s="555"/>
      <c r="B163" s="604"/>
      <c r="C163" s="607"/>
      <c r="D163" s="608"/>
      <c r="E163" s="608"/>
      <c r="F163" s="609"/>
      <c r="G163" s="609"/>
      <c r="H163" s="585"/>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8"/>
        <v>0</v>
      </c>
      <c r="AE163" s="629">
        <f t="shared" si="9"/>
        <v>0</v>
      </c>
      <c r="AF163" s="634">
        <f t="shared" si="10"/>
        <v>0</v>
      </c>
      <c r="AG163" s="43"/>
    </row>
    <row r="164" spans="1:57" hidden="1">
      <c r="A164" s="555"/>
      <c r="B164" s="604"/>
      <c r="C164" s="607"/>
      <c r="D164" s="608"/>
      <c r="E164" s="608"/>
      <c r="F164" s="609"/>
      <c r="G164" s="609"/>
      <c r="H164" s="585"/>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8"/>
        <v>0</v>
      </c>
      <c r="AE164" s="629">
        <f t="shared" si="9"/>
        <v>0</v>
      </c>
      <c r="AF164" s="634">
        <f t="shared" si="10"/>
        <v>0</v>
      </c>
      <c r="AG164" s="43"/>
    </row>
    <row r="165" spans="1:57" hidden="1">
      <c r="A165" s="555"/>
      <c r="B165" s="604"/>
      <c r="C165" s="607"/>
      <c r="D165" s="608"/>
      <c r="E165" s="608"/>
      <c r="F165" s="609"/>
      <c r="G165" s="609"/>
      <c r="H165" s="585"/>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8"/>
        <v>0</v>
      </c>
      <c r="AE165" s="629">
        <f t="shared" si="9"/>
        <v>0</v>
      </c>
      <c r="AF165" s="634">
        <f t="shared" si="10"/>
        <v>0</v>
      </c>
      <c r="AG165" s="43"/>
    </row>
    <row r="166" spans="1:57" hidden="1">
      <c r="A166" s="555"/>
      <c r="B166" s="604"/>
      <c r="C166" s="607"/>
      <c r="D166" s="608"/>
      <c r="E166" s="608"/>
      <c r="F166" s="609"/>
      <c r="G166" s="609"/>
      <c r="H166" s="585"/>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8"/>
        <v>0</v>
      </c>
      <c r="AE166" s="629">
        <f t="shared" si="9"/>
        <v>0</v>
      </c>
      <c r="AF166" s="634">
        <f t="shared" si="10"/>
        <v>0</v>
      </c>
      <c r="AG166" s="43"/>
    </row>
    <row r="167" spans="1:57" hidden="1">
      <c r="A167" s="555"/>
      <c r="B167" s="604"/>
      <c r="C167" s="607"/>
      <c r="D167" s="608"/>
      <c r="E167" s="608"/>
      <c r="F167" s="609"/>
      <c r="G167" s="609"/>
      <c r="H167" s="603"/>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8"/>
        <v>0</v>
      </c>
      <c r="AE167" s="629">
        <f t="shared" si="9"/>
        <v>0</v>
      </c>
      <c r="AF167" s="634">
        <f t="shared" si="10"/>
        <v>0</v>
      </c>
      <c r="AG167" s="43">
        <f t="shared" ref="AG167:AG196" si="11">IF(AF167=0,0,"ERROR HERE")</f>
        <v>0</v>
      </c>
      <c r="AH167" s="7">
        <f t="shared" ref="AH167:AH179" si="12">IF(OR(ISERROR(+H167/($D167+$E167-$G167)*$G167+H167),LEFT(F167,1)="x"),0,+H167/($D167+$E167-$G167)*$G167+H167)</f>
        <v>0</v>
      </c>
      <c r="AI167" s="7">
        <f t="shared" ref="AI167:AI179" si="13">IF(OR(ISERROR(+I167/($D167+$E167-$G167)*$G167+I167),LEFT(G167,1)="x"),0,+I167/($D167+$E167-$G167)*$G167+I167)</f>
        <v>0</v>
      </c>
      <c r="AJ167" s="7">
        <f t="shared" ref="AJ167:AJ179" si="14">IF(OR(ISERROR(+J167/($D167+$E167-$G167)*$G167+J167),LEFT(H167,1)="x"),0,+J167/($D167+$E167-$G167)*$G167+J167)</f>
        <v>0</v>
      </c>
      <c r="AK167" s="7">
        <f t="shared" ref="AK167:AK179" si="15">IF(OR(ISERROR(+K167/($D167+$E167-$G167)*$G167+K167),LEFT(I167,1)="x"),0,+K167/($D167+$E167-$G167)*$G167+K167)</f>
        <v>0</v>
      </c>
      <c r="AL167" s="7">
        <f t="shared" ref="AL167:AL179" si="16">IF(OR(ISERROR(+L167/($D167+$E167-$G167)*$G167+L167),LEFT(J167,1)="x"),0,+L167/($D167+$E167-$G167)*$G167+L167)</f>
        <v>0</v>
      </c>
      <c r="AM167" s="7">
        <f t="shared" ref="AM167:AM179" si="17">IF(OR(ISERROR(+M167/($D167+$E167-$G167)*$G167+M167),LEFT(K167,1)="x"),0,+M167/($D167+$E167-$G167)*$G167+M167)</f>
        <v>0</v>
      </c>
      <c r="AN167" s="7">
        <f t="shared" ref="AN167:AN179" si="18">IF(OR(ISERROR(+N167/($D167+$E167-$G167)*$G167+N167),LEFT(L167,1)="x"),0,+N167/($D167+$E167-$G167)*$G167+N167)</f>
        <v>0</v>
      </c>
      <c r="AO167" s="7">
        <f t="shared" ref="AO167:AO179" si="19">IF(OR(ISERROR(+O167/($D167+$E167-$G167)*$G167+O167),LEFT(M167,1)="x"),0,+O167/($D167+$E167-$G167)*$G167+O167)</f>
        <v>0</v>
      </c>
      <c r="AP167" s="7">
        <f t="shared" ref="AP167:AP179" si="20">IF(OR(ISERROR(+P167/($D167+$E167-$G167)*$G167+P167),LEFT(N167,1)="x"),0,+P167/($D167+$E167-$G167)*$G167+P167)</f>
        <v>0</v>
      </c>
      <c r="AQ167" s="7">
        <f t="shared" ref="AQ167:AQ179" si="21">IF(OR(ISERROR(+Q167/($D167+$E167-$G167)*$G167+Q167),LEFT(O167,1)="x"),0,+Q167/($D167+$E167-$G167)*$G167+Q167)</f>
        <v>0</v>
      </c>
      <c r="AR167" s="7">
        <f t="shared" ref="AR167:AR179" si="22">IF(OR(ISERROR(+R167/($D167+$E167-$G167)*$G167+R167),LEFT(P167,1)="x"),0,+R167/($D167+$E167-$G167)*$G167+R167)</f>
        <v>0</v>
      </c>
      <c r="AS167" s="7">
        <f t="shared" ref="AS167:AS179" si="23">IF(OR(ISERROR(+S167/($D167+$E167-$G167)*$G167+S167),LEFT(Q167,1)="x"),0,+S167/($D167+$E167-$G167)*$G167+S167)</f>
        <v>0</v>
      </c>
      <c r="AT167" s="7">
        <f t="shared" ref="AT167:AT179" si="24">IF(OR(ISERROR(+T167/($D167+$E167-$G167)*$G167+T167),LEFT(R167,1)="x"),0,+T167/($D167+$E167-$G167)*$G167+T167)</f>
        <v>0</v>
      </c>
      <c r="AU167" s="7">
        <f t="shared" ref="AU167:AU179" si="25">IF(OR(ISERROR(+U167/($D167+$E167-$G167)*$G167+U167),LEFT(S167,1)="x"),0,+U167/($D167+$E167-$G167)*$G167+U167)</f>
        <v>0</v>
      </c>
      <c r="AV167" s="7">
        <f t="shared" ref="AV167:AV179" si="26">IF(OR(ISERROR(+V167/($D167+$E167-$G167)*$G167+V167),LEFT(T167,1)="x"),0,+V167/($D167+$E167-$G167)*$G167+V167)</f>
        <v>0</v>
      </c>
      <c r="AW167" s="7">
        <f t="shared" ref="AW167:AW179" si="27">IF(OR(ISERROR(+W167/($D167+$E167-$G167)*$G167+W167),LEFT(U167,1)="x"),0,+W167/($D167+$E167-$G167)*$G167+W167)</f>
        <v>0</v>
      </c>
      <c r="AX167" s="7">
        <f t="shared" ref="AX167:AX179" si="28">IF(OR(ISERROR(+X167/($D167+$E167-$G167)*$G167+X167),LEFT(V167,1)="x"),0,+X167/($D167+$E167-$G167)*$G167+X167)</f>
        <v>0</v>
      </c>
      <c r="AY167" s="7">
        <f t="shared" ref="AY167:AY200" si="29">IF(OR(ISERROR(+Z167/($D167+$E167-$G167)*$G167+Z167),LEFT(W167,1)="x"),0,+Z167/($D167+$E167-$G167)*$G167+Z167)</f>
        <v>0</v>
      </c>
      <c r="AZ167" s="7">
        <f>IF(OR(ISERROR(+#REF!/($D167+$E167-$G167)*$G167+#REF!),LEFT(X167,1)="x"),0,+#REF!/($D167+$E167-$G167)*$G167+#REF!)</f>
        <v>0</v>
      </c>
      <c r="BA167" s="7">
        <f>IF(OR(ISERROR(+#REF!/($D167+$E167-$G167)*$G167+#REF!),LEFT(Z167,1)="x"),0,+#REF!/($D167+$E167-$G167)*$G167+#REF!)</f>
        <v>0</v>
      </c>
      <c r="BB167" s="7" t="e">
        <f>IF(OR(ISERROR(+#REF!/($D167+$E167-$G167)*$G167+#REF!),LEFT(#REF!,1)="x"),0,+#REF!/($D167+$E167-$G167)*$G167+#REF!)</f>
        <v>#REF!</v>
      </c>
      <c r="BC167" s="7" t="e">
        <f>IF(OR(ISERROR(+AA167/($D167+$E167-$G167)*$G167+AA167),LEFT(#REF!,1)="x"),0,+AA167/($D167+$E167-$G167)*$G167+AA167)</f>
        <v>#REF!</v>
      </c>
      <c r="BD167" s="7" t="e">
        <f>IF(OR(ISERROR(+AC167/($D167+$E167-$G167)*$G167+AC167),LEFT(#REF!,1)="x"),0,+AC167/($D167+$E167-$G167)*$G167+AC167)</f>
        <v>#REF!</v>
      </c>
    </row>
    <row r="168" spans="1:57" hidden="1">
      <c r="A168" s="555"/>
      <c r="B168" s="604"/>
      <c r="C168" s="607"/>
      <c r="D168" s="608"/>
      <c r="E168" s="608"/>
      <c r="F168" s="609"/>
      <c r="G168" s="609"/>
      <c r="H168" s="603"/>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8"/>
        <v>0</v>
      </c>
      <c r="AE168" s="629">
        <f t="shared" si="9"/>
        <v>0</v>
      </c>
      <c r="AF168" s="634">
        <f t="shared" si="10"/>
        <v>0</v>
      </c>
      <c r="AG168" s="43">
        <f>IF(AF168=0,0,"ERROR HERE - CHECK NUMBER IS CORRECTLY EXTENDED")</f>
        <v>0</v>
      </c>
      <c r="AH168" s="7">
        <f t="shared" si="12"/>
        <v>0</v>
      </c>
      <c r="AI168" s="7">
        <f t="shared" si="13"/>
        <v>0</v>
      </c>
      <c r="AJ168" s="7">
        <f t="shared" si="14"/>
        <v>0</v>
      </c>
      <c r="AK168" s="7">
        <f t="shared" si="15"/>
        <v>0</v>
      </c>
      <c r="AL168" s="7">
        <f t="shared" si="16"/>
        <v>0</v>
      </c>
      <c r="AM168" s="7">
        <f t="shared" si="17"/>
        <v>0</v>
      </c>
      <c r="AN168" s="7">
        <f t="shared" si="18"/>
        <v>0</v>
      </c>
      <c r="AO168" s="7">
        <f t="shared" si="19"/>
        <v>0</v>
      </c>
      <c r="AP168" s="7">
        <f t="shared" si="20"/>
        <v>0</v>
      </c>
      <c r="AQ168" s="7">
        <f t="shared" si="21"/>
        <v>0</v>
      </c>
      <c r="AR168" s="7">
        <f t="shared" si="22"/>
        <v>0</v>
      </c>
      <c r="AS168" s="7">
        <f t="shared" si="23"/>
        <v>0</v>
      </c>
      <c r="AT168" s="7">
        <f t="shared" si="24"/>
        <v>0</v>
      </c>
      <c r="AU168" s="7">
        <f t="shared" si="25"/>
        <v>0</v>
      </c>
      <c r="AV168" s="7">
        <f t="shared" si="26"/>
        <v>0</v>
      </c>
      <c r="AW168" s="7">
        <f t="shared" si="27"/>
        <v>0</v>
      </c>
      <c r="AX168" s="7">
        <f t="shared" si="28"/>
        <v>0</v>
      </c>
      <c r="AY168" s="7">
        <f t="shared" si="29"/>
        <v>0</v>
      </c>
      <c r="AZ168" s="7">
        <f>IF(OR(ISERROR(+#REF!/($D168+$E168-$G168)*$G168+#REF!),LEFT(X168,1)="x"),0,+#REF!/($D168+$E168-$G168)*$G168+#REF!)</f>
        <v>0</v>
      </c>
      <c r="BA168" s="7">
        <f>IF(OR(ISERROR(+#REF!/($D168+$E168-$G168)*$G168+#REF!),LEFT(Z168,1)="x"),0,+#REF!/($D168+$E168-$G168)*$G168+#REF!)</f>
        <v>0</v>
      </c>
      <c r="BB168" s="7" t="e">
        <f>IF(OR(ISERROR(+#REF!/($D168+$E168-$G168)*$G168+#REF!),LEFT(#REF!,1)="x"),0,+#REF!/($D168+$E168-$G168)*$G168+#REF!)</f>
        <v>#REF!</v>
      </c>
      <c r="BC168" s="7" t="e">
        <f>IF(OR(ISERROR(+AA168/($D168+$E168-$G168)*$G168+AA168),LEFT(#REF!,1)="x"),0,+AA168/($D168+$E168-$G168)*$G168+AA168)</f>
        <v>#REF!</v>
      </c>
      <c r="BD168" s="7" t="e">
        <f>IF(OR(ISERROR(+AB168/($D168+$E168-$G168)*$G168+AB168),LEFT(#REF!,1)="x"),0,+AB168/($D168+$E168-$G168)*$G168+AB168)</f>
        <v>#REF!</v>
      </c>
      <c r="BE168" s="7">
        <f>IF(OR(ISERROR(+AC168/($D168+$E168-$G168)*$G168+AC168),LEFT(AA168,1)="x"),0,+AC168/($D168+$E168-$G168)*$G168+AC168)</f>
        <v>0</v>
      </c>
    </row>
    <row r="169" spans="1:57" hidden="1">
      <c r="A169" s="555"/>
      <c r="B169" s="604"/>
      <c r="C169" s="607"/>
      <c r="D169" s="608"/>
      <c r="E169" s="608"/>
      <c r="F169" s="609"/>
      <c r="G169" s="609"/>
      <c r="H169" s="603"/>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8"/>
        <v>0</v>
      </c>
      <c r="AE169" s="629">
        <f t="shared" si="9"/>
        <v>0</v>
      </c>
      <c r="AF169" s="634">
        <f t="shared" si="10"/>
        <v>0</v>
      </c>
      <c r="AG169" s="43">
        <f t="shared" si="11"/>
        <v>0</v>
      </c>
      <c r="AH169" s="7">
        <f t="shared" si="12"/>
        <v>0</v>
      </c>
      <c r="AI169" s="7">
        <f t="shared" si="13"/>
        <v>0</v>
      </c>
      <c r="AJ169" s="7">
        <f t="shared" si="14"/>
        <v>0</v>
      </c>
      <c r="AK169" s="7">
        <f t="shared" si="15"/>
        <v>0</v>
      </c>
      <c r="AL169" s="7">
        <f t="shared" si="16"/>
        <v>0</v>
      </c>
      <c r="AM169" s="7">
        <f t="shared" si="17"/>
        <v>0</v>
      </c>
      <c r="AN169" s="7">
        <f t="shared" si="18"/>
        <v>0</v>
      </c>
      <c r="AO169" s="7">
        <f t="shared" si="19"/>
        <v>0</v>
      </c>
      <c r="AP169" s="7">
        <f t="shared" si="20"/>
        <v>0</v>
      </c>
      <c r="AQ169" s="7">
        <f t="shared" si="21"/>
        <v>0</v>
      </c>
      <c r="AR169" s="7">
        <f t="shared" si="22"/>
        <v>0</v>
      </c>
      <c r="AS169" s="7">
        <f t="shared" si="23"/>
        <v>0</v>
      </c>
      <c r="AT169" s="7">
        <f t="shared" si="24"/>
        <v>0</v>
      </c>
      <c r="AU169" s="7">
        <f t="shared" si="25"/>
        <v>0</v>
      </c>
      <c r="AV169" s="7">
        <f t="shared" si="26"/>
        <v>0</v>
      </c>
      <c r="AW169" s="7">
        <f t="shared" si="27"/>
        <v>0</v>
      </c>
      <c r="AX169" s="7">
        <f t="shared" si="28"/>
        <v>0</v>
      </c>
      <c r="AY169" s="7">
        <f t="shared" si="29"/>
        <v>0</v>
      </c>
      <c r="AZ169" s="7">
        <f>IF(OR(ISERROR(+#REF!/($D169+$E169-$G169)*$G169+#REF!),LEFT(X169,1)="x"),0,+#REF!/($D169+$E169-$G169)*$G169+#REF!)</f>
        <v>0</v>
      </c>
      <c r="BA169" s="7">
        <f>IF(OR(ISERROR(+#REF!/($D169+$E169-$G169)*$G169+#REF!),LEFT(Z169,1)="x"),0,+#REF!/($D169+$E169-$G169)*$G169+#REF!)</f>
        <v>0</v>
      </c>
      <c r="BB169" s="7" t="e">
        <f>IF(OR(ISERROR(+#REF!/($D169+$E169-$G169)*$G169+#REF!),LEFT(#REF!,1)="x"),0,+#REF!/($D169+$E169-$G169)*$G169+#REF!)</f>
        <v>#REF!</v>
      </c>
      <c r="BC169" s="7" t="e">
        <f>IF(OR(ISERROR(+AA169/($D169+$E169-$G169)*$G169+AA169),LEFT(#REF!,1)="x"),0,+AA169/($D169+$E169-$G169)*$G169+AA169)</f>
        <v>#REF!</v>
      </c>
      <c r="BD169" s="7" t="e">
        <f>IF(OR(ISERROR(+AB169/($D169+$E169-$G169)*$G169+AB169),LEFT(#REF!,1)="x"),0,+AB169/($D169+$E169-$G169)*$G169+AB169)</f>
        <v>#REF!</v>
      </c>
      <c r="BE169" s="7">
        <f t="shared" ref="BE169:BE196" si="30">IF(OR(ISERROR(+AC169/($D169+$E169-$G169)*$G169+AC169),LEFT(AA169,1)="x"),0,+AC169/($D169+$E169-$G169)*$G169+AC169)</f>
        <v>0</v>
      </c>
    </row>
    <row r="170" spans="1:57" hidden="1">
      <c r="A170" s="555"/>
      <c r="B170" s="604"/>
      <c r="C170" s="607"/>
      <c r="D170" s="608"/>
      <c r="E170" s="608"/>
      <c r="F170" s="609"/>
      <c r="G170" s="609"/>
      <c r="H170" s="603"/>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8"/>
        <v>0</v>
      </c>
      <c r="AE170" s="629">
        <f t="shared" si="9"/>
        <v>0</v>
      </c>
      <c r="AF170" s="634">
        <f t="shared" si="10"/>
        <v>0</v>
      </c>
      <c r="AG170" s="43">
        <f t="shared" si="11"/>
        <v>0</v>
      </c>
      <c r="AH170" s="7">
        <f t="shared" si="12"/>
        <v>0</v>
      </c>
      <c r="AI170" s="7">
        <f t="shared" si="13"/>
        <v>0</v>
      </c>
      <c r="AJ170" s="7">
        <f t="shared" si="14"/>
        <v>0</v>
      </c>
      <c r="AK170" s="7">
        <f t="shared" si="15"/>
        <v>0</v>
      </c>
      <c r="AL170" s="7">
        <f t="shared" si="16"/>
        <v>0</v>
      </c>
      <c r="AM170" s="7">
        <f t="shared" si="17"/>
        <v>0</v>
      </c>
      <c r="AN170" s="7">
        <f t="shared" si="18"/>
        <v>0</v>
      </c>
      <c r="AO170" s="7">
        <f t="shared" si="19"/>
        <v>0</v>
      </c>
      <c r="AP170" s="7">
        <f t="shared" si="20"/>
        <v>0</v>
      </c>
      <c r="AQ170" s="7">
        <f t="shared" si="21"/>
        <v>0</v>
      </c>
      <c r="AR170" s="7">
        <f t="shared" si="22"/>
        <v>0</v>
      </c>
      <c r="AS170" s="7">
        <f t="shared" si="23"/>
        <v>0</v>
      </c>
      <c r="AT170" s="7">
        <f t="shared" si="24"/>
        <v>0</v>
      </c>
      <c r="AU170" s="7">
        <f t="shared" si="25"/>
        <v>0</v>
      </c>
      <c r="AV170" s="7">
        <f t="shared" si="26"/>
        <v>0</v>
      </c>
      <c r="AW170" s="7">
        <f t="shared" si="27"/>
        <v>0</v>
      </c>
      <c r="AX170" s="7">
        <f t="shared" si="28"/>
        <v>0</v>
      </c>
      <c r="AY170" s="7">
        <f t="shared" si="29"/>
        <v>0</v>
      </c>
      <c r="AZ170" s="7">
        <f>IF(OR(ISERROR(+#REF!/($D170+$E170-$G170)*$G170+#REF!),LEFT(X170,1)="x"),0,+#REF!/($D170+$E170-$G170)*$G170+#REF!)</f>
        <v>0</v>
      </c>
      <c r="BA170" s="7">
        <f>IF(OR(ISERROR(+#REF!/($D170+$E170-$G170)*$G170+#REF!),LEFT(Z170,1)="x"),0,+#REF!/($D170+$E170-$G170)*$G170+#REF!)</f>
        <v>0</v>
      </c>
      <c r="BB170" s="7" t="e">
        <f>IF(OR(ISERROR(+#REF!/($D170+$E170-$G170)*$G170+#REF!),LEFT(#REF!,1)="x"),0,+#REF!/($D170+$E170-$G170)*$G170+#REF!)</f>
        <v>#REF!</v>
      </c>
      <c r="BC170" s="7" t="e">
        <f>IF(OR(ISERROR(+AA170/($D170+$E170-$G170)*$G170+AA170),LEFT(#REF!,1)="x"),0,+AA170/($D170+$E170-$G170)*$G170+AA170)</f>
        <v>#REF!</v>
      </c>
      <c r="BD170" s="7" t="e">
        <f>IF(OR(ISERROR(+AB170/($D170+$E170-$G170)*$G170+AB170),LEFT(#REF!,1)="x"),0,+AB170/($D170+$E170-$G170)*$G170+AB170)</f>
        <v>#REF!</v>
      </c>
      <c r="BE170" s="7">
        <f t="shared" si="30"/>
        <v>0</v>
      </c>
    </row>
    <row r="171" spans="1:57" hidden="1">
      <c r="A171" s="555"/>
      <c r="B171" s="604"/>
      <c r="C171" s="607"/>
      <c r="D171" s="608"/>
      <c r="E171" s="608"/>
      <c r="F171" s="613"/>
      <c r="G171" s="609"/>
      <c r="H171" s="603"/>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8"/>
        <v>0</v>
      </c>
      <c r="AE171" s="629">
        <f t="shared" si="9"/>
        <v>0</v>
      </c>
      <c r="AF171" s="634">
        <f t="shared" si="10"/>
        <v>0</v>
      </c>
      <c r="AG171" s="43">
        <f t="shared" si="11"/>
        <v>0</v>
      </c>
      <c r="AH171" s="7">
        <f t="shared" si="12"/>
        <v>0</v>
      </c>
      <c r="AI171" s="7">
        <f t="shared" si="13"/>
        <v>0</v>
      </c>
      <c r="AJ171" s="7">
        <f t="shared" si="14"/>
        <v>0</v>
      </c>
      <c r="AK171" s="7">
        <f t="shared" si="15"/>
        <v>0</v>
      </c>
      <c r="AL171" s="7">
        <f t="shared" si="16"/>
        <v>0</v>
      </c>
      <c r="AM171" s="7">
        <f t="shared" si="17"/>
        <v>0</v>
      </c>
      <c r="AN171" s="7">
        <f t="shared" si="18"/>
        <v>0</v>
      </c>
      <c r="AO171" s="7">
        <f t="shared" si="19"/>
        <v>0</v>
      </c>
      <c r="AP171" s="7">
        <f t="shared" si="20"/>
        <v>0</v>
      </c>
      <c r="AQ171" s="7">
        <f t="shared" si="21"/>
        <v>0</v>
      </c>
      <c r="AR171" s="7">
        <f t="shared" si="22"/>
        <v>0</v>
      </c>
      <c r="AS171" s="7">
        <f t="shared" si="23"/>
        <v>0</v>
      </c>
      <c r="AT171" s="7">
        <f t="shared" si="24"/>
        <v>0</v>
      </c>
      <c r="AU171" s="7">
        <f t="shared" si="25"/>
        <v>0</v>
      </c>
      <c r="AV171" s="7">
        <f t="shared" si="26"/>
        <v>0</v>
      </c>
      <c r="AW171" s="7">
        <f t="shared" si="27"/>
        <v>0</v>
      </c>
      <c r="AX171" s="7">
        <f t="shared" si="28"/>
        <v>0</v>
      </c>
      <c r="AY171" s="7">
        <f t="shared" si="29"/>
        <v>0</v>
      </c>
      <c r="AZ171" s="7">
        <f>IF(OR(ISERROR(+#REF!/($D171+$E171-$G171)*$G171+#REF!),LEFT(X171,1)="x"),0,+#REF!/($D171+$E171-$G171)*$G171+#REF!)</f>
        <v>0</v>
      </c>
      <c r="BA171" s="7">
        <f>IF(OR(ISERROR(+#REF!/($D171+$E171-$G171)*$G171+#REF!),LEFT(Z171,1)="x"),0,+#REF!/($D171+$E171-$G171)*$G171+#REF!)</f>
        <v>0</v>
      </c>
      <c r="BB171" s="7" t="e">
        <f>IF(OR(ISERROR(+#REF!/($D171+$E171-$G171)*$G171+#REF!),LEFT(#REF!,1)="x"),0,+#REF!/($D171+$E171-$G171)*$G171+#REF!)</f>
        <v>#REF!</v>
      </c>
      <c r="BC171" s="7" t="e">
        <f>IF(OR(ISERROR(+AA171/($D171+$E171-$G171)*$G171+AA171),LEFT(#REF!,1)="x"),0,+AA171/($D171+$E171-$G171)*$G171+AA171)</f>
        <v>#REF!</v>
      </c>
      <c r="BD171" s="7" t="e">
        <f>IF(OR(ISERROR(+AB171/($D171+$E171-$G171)*$G171+AB171),LEFT(#REF!,1)="x"),0,+AB171/($D171+$E171-$G171)*$G171+AB171)</f>
        <v>#REF!</v>
      </c>
      <c r="BE171" s="7">
        <f>IF(OR(ISERROR(+AC171/($D171+$E171-$G171)*$G171+AC171),LEFT(AA171,1)="x"),0,+AC171/($D171+$E171-$G171)*$G171+AC171)</f>
        <v>0</v>
      </c>
    </row>
    <row r="172" spans="1:57" hidden="1">
      <c r="A172" s="555"/>
      <c r="B172" s="604"/>
      <c r="C172" s="607"/>
      <c r="D172" s="608"/>
      <c r="E172" s="608"/>
      <c r="F172" s="609"/>
      <c r="G172" s="609"/>
      <c r="H172" s="603"/>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8"/>
        <v>0</v>
      </c>
      <c r="AE172" s="629">
        <f t="shared" si="9"/>
        <v>0</v>
      </c>
      <c r="AF172" s="634">
        <f t="shared" si="10"/>
        <v>0</v>
      </c>
      <c r="AG172" s="43">
        <f t="shared" si="11"/>
        <v>0</v>
      </c>
      <c r="AH172" s="7">
        <f t="shared" si="12"/>
        <v>0</v>
      </c>
      <c r="AI172" s="7">
        <f t="shared" si="13"/>
        <v>0</v>
      </c>
      <c r="AJ172" s="7">
        <f t="shared" si="14"/>
        <v>0</v>
      </c>
      <c r="AK172" s="7">
        <f t="shared" si="15"/>
        <v>0</v>
      </c>
      <c r="AL172" s="7">
        <f t="shared" si="16"/>
        <v>0</v>
      </c>
      <c r="AM172" s="7">
        <f t="shared" si="17"/>
        <v>0</v>
      </c>
      <c r="AN172" s="7">
        <f t="shared" si="18"/>
        <v>0</v>
      </c>
      <c r="AO172" s="7">
        <f t="shared" si="19"/>
        <v>0</v>
      </c>
      <c r="AP172" s="7">
        <f t="shared" si="20"/>
        <v>0</v>
      </c>
      <c r="AQ172" s="7">
        <f t="shared" si="21"/>
        <v>0</v>
      </c>
      <c r="AR172" s="7">
        <f t="shared" si="22"/>
        <v>0</v>
      </c>
      <c r="AS172" s="7">
        <f t="shared" si="23"/>
        <v>0</v>
      </c>
      <c r="AT172" s="7">
        <f t="shared" si="24"/>
        <v>0</v>
      </c>
      <c r="AU172" s="7">
        <f t="shared" si="25"/>
        <v>0</v>
      </c>
      <c r="AV172" s="7">
        <f t="shared" si="26"/>
        <v>0</v>
      </c>
      <c r="AW172" s="7">
        <f t="shared" si="27"/>
        <v>0</v>
      </c>
      <c r="AX172" s="7">
        <f t="shared" si="28"/>
        <v>0</v>
      </c>
      <c r="AY172" s="7">
        <f t="shared" si="29"/>
        <v>0</v>
      </c>
      <c r="AZ172" s="7">
        <f>IF(OR(ISERROR(+#REF!/($D172+$E172-$G172)*$G172+#REF!),LEFT(X172,1)="x"),0,+#REF!/($D172+$E172-$G172)*$G172+#REF!)</f>
        <v>0</v>
      </c>
      <c r="BA172" s="7">
        <f>IF(OR(ISERROR(+#REF!/($D172+$E172-$G172)*$G172+#REF!),LEFT(Z172,1)="x"),0,+#REF!/($D172+$E172-$G172)*$G172+#REF!)</f>
        <v>0</v>
      </c>
      <c r="BB172" s="7" t="e">
        <f>IF(OR(ISERROR(+#REF!/($D172+$E172-$G172)*$G172+#REF!),LEFT(#REF!,1)="x"),0,+#REF!/($D172+$E172-$G172)*$G172+#REF!)</f>
        <v>#REF!</v>
      </c>
      <c r="BC172" s="7" t="e">
        <f>IF(OR(ISERROR(+AA172/($D172+$E172-$G172)*$G172+AA172),LEFT(#REF!,1)="x"),0,+AA172/($D172+$E172-$G172)*$G172+AA172)</f>
        <v>#REF!</v>
      </c>
      <c r="BD172" s="7" t="e">
        <f>IF(OR(ISERROR(+AB172/($D172+$E172-$G172)*$G172+AB172),LEFT(#REF!,1)="x"),0,+AB172/($D172+$E172-$G172)*$G172+AB172)</f>
        <v>#REF!</v>
      </c>
      <c r="BE172" s="7">
        <f t="shared" si="30"/>
        <v>0</v>
      </c>
    </row>
    <row r="173" spans="1:57" hidden="1">
      <c r="A173" s="555"/>
      <c r="B173" s="604"/>
      <c r="C173" s="607"/>
      <c r="D173" s="608"/>
      <c r="E173" s="608"/>
      <c r="F173" s="609"/>
      <c r="G173" s="609"/>
      <c r="H173" s="603"/>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8"/>
        <v>0</v>
      </c>
      <c r="AE173" s="629">
        <f t="shared" si="9"/>
        <v>0</v>
      </c>
      <c r="AF173" s="634">
        <f t="shared" si="10"/>
        <v>0</v>
      </c>
      <c r="AG173" s="43">
        <f t="shared" si="11"/>
        <v>0</v>
      </c>
      <c r="AH173" s="7">
        <f t="shared" si="12"/>
        <v>0</v>
      </c>
      <c r="AI173" s="7">
        <f t="shared" si="13"/>
        <v>0</v>
      </c>
      <c r="AJ173" s="7">
        <f t="shared" si="14"/>
        <v>0</v>
      </c>
      <c r="AK173" s="7">
        <f t="shared" si="15"/>
        <v>0</v>
      </c>
      <c r="AL173" s="7">
        <f t="shared" si="16"/>
        <v>0</v>
      </c>
      <c r="AM173" s="7">
        <f t="shared" si="17"/>
        <v>0</v>
      </c>
      <c r="AN173" s="7">
        <f t="shared" si="18"/>
        <v>0</v>
      </c>
      <c r="AO173" s="7">
        <f t="shared" si="19"/>
        <v>0</v>
      </c>
      <c r="AP173" s="7">
        <f t="shared" si="20"/>
        <v>0</v>
      </c>
      <c r="AQ173" s="7">
        <f t="shared" si="21"/>
        <v>0</v>
      </c>
      <c r="AR173" s="7">
        <f t="shared" si="22"/>
        <v>0</v>
      </c>
      <c r="AS173" s="7">
        <f t="shared" si="23"/>
        <v>0</v>
      </c>
      <c r="AT173" s="7">
        <f t="shared" si="24"/>
        <v>0</v>
      </c>
      <c r="AU173" s="7">
        <f t="shared" si="25"/>
        <v>0</v>
      </c>
      <c r="AV173" s="7">
        <f t="shared" si="26"/>
        <v>0</v>
      </c>
      <c r="AW173" s="7">
        <f t="shared" si="27"/>
        <v>0</v>
      </c>
      <c r="AX173" s="7">
        <f t="shared" si="28"/>
        <v>0</v>
      </c>
      <c r="AY173" s="7">
        <f t="shared" si="29"/>
        <v>0</v>
      </c>
      <c r="AZ173" s="7">
        <f>IF(OR(ISERROR(+#REF!/($D173+$E173-$G173)*$G173+#REF!),LEFT(X173,1)="x"),0,+#REF!/($D173+$E173-$G173)*$G173+#REF!)</f>
        <v>0</v>
      </c>
      <c r="BA173" s="7">
        <f>IF(OR(ISERROR(+#REF!/($D173+$E173-$G173)*$G173+#REF!),LEFT(Z173,1)="x"),0,+#REF!/($D173+$E173-$G173)*$G173+#REF!)</f>
        <v>0</v>
      </c>
      <c r="BB173" s="7" t="e">
        <f>IF(OR(ISERROR(+#REF!/($D173+$E173-$G173)*$G173+#REF!),LEFT(#REF!,1)="x"),0,+#REF!/($D173+$E173-$G173)*$G173+#REF!)</f>
        <v>#REF!</v>
      </c>
      <c r="BC173" s="7" t="e">
        <f>IF(OR(ISERROR(+AA173/($D173+$E173-$G173)*$G173+AA173),LEFT(#REF!,1)="x"),0,+AA173/($D173+$E173-$G173)*$G173+AA173)</f>
        <v>#REF!</v>
      </c>
      <c r="BD173" s="7" t="e">
        <f>IF(OR(ISERROR(+AB173/($D173+$E173-$G173)*$G173+AB173),LEFT(#REF!,1)="x"),0,+AB173/($D173+$E173-$G173)*$G173+AB173)</f>
        <v>#REF!</v>
      </c>
      <c r="BE173" s="7">
        <f t="shared" si="30"/>
        <v>0</v>
      </c>
    </row>
    <row r="174" spans="1:57" hidden="1">
      <c r="A174" s="555"/>
      <c r="B174" s="604"/>
      <c r="C174" s="607"/>
      <c r="D174" s="608"/>
      <c r="E174" s="608"/>
      <c r="F174" s="609"/>
      <c r="G174" s="609"/>
      <c r="H174" s="603"/>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8"/>
        <v>0</v>
      </c>
      <c r="AE174" s="629">
        <f t="shared" si="9"/>
        <v>0</v>
      </c>
      <c r="AF174" s="634">
        <f t="shared" si="10"/>
        <v>0</v>
      </c>
      <c r="AG174" s="43">
        <f t="shared" si="11"/>
        <v>0</v>
      </c>
      <c r="AH174" s="7">
        <f t="shared" si="12"/>
        <v>0</v>
      </c>
      <c r="AI174" s="7">
        <f t="shared" si="13"/>
        <v>0</v>
      </c>
      <c r="AJ174" s="7">
        <f t="shared" si="14"/>
        <v>0</v>
      </c>
      <c r="AK174" s="7">
        <f t="shared" si="15"/>
        <v>0</v>
      </c>
      <c r="AL174" s="7">
        <f t="shared" si="16"/>
        <v>0</v>
      </c>
      <c r="AM174" s="7">
        <f t="shared" si="17"/>
        <v>0</v>
      </c>
      <c r="AN174" s="7">
        <f t="shared" si="18"/>
        <v>0</v>
      </c>
      <c r="AO174" s="7">
        <f t="shared" si="19"/>
        <v>0</v>
      </c>
      <c r="AP174" s="7">
        <f t="shared" si="20"/>
        <v>0</v>
      </c>
      <c r="AQ174" s="7">
        <f t="shared" si="21"/>
        <v>0</v>
      </c>
      <c r="AR174" s="7">
        <f t="shared" si="22"/>
        <v>0</v>
      </c>
      <c r="AS174" s="7">
        <f t="shared" si="23"/>
        <v>0</v>
      </c>
      <c r="AT174" s="7">
        <f t="shared" si="24"/>
        <v>0</v>
      </c>
      <c r="AU174" s="7">
        <f t="shared" si="25"/>
        <v>0</v>
      </c>
      <c r="AV174" s="7">
        <f t="shared" si="26"/>
        <v>0</v>
      </c>
      <c r="AW174" s="7">
        <f t="shared" si="27"/>
        <v>0</v>
      </c>
      <c r="AX174" s="7">
        <f t="shared" si="28"/>
        <v>0</v>
      </c>
      <c r="AY174" s="7">
        <f t="shared" si="29"/>
        <v>0</v>
      </c>
      <c r="AZ174" s="7">
        <f>IF(OR(ISERROR(+#REF!/($D174+$E174-$G174)*$G174+#REF!),LEFT(X174,1)="x"),0,+#REF!/($D174+$E174-$G174)*$G174+#REF!)</f>
        <v>0</v>
      </c>
      <c r="BA174" s="7">
        <f>IF(OR(ISERROR(+#REF!/($D174+$E174-$G174)*$G174+#REF!),LEFT(Z174,1)="x"),0,+#REF!/($D174+$E174-$G174)*$G174+#REF!)</f>
        <v>0</v>
      </c>
      <c r="BB174" s="7" t="e">
        <f>IF(OR(ISERROR(+#REF!/($D174+$E174-$G174)*$G174+#REF!),LEFT(#REF!,1)="x"),0,+#REF!/($D174+$E174-$G174)*$G174+#REF!)</f>
        <v>#REF!</v>
      </c>
      <c r="BC174" s="7" t="e">
        <f>IF(OR(ISERROR(+AA174/($D174+$E174-$G174)*$G174+AA174),LEFT(#REF!,1)="x"),0,+AA174/($D174+$E174-$G174)*$G174+AA174)</f>
        <v>#REF!</v>
      </c>
      <c r="BD174" s="7" t="e">
        <f>IF(OR(ISERROR(+AB174/($D174+$E174-$G174)*$G174+AB174),LEFT(#REF!,1)="x"),0,+AB174/($D174+$E174-$G174)*$G174+AB174)</f>
        <v>#REF!</v>
      </c>
      <c r="BE174" s="7">
        <f t="shared" si="30"/>
        <v>0</v>
      </c>
    </row>
    <row r="175" spans="1:57" hidden="1">
      <c r="A175" s="555"/>
      <c r="B175" s="604"/>
      <c r="C175" s="607"/>
      <c r="D175" s="608"/>
      <c r="E175" s="608"/>
      <c r="F175" s="609"/>
      <c r="G175" s="609"/>
      <c r="H175" s="603"/>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8"/>
        <v>0</v>
      </c>
      <c r="AE175" s="629">
        <f t="shared" si="9"/>
        <v>0</v>
      </c>
      <c r="AF175" s="634">
        <f t="shared" si="10"/>
        <v>0</v>
      </c>
      <c r="AG175" s="43">
        <f t="shared" si="11"/>
        <v>0</v>
      </c>
      <c r="AH175" s="7">
        <f t="shared" si="12"/>
        <v>0</v>
      </c>
      <c r="AI175" s="7">
        <f t="shared" si="13"/>
        <v>0</v>
      </c>
      <c r="AJ175" s="7">
        <f t="shared" si="14"/>
        <v>0</v>
      </c>
      <c r="AK175" s="7">
        <f t="shared" si="15"/>
        <v>0</v>
      </c>
      <c r="AL175" s="7">
        <f t="shared" si="16"/>
        <v>0</v>
      </c>
      <c r="AM175" s="7">
        <f t="shared" si="17"/>
        <v>0</v>
      </c>
      <c r="AN175" s="7">
        <f t="shared" si="18"/>
        <v>0</v>
      </c>
      <c r="AO175" s="7">
        <f t="shared" si="19"/>
        <v>0</v>
      </c>
      <c r="AP175" s="7">
        <f t="shared" si="20"/>
        <v>0</v>
      </c>
      <c r="AQ175" s="7">
        <f t="shared" si="21"/>
        <v>0</v>
      </c>
      <c r="AR175" s="7">
        <f t="shared" si="22"/>
        <v>0</v>
      </c>
      <c r="AS175" s="7">
        <f t="shared" si="23"/>
        <v>0</v>
      </c>
      <c r="AT175" s="7">
        <f t="shared" si="24"/>
        <v>0</v>
      </c>
      <c r="AU175" s="7">
        <f t="shared" si="25"/>
        <v>0</v>
      </c>
      <c r="AV175" s="7">
        <f t="shared" si="26"/>
        <v>0</v>
      </c>
      <c r="AW175" s="7">
        <f t="shared" si="27"/>
        <v>0</v>
      </c>
      <c r="AX175" s="7">
        <f t="shared" si="28"/>
        <v>0</v>
      </c>
      <c r="AY175" s="7">
        <f t="shared" si="29"/>
        <v>0</v>
      </c>
      <c r="AZ175" s="7">
        <f>IF(OR(ISERROR(+#REF!/($D175+$E175-$G175)*$G175+#REF!),LEFT(X175,1)="x"),0,+#REF!/($D175+$E175-$G175)*$G175+#REF!)</f>
        <v>0</v>
      </c>
      <c r="BA175" s="7">
        <f>IF(OR(ISERROR(+#REF!/($D175+$E175-$G175)*$G175+#REF!),LEFT(Z175,1)="x"),0,+#REF!/($D175+$E175-$G175)*$G175+#REF!)</f>
        <v>0</v>
      </c>
      <c r="BB175" s="7" t="e">
        <f>IF(OR(ISERROR(+#REF!/($D175+$E175-$G175)*$G175+#REF!),LEFT(#REF!,1)="x"),0,+#REF!/($D175+$E175-$G175)*$G175+#REF!)</f>
        <v>#REF!</v>
      </c>
      <c r="BC175" s="7" t="e">
        <f>IF(OR(ISERROR(+AA175/($D175+$E175-$G175)*$G175+AA175),LEFT(#REF!,1)="x"),0,+AA175/($D175+$E175-$G175)*$G175+AA175)</f>
        <v>#REF!</v>
      </c>
      <c r="BD175" s="7" t="e">
        <f>IF(OR(ISERROR(+AB175/($D175+$E175-$G175)*$G175+AB175),LEFT(#REF!,1)="x"),0,+AB175/($D175+$E175-$G175)*$G175+AB175)</f>
        <v>#REF!</v>
      </c>
      <c r="BE175" s="7">
        <f t="shared" si="30"/>
        <v>0</v>
      </c>
    </row>
    <row r="176" spans="1:57" hidden="1">
      <c r="A176" s="555"/>
      <c r="B176" s="604"/>
      <c r="C176" s="607"/>
      <c r="D176" s="608"/>
      <c r="E176" s="608"/>
      <c r="F176" s="609"/>
      <c r="G176" s="609"/>
      <c r="H176" s="603"/>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8"/>
        <v>0</v>
      </c>
      <c r="AE176" s="629">
        <f t="shared" si="9"/>
        <v>0</v>
      </c>
      <c r="AF176" s="634">
        <f t="shared" si="10"/>
        <v>0</v>
      </c>
      <c r="AG176" s="43">
        <f t="shared" si="11"/>
        <v>0</v>
      </c>
      <c r="AH176" s="7">
        <f t="shared" si="12"/>
        <v>0</v>
      </c>
      <c r="AI176" s="7">
        <f t="shared" si="13"/>
        <v>0</v>
      </c>
      <c r="AJ176" s="7">
        <f t="shared" si="14"/>
        <v>0</v>
      </c>
      <c r="AK176" s="7">
        <f t="shared" si="15"/>
        <v>0</v>
      </c>
      <c r="AL176" s="7">
        <f t="shared" si="16"/>
        <v>0</v>
      </c>
      <c r="AM176" s="7">
        <f t="shared" si="17"/>
        <v>0</v>
      </c>
      <c r="AN176" s="7">
        <f t="shared" si="18"/>
        <v>0</v>
      </c>
      <c r="AO176" s="7">
        <f t="shared" si="19"/>
        <v>0</v>
      </c>
      <c r="AP176" s="7">
        <f t="shared" si="20"/>
        <v>0</v>
      </c>
      <c r="AQ176" s="7">
        <f t="shared" si="21"/>
        <v>0</v>
      </c>
      <c r="AR176" s="7">
        <f t="shared" si="22"/>
        <v>0</v>
      </c>
      <c r="AS176" s="7">
        <f t="shared" si="23"/>
        <v>0</v>
      </c>
      <c r="AT176" s="7">
        <f t="shared" si="24"/>
        <v>0</v>
      </c>
      <c r="AU176" s="7">
        <f t="shared" si="25"/>
        <v>0</v>
      </c>
      <c r="AV176" s="7">
        <f t="shared" si="26"/>
        <v>0</v>
      </c>
      <c r="AW176" s="7">
        <f t="shared" si="27"/>
        <v>0</v>
      </c>
      <c r="AX176" s="7">
        <f t="shared" si="28"/>
        <v>0</v>
      </c>
      <c r="AY176" s="7">
        <f t="shared" si="29"/>
        <v>0</v>
      </c>
      <c r="AZ176" s="7">
        <f>IF(OR(ISERROR(+#REF!/($D176+$E176-$G176)*$G176+#REF!),LEFT(X176,1)="x"),0,+#REF!/($D176+$E176-$G176)*$G176+#REF!)</f>
        <v>0</v>
      </c>
      <c r="BA176" s="7">
        <f>IF(OR(ISERROR(+#REF!/($D176+$E176-$G176)*$G176+#REF!),LEFT(Z176,1)="x"),0,+#REF!/($D176+$E176-$G176)*$G176+#REF!)</f>
        <v>0</v>
      </c>
      <c r="BB176" s="7" t="e">
        <f>IF(OR(ISERROR(+#REF!/($D176+$E176-$G176)*$G176+#REF!),LEFT(#REF!,1)="x"),0,+#REF!/($D176+$E176-$G176)*$G176+#REF!)</f>
        <v>#REF!</v>
      </c>
      <c r="BC176" s="7" t="e">
        <f>IF(OR(ISERROR(+AA176/($D176+$E176-$G176)*$G176+AA176),LEFT(#REF!,1)="x"),0,+AA176/($D176+$E176-$G176)*$G176+AA176)</f>
        <v>#REF!</v>
      </c>
      <c r="BD176" s="7" t="e">
        <f>IF(OR(ISERROR(+AB176/($D176+$E176-$G176)*$G176+AB176),LEFT(#REF!,1)="x"),0,+AB176/($D176+$E176-$G176)*$G176+AB176)</f>
        <v>#REF!</v>
      </c>
      <c r="BE176" s="7">
        <f t="shared" si="30"/>
        <v>0</v>
      </c>
    </row>
    <row r="177" spans="1:57" hidden="1">
      <c r="A177" s="555"/>
      <c r="B177" s="604"/>
      <c r="C177" s="607"/>
      <c r="D177" s="608"/>
      <c r="E177" s="608"/>
      <c r="F177" s="609"/>
      <c r="G177" s="609"/>
      <c r="H177" s="603"/>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8"/>
        <v>0</v>
      </c>
      <c r="AE177" s="629">
        <f t="shared" si="9"/>
        <v>0</v>
      </c>
      <c r="AF177" s="634">
        <f t="shared" si="10"/>
        <v>0</v>
      </c>
      <c r="AG177" s="43">
        <f t="shared" si="11"/>
        <v>0</v>
      </c>
      <c r="AH177" s="7">
        <f t="shared" si="12"/>
        <v>0</v>
      </c>
      <c r="AI177" s="7">
        <f t="shared" si="13"/>
        <v>0</v>
      </c>
      <c r="AJ177" s="7">
        <f t="shared" si="14"/>
        <v>0</v>
      </c>
      <c r="AK177" s="7">
        <f t="shared" si="15"/>
        <v>0</v>
      </c>
      <c r="AL177" s="7">
        <f t="shared" si="16"/>
        <v>0</v>
      </c>
      <c r="AM177" s="7">
        <f t="shared" si="17"/>
        <v>0</v>
      </c>
      <c r="AN177" s="7">
        <f t="shared" si="18"/>
        <v>0</v>
      </c>
      <c r="AO177" s="7">
        <f t="shared" si="19"/>
        <v>0</v>
      </c>
      <c r="AP177" s="7">
        <f t="shared" si="20"/>
        <v>0</v>
      </c>
      <c r="AQ177" s="7">
        <f t="shared" si="21"/>
        <v>0</v>
      </c>
      <c r="AR177" s="7">
        <f t="shared" si="22"/>
        <v>0</v>
      </c>
      <c r="AS177" s="7">
        <f t="shared" si="23"/>
        <v>0</v>
      </c>
      <c r="AT177" s="7">
        <f t="shared" si="24"/>
        <v>0</v>
      </c>
      <c r="AU177" s="7">
        <f t="shared" si="25"/>
        <v>0</v>
      </c>
      <c r="AV177" s="7">
        <f t="shared" si="26"/>
        <v>0</v>
      </c>
      <c r="AW177" s="7">
        <f t="shared" si="27"/>
        <v>0</v>
      </c>
      <c r="AX177" s="7">
        <f t="shared" si="28"/>
        <v>0</v>
      </c>
      <c r="AY177" s="7">
        <f t="shared" si="29"/>
        <v>0</v>
      </c>
      <c r="AZ177" s="7">
        <f>IF(OR(ISERROR(+#REF!/($D177+$E177-$G177)*$G177+#REF!),LEFT(X177,1)="x"),0,+#REF!/($D177+$E177-$G177)*$G177+#REF!)</f>
        <v>0</v>
      </c>
      <c r="BA177" s="7">
        <f>IF(OR(ISERROR(+#REF!/($D177+$E177-$G177)*$G177+#REF!),LEFT(Z177,1)="x"),0,+#REF!/($D177+$E177-$G177)*$G177+#REF!)</f>
        <v>0</v>
      </c>
      <c r="BB177" s="7" t="e">
        <f>IF(OR(ISERROR(+#REF!/($D177+$E177-$G177)*$G177+#REF!),LEFT(#REF!,1)="x"),0,+#REF!/($D177+$E177-$G177)*$G177+#REF!)</f>
        <v>#REF!</v>
      </c>
      <c r="BC177" s="7" t="e">
        <f>IF(OR(ISERROR(+AA177/($D177+$E177-$G177)*$G177+AA177),LEFT(#REF!,1)="x"),0,+AA177/($D177+$E177-$G177)*$G177+AA177)</f>
        <v>#REF!</v>
      </c>
      <c r="BD177" s="7" t="e">
        <f>IF(OR(ISERROR(+AB177/($D177+$E177-$G177)*$G177+AB177),LEFT(#REF!,1)="x"),0,+AB177/($D177+$E177-$G177)*$G177+AB177)</f>
        <v>#REF!</v>
      </c>
      <c r="BE177" s="7">
        <f t="shared" si="30"/>
        <v>0</v>
      </c>
    </row>
    <row r="178" spans="1:57" hidden="1">
      <c r="A178" s="555"/>
      <c r="B178" s="604"/>
      <c r="C178" s="607"/>
      <c r="D178" s="608"/>
      <c r="E178" s="608"/>
      <c r="F178" s="609"/>
      <c r="G178" s="609"/>
      <c r="H178" s="603"/>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8"/>
        <v>0</v>
      </c>
      <c r="AE178" s="629">
        <f t="shared" si="9"/>
        <v>0</v>
      </c>
      <c r="AF178" s="634">
        <f t="shared" si="10"/>
        <v>0</v>
      </c>
      <c r="AG178" s="43">
        <f t="shared" si="11"/>
        <v>0</v>
      </c>
      <c r="AH178" s="7">
        <f t="shared" si="12"/>
        <v>0</v>
      </c>
      <c r="AI178" s="7">
        <f t="shared" si="13"/>
        <v>0</v>
      </c>
      <c r="AJ178" s="7">
        <f t="shared" si="14"/>
        <v>0</v>
      </c>
      <c r="AK178" s="7">
        <f t="shared" si="15"/>
        <v>0</v>
      </c>
      <c r="AL178" s="7">
        <f t="shared" si="16"/>
        <v>0</v>
      </c>
      <c r="AM178" s="7">
        <f t="shared" si="17"/>
        <v>0</v>
      </c>
      <c r="AN178" s="7">
        <f t="shared" si="18"/>
        <v>0</v>
      </c>
      <c r="AO178" s="7">
        <f t="shared" si="19"/>
        <v>0</v>
      </c>
      <c r="AP178" s="7">
        <f t="shared" si="20"/>
        <v>0</v>
      </c>
      <c r="AQ178" s="7">
        <f t="shared" si="21"/>
        <v>0</v>
      </c>
      <c r="AR178" s="7">
        <f t="shared" si="22"/>
        <v>0</v>
      </c>
      <c r="AS178" s="7">
        <f t="shared" si="23"/>
        <v>0</v>
      </c>
      <c r="AT178" s="7">
        <f t="shared" si="24"/>
        <v>0</v>
      </c>
      <c r="AU178" s="7">
        <f t="shared" si="25"/>
        <v>0</v>
      </c>
      <c r="AV178" s="7">
        <f t="shared" si="26"/>
        <v>0</v>
      </c>
      <c r="AW178" s="7">
        <f t="shared" si="27"/>
        <v>0</v>
      </c>
      <c r="AX178" s="7">
        <f t="shared" si="28"/>
        <v>0</v>
      </c>
      <c r="AY178" s="7">
        <f t="shared" si="29"/>
        <v>0</v>
      </c>
      <c r="AZ178" s="7">
        <f>IF(OR(ISERROR(+#REF!/($D178+$E178-$G178)*$G178+#REF!),LEFT(X178,1)="x"),0,+#REF!/($D178+$E178-$G178)*$G178+#REF!)</f>
        <v>0</v>
      </c>
      <c r="BA178" s="7">
        <f>IF(OR(ISERROR(+#REF!/($D178+$E178-$G178)*$G178+#REF!),LEFT(Z178,1)="x"),0,+#REF!/($D178+$E178-$G178)*$G178+#REF!)</f>
        <v>0</v>
      </c>
      <c r="BB178" s="7" t="e">
        <f>IF(OR(ISERROR(+#REF!/($D178+$E178-$G178)*$G178+#REF!),LEFT(#REF!,1)="x"),0,+#REF!/($D178+$E178-$G178)*$G178+#REF!)</f>
        <v>#REF!</v>
      </c>
      <c r="BC178" s="7" t="e">
        <f>IF(OR(ISERROR(+AA178/($D178+$E178-$G178)*$G178+AA178),LEFT(#REF!,1)="x"),0,+AA178/($D178+$E178-$G178)*$G178+AA178)</f>
        <v>#REF!</v>
      </c>
      <c r="BD178" s="7" t="e">
        <f>IF(OR(ISERROR(+AB178/($D178+$E178-$G178)*$G178+AB178),LEFT(#REF!,1)="x"),0,+AB178/($D178+$E178-$G178)*$G178+AB178)</f>
        <v>#REF!</v>
      </c>
      <c r="BE178" s="7">
        <f t="shared" si="30"/>
        <v>0</v>
      </c>
    </row>
    <row r="179" spans="1:57" hidden="1">
      <c r="A179" s="555"/>
      <c r="B179" s="604"/>
      <c r="C179" s="607"/>
      <c r="D179" s="608"/>
      <c r="E179" s="608"/>
      <c r="F179" s="609"/>
      <c r="G179" s="609"/>
      <c r="H179" s="603"/>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8"/>
        <v>0</v>
      </c>
      <c r="AE179" s="629">
        <f t="shared" si="9"/>
        <v>0</v>
      </c>
      <c r="AF179" s="634">
        <f t="shared" si="10"/>
        <v>0</v>
      </c>
      <c r="AG179" s="43">
        <f t="shared" si="11"/>
        <v>0</v>
      </c>
      <c r="AH179" s="7">
        <f t="shared" si="12"/>
        <v>0</v>
      </c>
      <c r="AI179" s="7">
        <f t="shared" si="13"/>
        <v>0</v>
      </c>
      <c r="AJ179" s="7">
        <f t="shared" si="14"/>
        <v>0</v>
      </c>
      <c r="AK179" s="7">
        <f t="shared" si="15"/>
        <v>0</v>
      </c>
      <c r="AL179" s="7">
        <f t="shared" si="16"/>
        <v>0</v>
      </c>
      <c r="AM179" s="7">
        <f t="shared" si="17"/>
        <v>0</v>
      </c>
      <c r="AN179" s="7">
        <f t="shared" si="18"/>
        <v>0</v>
      </c>
      <c r="AO179" s="7">
        <f t="shared" si="19"/>
        <v>0</v>
      </c>
      <c r="AP179" s="7">
        <f t="shared" si="20"/>
        <v>0</v>
      </c>
      <c r="AQ179" s="7">
        <f t="shared" si="21"/>
        <v>0</v>
      </c>
      <c r="AR179" s="7">
        <f t="shared" si="22"/>
        <v>0</v>
      </c>
      <c r="AS179" s="7">
        <f t="shared" si="23"/>
        <v>0</v>
      </c>
      <c r="AT179" s="7">
        <f t="shared" si="24"/>
        <v>0</v>
      </c>
      <c r="AU179" s="7">
        <f t="shared" si="25"/>
        <v>0</v>
      </c>
      <c r="AV179" s="7">
        <f t="shared" si="26"/>
        <v>0</v>
      </c>
      <c r="AW179" s="7">
        <f t="shared" si="27"/>
        <v>0</v>
      </c>
      <c r="AX179" s="7">
        <f t="shared" si="28"/>
        <v>0</v>
      </c>
      <c r="AY179" s="7">
        <f t="shared" si="29"/>
        <v>0</v>
      </c>
      <c r="AZ179" s="7">
        <f>IF(OR(ISERROR(+#REF!/($D179+$E179-$G179)*$G179+#REF!),LEFT(X179,1)="x"),0,+#REF!/($D179+$E179-$G179)*$G179+#REF!)</f>
        <v>0</v>
      </c>
      <c r="BA179" s="7">
        <f>IF(OR(ISERROR(+#REF!/($D179+$E179-$G179)*$G179+#REF!),LEFT(Z179,1)="x"),0,+#REF!/($D179+$E179-$G179)*$G179+#REF!)</f>
        <v>0</v>
      </c>
      <c r="BB179" s="7" t="e">
        <f>IF(OR(ISERROR(+#REF!/($D179+$E179-$G179)*$G179+#REF!),LEFT(#REF!,1)="x"),0,+#REF!/($D179+$E179-$G179)*$G179+#REF!)</f>
        <v>#REF!</v>
      </c>
      <c r="BC179" s="7" t="e">
        <f>IF(OR(ISERROR(+AA179/($D179+$E179-$G179)*$G179+AA179),LEFT(#REF!,1)="x"),0,+AA179/($D179+$E179-$G179)*$G179+AA179)</f>
        <v>#REF!</v>
      </c>
      <c r="BD179" s="7" t="e">
        <f>IF(OR(ISERROR(+AB179/($D179+$E179-$G179)*$G179+AB179),LEFT(#REF!,1)="x"),0,+AB179/($D179+$E179-$G179)*$G179+AB179)</f>
        <v>#REF!</v>
      </c>
      <c r="BE179" s="7">
        <f t="shared" si="30"/>
        <v>0</v>
      </c>
    </row>
    <row r="180" spans="1:57" hidden="1">
      <c r="A180" s="555"/>
      <c r="B180" s="604"/>
      <c r="C180" s="607"/>
      <c r="D180" s="608"/>
      <c r="E180" s="608"/>
      <c r="F180" s="609"/>
      <c r="G180" s="609"/>
      <c r="H180" s="585"/>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8"/>
        <v>0</v>
      </c>
      <c r="AE180" s="629">
        <f t="shared" si="9"/>
        <v>0</v>
      </c>
      <c r="AF180" s="634">
        <f t="shared" si="10"/>
        <v>0</v>
      </c>
      <c r="AG180" s="43">
        <f t="shared" si="11"/>
        <v>0</v>
      </c>
      <c r="AH180" s="7">
        <f t="shared" ref="AH180:AV180" si="31">IF(OR(ISERROR(+H180/($D180+$E180-$G180)*$G180+H180),LEFT(F180,1)="x"),0,+H180/($D180+$E180-$G180)*$G180+H180)</f>
        <v>0</v>
      </c>
      <c r="AI180" s="7">
        <f t="shared" si="31"/>
        <v>0</v>
      </c>
      <c r="AJ180" s="7">
        <f t="shared" si="31"/>
        <v>0</v>
      </c>
      <c r="AK180" s="7">
        <f t="shared" si="31"/>
        <v>0</v>
      </c>
      <c r="AL180" s="7">
        <f t="shared" si="31"/>
        <v>0</v>
      </c>
      <c r="AM180" s="7">
        <f t="shared" si="31"/>
        <v>0</v>
      </c>
      <c r="AN180" s="7">
        <f t="shared" si="31"/>
        <v>0</v>
      </c>
      <c r="AO180" s="7">
        <f t="shared" si="31"/>
        <v>0</v>
      </c>
      <c r="AP180" s="7">
        <f t="shared" si="31"/>
        <v>0</v>
      </c>
      <c r="AQ180" s="7">
        <f t="shared" si="31"/>
        <v>0</v>
      </c>
      <c r="AR180" s="7">
        <f t="shared" si="31"/>
        <v>0</v>
      </c>
      <c r="AS180" s="7">
        <f t="shared" si="31"/>
        <v>0</v>
      </c>
      <c r="AT180" s="7">
        <f t="shared" si="31"/>
        <v>0</v>
      </c>
      <c r="AU180" s="7">
        <f t="shared" si="31"/>
        <v>0</v>
      </c>
      <c r="AV180" s="7">
        <f t="shared" si="31"/>
        <v>0</v>
      </c>
      <c r="AW180" s="7">
        <f t="shared" ref="AW180:AW200" si="32">IF(OR(ISERROR(+W180/($D180+$E180-$G180)*$G180+W180),LEFT(U180,1)="x"),0,+W180/($D180+$E180-$G180)*$G180+W180)</f>
        <v>0</v>
      </c>
      <c r="AX180" s="7">
        <f t="shared" ref="AX180:AX200" si="33">IF(OR(ISERROR(+X180/($D180+$E180-$G180)*$G180+X180),LEFT(V180,1)="x"),0,+X180/($D180+$E180-$G180)*$G180+X180)</f>
        <v>0</v>
      </c>
      <c r="AY180" s="7">
        <f t="shared" si="29"/>
        <v>0</v>
      </c>
      <c r="AZ180" s="7">
        <f>IF(OR(ISERROR(+#REF!/($D180+$E180-$G180)*$G180+#REF!),LEFT(X180,1)="x"),0,+#REF!/($D180+$E180-$G180)*$G180+#REF!)</f>
        <v>0</v>
      </c>
      <c r="BA180" s="7">
        <f>IF(OR(ISERROR(+#REF!/($D180+$E180-$G180)*$G180+#REF!),LEFT(Z180,1)="x"),0,+#REF!/($D180+$E180-$G180)*$G180+#REF!)</f>
        <v>0</v>
      </c>
      <c r="BB180" s="7" t="e">
        <f>IF(OR(ISERROR(+#REF!/($D180+$E180-$G180)*$G180+#REF!),LEFT(#REF!,1)="x"),0,+#REF!/($D180+$E180-$G180)*$G180+#REF!)</f>
        <v>#REF!</v>
      </c>
      <c r="BC180" s="7" t="e">
        <f>IF(OR(ISERROR(+AA180/($D180+$E180-$G180)*$G180+AA180),LEFT(#REF!,1)="x"),0,+AA180/($D180+$E180-$G180)*$G180+AA180)</f>
        <v>#REF!</v>
      </c>
      <c r="BD180" s="7" t="e">
        <f>IF(OR(ISERROR(+AB180/($D180+$E180-$G180)*$G180+AB180),LEFT(#REF!,1)="x"),0,+AB180/($D180+$E180-$G180)*$G180+AB180)</f>
        <v>#REF!</v>
      </c>
      <c r="BE180" s="7">
        <f t="shared" si="30"/>
        <v>0</v>
      </c>
    </row>
    <row r="181" spans="1:57" hidden="1">
      <c r="A181" s="555"/>
      <c r="B181" s="604"/>
      <c r="C181" s="607"/>
      <c r="D181" s="608"/>
      <c r="E181" s="608"/>
      <c r="F181" s="609"/>
      <c r="G181" s="609"/>
      <c r="H181" s="585"/>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8"/>
        <v>0</v>
      </c>
      <c r="AE181" s="629">
        <f t="shared" si="9"/>
        <v>0</v>
      </c>
      <c r="AF181" s="634">
        <f t="shared" si="10"/>
        <v>0</v>
      </c>
      <c r="AG181" s="43">
        <f t="shared" si="11"/>
        <v>0</v>
      </c>
      <c r="AH181" s="7">
        <f t="shared" ref="AH181:AV197" si="34">IF(OR(ISERROR(+H181/($D181+$E181-$G181)*$G181+H181),LEFT(F181,1)="x"),0,+H181/($D181+$E181-$G181)*$G181+H181)</f>
        <v>0</v>
      </c>
      <c r="AI181" s="7">
        <f t="shared" si="34"/>
        <v>0</v>
      </c>
      <c r="AJ181" s="7">
        <f t="shared" si="34"/>
        <v>0</v>
      </c>
      <c r="AK181" s="7">
        <f t="shared" si="34"/>
        <v>0</v>
      </c>
      <c r="AL181" s="7">
        <f t="shared" si="34"/>
        <v>0</v>
      </c>
      <c r="AM181" s="7">
        <f t="shared" si="34"/>
        <v>0</v>
      </c>
      <c r="AN181" s="7">
        <f t="shared" si="34"/>
        <v>0</v>
      </c>
      <c r="AO181" s="7">
        <f t="shared" si="34"/>
        <v>0</v>
      </c>
      <c r="AP181" s="7">
        <f t="shared" si="34"/>
        <v>0</v>
      </c>
      <c r="AQ181" s="7">
        <f t="shared" si="34"/>
        <v>0</v>
      </c>
      <c r="AR181" s="7">
        <f t="shared" si="34"/>
        <v>0</v>
      </c>
      <c r="AS181" s="7">
        <f t="shared" si="34"/>
        <v>0</v>
      </c>
      <c r="AT181" s="7">
        <f t="shared" si="34"/>
        <v>0</v>
      </c>
      <c r="AU181" s="7">
        <f t="shared" si="34"/>
        <v>0</v>
      </c>
      <c r="AV181" s="7">
        <f t="shared" si="34"/>
        <v>0</v>
      </c>
      <c r="AW181" s="7">
        <f t="shared" si="32"/>
        <v>0</v>
      </c>
      <c r="AX181" s="7">
        <f t="shared" si="33"/>
        <v>0</v>
      </c>
      <c r="AY181" s="7">
        <f t="shared" si="29"/>
        <v>0</v>
      </c>
      <c r="AZ181" s="7">
        <f>IF(OR(ISERROR(+#REF!/($D181+$E181-$G181)*$G181+#REF!),LEFT(X181,1)="x"),0,+#REF!/($D181+$E181-$G181)*$G181+#REF!)</f>
        <v>0</v>
      </c>
      <c r="BA181" s="7">
        <f>IF(OR(ISERROR(+#REF!/($D181+$E181-$G181)*$G181+#REF!),LEFT(Z181,1)="x"),0,+#REF!/($D181+$E181-$G181)*$G181+#REF!)</f>
        <v>0</v>
      </c>
      <c r="BB181" s="7" t="e">
        <f>IF(OR(ISERROR(+#REF!/($D181+$E181-$G181)*$G181+#REF!),LEFT(#REF!,1)="x"),0,+#REF!/($D181+$E181-$G181)*$G181+#REF!)</f>
        <v>#REF!</v>
      </c>
      <c r="BC181" s="7" t="e">
        <f>IF(OR(ISERROR(+AA181/($D181+$E181-$G181)*$G181+AA181),LEFT(#REF!,1)="x"),0,+AA181/($D181+$E181-$G181)*$G181+AA181)</f>
        <v>#REF!</v>
      </c>
      <c r="BD181" s="7" t="e">
        <f>IF(OR(ISERROR(+AB181/($D181+$E181-$G181)*$G181+AB181),LEFT(#REF!,1)="x"),0,+AB181/($D181+$E181-$G181)*$G181+AB181)</f>
        <v>#REF!</v>
      </c>
      <c r="BE181" s="7">
        <f t="shared" si="30"/>
        <v>0</v>
      </c>
    </row>
    <row r="182" spans="1:57" hidden="1">
      <c r="A182" s="555"/>
      <c r="B182" s="604"/>
      <c r="C182" s="607"/>
      <c r="D182" s="608"/>
      <c r="E182" s="608"/>
      <c r="F182" s="609"/>
      <c r="G182" s="609"/>
      <c r="H182" s="585"/>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8"/>
        <v>0</v>
      </c>
      <c r="AE182" s="629">
        <f t="shared" si="9"/>
        <v>0</v>
      </c>
      <c r="AF182" s="634">
        <f t="shared" si="10"/>
        <v>0</v>
      </c>
      <c r="AG182" s="43">
        <f t="shared" si="11"/>
        <v>0</v>
      </c>
      <c r="AH182" s="7">
        <f t="shared" si="34"/>
        <v>0</v>
      </c>
      <c r="AI182" s="7">
        <f t="shared" si="34"/>
        <v>0</v>
      </c>
      <c r="AJ182" s="7">
        <f t="shared" si="34"/>
        <v>0</v>
      </c>
      <c r="AK182" s="7">
        <f t="shared" si="34"/>
        <v>0</v>
      </c>
      <c r="AL182" s="7">
        <f t="shared" si="34"/>
        <v>0</v>
      </c>
      <c r="AM182" s="7">
        <f t="shared" si="34"/>
        <v>0</v>
      </c>
      <c r="AN182" s="7">
        <f t="shared" si="34"/>
        <v>0</v>
      </c>
      <c r="AO182" s="7">
        <f t="shared" si="34"/>
        <v>0</v>
      </c>
      <c r="AP182" s="7">
        <f t="shared" si="34"/>
        <v>0</v>
      </c>
      <c r="AQ182" s="7">
        <f t="shared" si="34"/>
        <v>0</v>
      </c>
      <c r="AR182" s="7">
        <f t="shared" si="34"/>
        <v>0</v>
      </c>
      <c r="AS182" s="7">
        <f t="shared" si="34"/>
        <v>0</v>
      </c>
      <c r="AT182" s="7">
        <f t="shared" si="34"/>
        <v>0</v>
      </c>
      <c r="AU182" s="7">
        <f t="shared" si="34"/>
        <v>0</v>
      </c>
      <c r="AV182" s="7">
        <f t="shared" si="34"/>
        <v>0</v>
      </c>
      <c r="AW182" s="7">
        <f t="shared" si="32"/>
        <v>0</v>
      </c>
      <c r="AX182" s="7">
        <f t="shared" si="33"/>
        <v>0</v>
      </c>
      <c r="AY182" s="7">
        <f t="shared" si="29"/>
        <v>0</v>
      </c>
      <c r="AZ182" s="7">
        <f>IF(OR(ISERROR(+#REF!/($D182+$E182-$G182)*$G182+#REF!),LEFT(X182,1)="x"),0,+#REF!/($D182+$E182-$G182)*$G182+#REF!)</f>
        <v>0</v>
      </c>
      <c r="BA182" s="7">
        <f>IF(OR(ISERROR(+#REF!/($D182+$E182-$G182)*$G182+#REF!),LEFT(Z182,1)="x"),0,+#REF!/($D182+$E182-$G182)*$G182+#REF!)</f>
        <v>0</v>
      </c>
      <c r="BB182" s="7" t="e">
        <f>IF(OR(ISERROR(+#REF!/($D182+$E182-$G182)*$G182+#REF!),LEFT(#REF!,1)="x"),0,+#REF!/($D182+$E182-$G182)*$G182+#REF!)</f>
        <v>#REF!</v>
      </c>
      <c r="BC182" s="7" t="e">
        <f>IF(OR(ISERROR(+AA182/($D182+$E182-$G182)*$G182+AA182),LEFT(#REF!,1)="x"),0,+AA182/($D182+$E182-$G182)*$G182+AA182)</f>
        <v>#REF!</v>
      </c>
      <c r="BD182" s="7" t="e">
        <f>IF(OR(ISERROR(+AB182/($D182+$E182-$G182)*$G182+AB182),LEFT(#REF!,1)="x"),0,+AB182/($D182+$E182-$G182)*$G182+AB182)</f>
        <v>#REF!</v>
      </c>
      <c r="BE182" s="7">
        <f t="shared" si="30"/>
        <v>0</v>
      </c>
    </row>
    <row r="183" spans="1:57" hidden="1">
      <c r="A183" s="555"/>
      <c r="B183" s="604"/>
      <c r="C183" s="607"/>
      <c r="D183" s="608"/>
      <c r="E183" s="608"/>
      <c r="F183" s="609"/>
      <c r="G183" s="609"/>
      <c r="H183" s="585"/>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8"/>
        <v>0</v>
      </c>
      <c r="AE183" s="629">
        <f t="shared" si="9"/>
        <v>0</v>
      </c>
      <c r="AF183" s="634">
        <f t="shared" si="10"/>
        <v>0</v>
      </c>
      <c r="AG183" s="43">
        <f t="shared" si="11"/>
        <v>0</v>
      </c>
      <c r="AH183" s="7">
        <f t="shared" si="34"/>
        <v>0</v>
      </c>
      <c r="AI183" s="7">
        <f t="shared" si="34"/>
        <v>0</v>
      </c>
      <c r="AJ183" s="7">
        <f t="shared" si="34"/>
        <v>0</v>
      </c>
      <c r="AK183" s="7">
        <f t="shared" si="34"/>
        <v>0</v>
      </c>
      <c r="AL183" s="7">
        <f t="shared" si="34"/>
        <v>0</v>
      </c>
      <c r="AM183" s="7">
        <f t="shared" si="34"/>
        <v>0</v>
      </c>
      <c r="AN183" s="7">
        <f t="shared" si="34"/>
        <v>0</v>
      </c>
      <c r="AO183" s="7">
        <f t="shared" si="34"/>
        <v>0</v>
      </c>
      <c r="AP183" s="7">
        <f t="shared" si="34"/>
        <v>0</v>
      </c>
      <c r="AQ183" s="7">
        <f t="shared" si="34"/>
        <v>0</v>
      </c>
      <c r="AR183" s="7">
        <f t="shared" si="34"/>
        <v>0</v>
      </c>
      <c r="AS183" s="7">
        <f t="shared" si="34"/>
        <v>0</v>
      </c>
      <c r="AT183" s="7">
        <f t="shared" si="34"/>
        <v>0</v>
      </c>
      <c r="AU183" s="7">
        <f t="shared" si="34"/>
        <v>0</v>
      </c>
      <c r="AV183" s="7">
        <f t="shared" si="34"/>
        <v>0</v>
      </c>
      <c r="AW183" s="7">
        <f t="shared" si="32"/>
        <v>0</v>
      </c>
      <c r="AX183" s="7">
        <f t="shared" si="33"/>
        <v>0</v>
      </c>
      <c r="AY183" s="7">
        <f t="shared" si="29"/>
        <v>0</v>
      </c>
      <c r="AZ183" s="7">
        <f>IF(OR(ISERROR(+#REF!/($D183+$E183-$G183)*$G183+#REF!),LEFT(X183,1)="x"),0,+#REF!/($D183+$E183-$G183)*$G183+#REF!)</f>
        <v>0</v>
      </c>
      <c r="BA183" s="7">
        <f>IF(OR(ISERROR(+#REF!/($D183+$E183-$G183)*$G183+#REF!),LEFT(Z183,1)="x"),0,+#REF!/($D183+$E183-$G183)*$G183+#REF!)</f>
        <v>0</v>
      </c>
      <c r="BB183" s="7" t="e">
        <f>IF(OR(ISERROR(+#REF!/($D183+$E183-$G183)*$G183+#REF!),LEFT(#REF!,1)="x"),0,+#REF!/($D183+$E183-$G183)*$G183+#REF!)</f>
        <v>#REF!</v>
      </c>
      <c r="BC183" s="7" t="e">
        <f>IF(OR(ISERROR(+AA183/($D183+$E183-$G183)*$G183+AA183),LEFT(#REF!,1)="x"),0,+AA183/($D183+$E183-$G183)*$G183+AA183)</f>
        <v>#REF!</v>
      </c>
      <c r="BD183" s="7" t="e">
        <f>IF(OR(ISERROR(+AB183/($D183+$E183-$G183)*$G183+AB183),LEFT(#REF!,1)="x"),0,+AB183/($D183+$E183-$G183)*$G183+AB183)</f>
        <v>#REF!</v>
      </c>
      <c r="BE183" s="7">
        <f t="shared" si="30"/>
        <v>0</v>
      </c>
    </row>
    <row r="184" spans="1:57" hidden="1">
      <c r="A184" s="555"/>
      <c r="B184" s="604"/>
      <c r="C184" s="607"/>
      <c r="D184" s="608"/>
      <c r="E184" s="608"/>
      <c r="F184" s="609"/>
      <c r="G184" s="609"/>
      <c r="H184" s="585"/>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8"/>
        <v>0</v>
      </c>
      <c r="AE184" s="629">
        <f t="shared" si="9"/>
        <v>0</v>
      </c>
      <c r="AF184" s="634">
        <f t="shared" si="10"/>
        <v>0</v>
      </c>
      <c r="AG184" s="43">
        <f t="shared" si="11"/>
        <v>0</v>
      </c>
      <c r="AH184" s="7">
        <f t="shared" si="34"/>
        <v>0</v>
      </c>
      <c r="AI184" s="7">
        <f t="shared" si="34"/>
        <v>0</v>
      </c>
      <c r="AJ184" s="7">
        <f t="shared" si="34"/>
        <v>0</v>
      </c>
      <c r="AK184" s="7">
        <f t="shared" si="34"/>
        <v>0</v>
      </c>
      <c r="AL184" s="7">
        <f t="shared" si="34"/>
        <v>0</v>
      </c>
      <c r="AM184" s="7">
        <f t="shared" si="34"/>
        <v>0</v>
      </c>
      <c r="AN184" s="7">
        <f t="shared" si="34"/>
        <v>0</v>
      </c>
      <c r="AO184" s="7">
        <f t="shared" si="34"/>
        <v>0</v>
      </c>
      <c r="AP184" s="7">
        <f t="shared" si="34"/>
        <v>0</v>
      </c>
      <c r="AQ184" s="7">
        <f t="shared" si="34"/>
        <v>0</v>
      </c>
      <c r="AR184" s="7">
        <f t="shared" si="34"/>
        <v>0</v>
      </c>
      <c r="AS184" s="7">
        <f t="shared" si="34"/>
        <v>0</v>
      </c>
      <c r="AT184" s="7">
        <f t="shared" si="34"/>
        <v>0</v>
      </c>
      <c r="AU184" s="7">
        <f t="shared" si="34"/>
        <v>0</v>
      </c>
      <c r="AV184" s="7">
        <f t="shared" si="34"/>
        <v>0</v>
      </c>
      <c r="AW184" s="7">
        <f t="shared" si="32"/>
        <v>0</v>
      </c>
      <c r="AX184" s="7">
        <f t="shared" si="33"/>
        <v>0</v>
      </c>
      <c r="AY184" s="7">
        <f t="shared" si="29"/>
        <v>0</v>
      </c>
      <c r="AZ184" s="7">
        <f>IF(OR(ISERROR(+#REF!/($D184+$E184-$G184)*$G184+#REF!),LEFT(X184,1)="x"),0,+#REF!/($D184+$E184-$G184)*$G184+#REF!)</f>
        <v>0</v>
      </c>
      <c r="BA184" s="7">
        <f>IF(OR(ISERROR(+#REF!/($D184+$E184-$G184)*$G184+#REF!),LEFT(Z184,1)="x"),0,+#REF!/($D184+$E184-$G184)*$G184+#REF!)</f>
        <v>0</v>
      </c>
      <c r="BB184" s="7" t="e">
        <f>IF(OR(ISERROR(+#REF!/($D184+$E184-$G184)*$G184+#REF!),LEFT(#REF!,1)="x"),0,+#REF!/($D184+$E184-$G184)*$G184+#REF!)</f>
        <v>#REF!</v>
      </c>
      <c r="BC184" s="7" t="e">
        <f>IF(OR(ISERROR(+AA184/($D184+$E184-$G184)*$G184+AA184),LEFT(#REF!,1)="x"),0,+AA184/($D184+$E184-$G184)*$G184+AA184)</f>
        <v>#REF!</v>
      </c>
      <c r="BD184" s="7" t="e">
        <f>IF(OR(ISERROR(+AB184/($D184+$E184-$G184)*$G184+AB184),LEFT(#REF!,1)="x"),0,+AB184/($D184+$E184-$G184)*$G184+AB184)</f>
        <v>#REF!</v>
      </c>
      <c r="BE184" s="7">
        <f t="shared" si="30"/>
        <v>0</v>
      </c>
    </row>
    <row r="185" spans="1:57" hidden="1">
      <c r="A185" s="555"/>
      <c r="B185" s="604"/>
      <c r="C185" s="607"/>
      <c r="D185" s="608"/>
      <c r="E185" s="608"/>
      <c r="F185" s="609"/>
      <c r="G185" s="609"/>
      <c r="H185" s="585"/>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8"/>
        <v>0</v>
      </c>
      <c r="AE185" s="629">
        <f t="shared" si="9"/>
        <v>0</v>
      </c>
      <c r="AF185" s="634">
        <f t="shared" si="10"/>
        <v>0</v>
      </c>
      <c r="AG185" s="43">
        <f t="shared" si="11"/>
        <v>0</v>
      </c>
      <c r="AH185" s="7">
        <f t="shared" si="34"/>
        <v>0</v>
      </c>
      <c r="AI185" s="7">
        <f t="shared" si="34"/>
        <v>0</v>
      </c>
      <c r="AJ185" s="7">
        <f t="shared" si="34"/>
        <v>0</v>
      </c>
      <c r="AK185" s="7">
        <f t="shared" si="34"/>
        <v>0</v>
      </c>
      <c r="AL185" s="7">
        <f t="shared" si="34"/>
        <v>0</v>
      </c>
      <c r="AM185" s="7">
        <f t="shared" si="34"/>
        <v>0</v>
      </c>
      <c r="AN185" s="7">
        <f t="shared" si="34"/>
        <v>0</v>
      </c>
      <c r="AO185" s="7">
        <f t="shared" si="34"/>
        <v>0</v>
      </c>
      <c r="AP185" s="7">
        <f t="shared" si="34"/>
        <v>0</v>
      </c>
      <c r="AQ185" s="7">
        <f t="shared" si="34"/>
        <v>0</v>
      </c>
      <c r="AR185" s="7">
        <f t="shared" si="34"/>
        <v>0</v>
      </c>
      <c r="AS185" s="7">
        <f t="shared" si="34"/>
        <v>0</v>
      </c>
      <c r="AT185" s="7">
        <f t="shared" si="34"/>
        <v>0</v>
      </c>
      <c r="AU185" s="7">
        <f t="shared" si="34"/>
        <v>0</v>
      </c>
      <c r="AV185" s="7">
        <f t="shared" si="34"/>
        <v>0</v>
      </c>
      <c r="AW185" s="7">
        <f t="shared" si="32"/>
        <v>0</v>
      </c>
      <c r="AX185" s="7">
        <f t="shared" si="33"/>
        <v>0</v>
      </c>
      <c r="AY185" s="7">
        <f t="shared" si="29"/>
        <v>0</v>
      </c>
      <c r="AZ185" s="7">
        <f>IF(OR(ISERROR(+#REF!/($D185+$E185-$G185)*$G185+#REF!),LEFT(X185,1)="x"),0,+#REF!/($D185+$E185-$G185)*$G185+#REF!)</f>
        <v>0</v>
      </c>
      <c r="BA185" s="7">
        <f>IF(OR(ISERROR(+#REF!/($D185+$E185-$G185)*$G185+#REF!),LEFT(Z185,1)="x"),0,+#REF!/($D185+$E185-$G185)*$G185+#REF!)</f>
        <v>0</v>
      </c>
      <c r="BB185" s="7" t="e">
        <f>IF(OR(ISERROR(+#REF!/($D185+$E185-$G185)*$G185+#REF!),LEFT(#REF!,1)="x"),0,+#REF!/($D185+$E185-$G185)*$G185+#REF!)</f>
        <v>#REF!</v>
      </c>
      <c r="BC185" s="7" t="e">
        <f>IF(OR(ISERROR(+AA185/($D185+$E185-$G185)*$G185+AA185),LEFT(#REF!,1)="x"),0,+AA185/($D185+$E185-$G185)*$G185+AA185)</f>
        <v>#REF!</v>
      </c>
      <c r="BD185" s="7" t="e">
        <f>IF(OR(ISERROR(+AB185/($D185+$E185-$G185)*$G185+AB185),LEFT(#REF!,1)="x"),0,+AB185/($D185+$E185-$G185)*$G185+AB185)</f>
        <v>#REF!</v>
      </c>
      <c r="BE185" s="7">
        <f t="shared" si="30"/>
        <v>0</v>
      </c>
    </row>
    <row r="186" spans="1:57" hidden="1">
      <c r="A186" s="555"/>
      <c r="B186" s="604"/>
      <c r="C186" s="607"/>
      <c r="D186" s="608"/>
      <c r="E186" s="608"/>
      <c r="F186" s="609"/>
      <c r="G186" s="609"/>
      <c r="H186" s="585"/>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8"/>
        <v>0</v>
      </c>
      <c r="AE186" s="629">
        <f t="shared" si="9"/>
        <v>0</v>
      </c>
      <c r="AF186" s="634">
        <f t="shared" si="10"/>
        <v>0</v>
      </c>
      <c r="AG186" s="43">
        <f t="shared" si="11"/>
        <v>0</v>
      </c>
      <c r="AH186" s="7">
        <f t="shared" si="34"/>
        <v>0</v>
      </c>
      <c r="AI186" s="7">
        <f t="shared" si="34"/>
        <v>0</v>
      </c>
      <c r="AJ186" s="7">
        <f t="shared" si="34"/>
        <v>0</v>
      </c>
      <c r="AK186" s="7">
        <f t="shared" si="34"/>
        <v>0</v>
      </c>
      <c r="AL186" s="7">
        <f t="shared" si="34"/>
        <v>0</v>
      </c>
      <c r="AM186" s="7">
        <f t="shared" si="34"/>
        <v>0</v>
      </c>
      <c r="AN186" s="7">
        <f t="shared" si="34"/>
        <v>0</v>
      </c>
      <c r="AO186" s="7">
        <f t="shared" si="34"/>
        <v>0</v>
      </c>
      <c r="AP186" s="7">
        <f t="shared" si="34"/>
        <v>0</v>
      </c>
      <c r="AQ186" s="7">
        <f t="shared" si="34"/>
        <v>0</v>
      </c>
      <c r="AR186" s="7">
        <f t="shared" si="34"/>
        <v>0</v>
      </c>
      <c r="AS186" s="7">
        <f t="shared" si="34"/>
        <v>0</v>
      </c>
      <c r="AT186" s="7">
        <f t="shared" si="34"/>
        <v>0</v>
      </c>
      <c r="AU186" s="7">
        <f t="shared" si="34"/>
        <v>0</v>
      </c>
      <c r="AV186" s="7">
        <f t="shared" si="34"/>
        <v>0</v>
      </c>
      <c r="AW186" s="7">
        <f t="shared" si="32"/>
        <v>0</v>
      </c>
      <c r="AX186" s="7">
        <f t="shared" si="33"/>
        <v>0</v>
      </c>
      <c r="AY186" s="7">
        <f t="shared" si="29"/>
        <v>0</v>
      </c>
      <c r="AZ186" s="7">
        <f>IF(OR(ISERROR(+#REF!/($D186+$E186-$G186)*$G186+#REF!),LEFT(X186,1)="x"),0,+#REF!/($D186+$E186-$G186)*$G186+#REF!)</f>
        <v>0</v>
      </c>
      <c r="BA186" s="7">
        <f>IF(OR(ISERROR(+#REF!/($D186+$E186-$G186)*$G186+#REF!),LEFT(Z186,1)="x"),0,+#REF!/($D186+$E186-$G186)*$G186+#REF!)</f>
        <v>0</v>
      </c>
      <c r="BB186" s="7" t="e">
        <f>IF(OR(ISERROR(+#REF!/($D186+$E186-$G186)*$G186+#REF!),LEFT(#REF!,1)="x"),0,+#REF!/($D186+$E186-$G186)*$G186+#REF!)</f>
        <v>#REF!</v>
      </c>
      <c r="BC186" s="7" t="e">
        <f>IF(OR(ISERROR(+AA186/($D186+$E186-$G186)*$G186+AA186),LEFT(#REF!,1)="x"),0,+AA186/($D186+$E186-$G186)*$G186+AA186)</f>
        <v>#REF!</v>
      </c>
      <c r="BD186" s="7" t="e">
        <f>IF(OR(ISERROR(+AB186/($D186+$E186-$G186)*$G186+AB186),LEFT(#REF!,1)="x"),0,+AB186/($D186+$E186-$G186)*$G186+AB186)</f>
        <v>#REF!</v>
      </c>
      <c r="BE186" s="7">
        <f t="shared" si="30"/>
        <v>0</v>
      </c>
    </row>
    <row r="187" spans="1:57" hidden="1">
      <c r="A187" s="555"/>
      <c r="B187" s="604"/>
      <c r="C187" s="607"/>
      <c r="D187" s="608"/>
      <c r="E187" s="608"/>
      <c r="F187" s="609"/>
      <c r="G187" s="609"/>
      <c r="H187" s="585"/>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8"/>
        <v>0</v>
      </c>
      <c r="AE187" s="629">
        <f t="shared" si="9"/>
        <v>0</v>
      </c>
      <c r="AF187" s="634">
        <f t="shared" si="10"/>
        <v>0</v>
      </c>
      <c r="AG187" s="43">
        <f t="shared" si="11"/>
        <v>0</v>
      </c>
      <c r="AH187" s="7">
        <f t="shared" si="34"/>
        <v>0</v>
      </c>
      <c r="AI187" s="7">
        <f t="shared" si="34"/>
        <v>0</v>
      </c>
      <c r="AJ187" s="7">
        <f t="shared" si="34"/>
        <v>0</v>
      </c>
      <c r="AK187" s="7">
        <f t="shared" si="34"/>
        <v>0</v>
      </c>
      <c r="AL187" s="7">
        <f t="shared" si="34"/>
        <v>0</v>
      </c>
      <c r="AM187" s="7">
        <f t="shared" si="34"/>
        <v>0</v>
      </c>
      <c r="AN187" s="7">
        <f t="shared" si="34"/>
        <v>0</v>
      </c>
      <c r="AO187" s="7">
        <f t="shared" si="34"/>
        <v>0</v>
      </c>
      <c r="AP187" s="7">
        <f t="shared" si="34"/>
        <v>0</v>
      </c>
      <c r="AQ187" s="7">
        <f t="shared" si="34"/>
        <v>0</v>
      </c>
      <c r="AR187" s="7">
        <f t="shared" si="34"/>
        <v>0</v>
      </c>
      <c r="AS187" s="7">
        <f t="shared" si="34"/>
        <v>0</v>
      </c>
      <c r="AT187" s="7">
        <f t="shared" si="34"/>
        <v>0</v>
      </c>
      <c r="AU187" s="7">
        <f t="shared" si="34"/>
        <v>0</v>
      </c>
      <c r="AV187" s="7">
        <f t="shared" si="34"/>
        <v>0</v>
      </c>
      <c r="AW187" s="7">
        <f t="shared" si="32"/>
        <v>0</v>
      </c>
      <c r="AX187" s="7">
        <f t="shared" si="33"/>
        <v>0</v>
      </c>
      <c r="AY187" s="7">
        <f t="shared" si="29"/>
        <v>0</v>
      </c>
      <c r="AZ187" s="7">
        <f>IF(OR(ISERROR(+#REF!/($D187+$E187-$G187)*$G187+#REF!),LEFT(X187,1)="x"),0,+#REF!/($D187+$E187-$G187)*$G187+#REF!)</f>
        <v>0</v>
      </c>
      <c r="BA187" s="7">
        <f>IF(OR(ISERROR(+#REF!/($D187+$E187-$G187)*$G187+#REF!),LEFT(Z187,1)="x"),0,+#REF!/($D187+$E187-$G187)*$G187+#REF!)</f>
        <v>0</v>
      </c>
      <c r="BB187" s="7" t="e">
        <f>IF(OR(ISERROR(+#REF!/($D187+$E187-$G187)*$G187+#REF!),LEFT(#REF!,1)="x"),0,+#REF!/($D187+$E187-$G187)*$G187+#REF!)</f>
        <v>#REF!</v>
      </c>
      <c r="BC187" s="7" t="e">
        <f>IF(OR(ISERROR(+AA187/($D187+$E187-$G187)*$G187+AA187),LEFT(#REF!,1)="x"),0,+AA187/($D187+$E187-$G187)*$G187+AA187)</f>
        <v>#REF!</v>
      </c>
      <c r="BD187" s="7" t="e">
        <f>IF(OR(ISERROR(+AB187/($D187+$E187-$G187)*$G187+AB187),LEFT(#REF!,1)="x"),0,+AB187/($D187+$E187-$G187)*$G187+AB187)</f>
        <v>#REF!</v>
      </c>
      <c r="BE187" s="7">
        <f t="shared" si="30"/>
        <v>0</v>
      </c>
    </row>
    <row r="188" spans="1:57" hidden="1">
      <c r="A188" s="555"/>
      <c r="B188" s="604"/>
      <c r="C188" s="607"/>
      <c r="D188" s="608"/>
      <c r="E188" s="608"/>
      <c r="F188" s="609"/>
      <c r="G188" s="609"/>
      <c r="H188" s="585"/>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8"/>
        <v>0</v>
      </c>
      <c r="AE188" s="629">
        <f t="shared" si="9"/>
        <v>0</v>
      </c>
      <c r="AF188" s="634">
        <f t="shared" si="10"/>
        <v>0</v>
      </c>
      <c r="AG188" s="43">
        <f t="shared" si="11"/>
        <v>0</v>
      </c>
      <c r="AH188" s="7">
        <f t="shared" si="34"/>
        <v>0</v>
      </c>
      <c r="AI188" s="7">
        <f t="shared" si="34"/>
        <v>0</v>
      </c>
      <c r="AJ188" s="7">
        <f t="shared" si="34"/>
        <v>0</v>
      </c>
      <c r="AK188" s="7">
        <f t="shared" si="34"/>
        <v>0</v>
      </c>
      <c r="AL188" s="7">
        <f t="shared" si="34"/>
        <v>0</v>
      </c>
      <c r="AM188" s="7">
        <f t="shared" si="34"/>
        <v>0</v>
      </c>
      <c r="AN188" s="7">
        <f t="shared" si="34"/>
        <v>0</v>
      </c>
      <c r="AO188" s="7">
        <f t="shared" si="34"/>
        <v>0</v>
      </c>
      <c r="AP188" s="7">
        <f t="shared" si="34"/>
        <v>0</v>
      </c>
      <c r="AQ188" s="7">
        <f t="shared" si="34"/>
        <v>0</v>
      </c>
      <c r="AR188" s="7">
        <f t="shared" si="34"/>
        <v>0</v>
      </c>
      <c r="AS188" s="7">
        <f t="shared" si="34"/>
        <v>0</v>
      </c>
      <c r="AT188" s="7">
        <f t="shared" si="34"/>
        <v>0</v>
      </c>
      <c r="AU188" s="7">
        <f t="shared" si="34"/>
        <v>0</v>
      </c>
      <c r="AV188" s="7">
        <f t="shared" si="34"/>
        <v>0</v>
      </c>
      <c r="AW188" s="7">
        <f t="shared" si="32"/>
        <v>0</v>
      </c>
      <c r="AX188" s="7">
        <f t="shared" si="33"/>
        <v>0</v>
      </c>
      <c r="AY188" s="7">
        <f t="shared" si="29"/>
        <v>0</v>
      </c>
      <c r="AZ188" s="7">
        <f>IF(OR(ISERROR(+#REF!/($D188+$E188-$G188)*$G188+#REF!),LEFT(X188,1)="x"),0,+#REF!/($D188+$E188-$G188)*$G188+#REF!)</f>
        <v>0</v>
      </c>
      <c r="BA188" s="7">
        <f>IF(OR(ISERROR(+#REF!/($D188+$E188-$G188)*$G188+#REF!),LEFT(Z188,1)="x"),0,+#REF!/($D188+$E188-$G188)*$G188+#REF!)</f>
        <v>0</v>
      </c>
      <c r="BB188" s="7" t="e">
        <f>IF(OR(ISERROR(+#REF!/($D188+$E188-$G188)*$G188+#REF!),LEFT(#REF!,1)="x"),0,+#REF!/($D188+$E188-$G188)*$G188+#REF!)</f>
        <v>#REF!</v>
      </c>
      <c r="BC188" s="7" t="e">
        <f>IF(OR(ISERROR(+AA188/($D188+$E188-$G188)*$G188+AA188),LEFT(#REF!,1)="x"),0,+AA188/($D188+$E188-$G188)*$G188+AA188)</f>
        <v>#REF!</v>
      </c>
      <c r="BD188" s="7" t="e">
        <f>IF(OR(ISERROR(+AB188/($D188+$E188-$G188)*$G188+AB188),LEFT(#REF!,1)="x"),0,+AB188/($D188+$E188-$G188)*$G188+AB188)</f>
        <v>#REF!</v>
      </c>
      <c r="BE188" s="7">
        <f t="shared" si="30"/>
        <v>0</v>
      </c>
    </row>
    <row r="189" spans="1:57" hidden="1">
      <c r="A189" s="555"/>
      <c r="B189" s="604"/>
      <c r="C189" s="607"/>
      <c r="D189" s="608"/>
      <c r="E189" s="608"/>
      <c r="F189" s="609"/>
      <c r="G189" s="609"/>
      <c r="H189" s="585"/>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8"/>
        <v>0</v>
      </c>
      <c r="AE189" s="629">
        <f t="shared" si="9"/>
        <v>0</v>
      </c>
      <c r="AF189" s="634">
        <f t="shared" si="10"/>
        <v>0</v>
      </c>
      <c r="AG189" s="43">
        <f t="shared" si="11"/>
        <v>0</v>
      </c>
      <c r="AH189" s="7">
        <f t="shared" si="34"/>
        <v>0</v>
      </c>
      <c r="AI189" s="7">
        <f t="shared" si="34"/>
        <v>0</v>
      </c>
      <c r="AJ189" s="7">
        <f t="shared" si="34"/>
        <v>0</v>
      </c>
      <c r="AK189" s="7">
        <f t="shared" si="34"/>
        <v>0</v>
      </c>
      <c r="AL189" s="7">
        <f t="shared" si="34"/>
        <v>0</v>
      </c>
      <c r="AM189" s="7">
        <f t="shared" si="34"/>
        <v>0</v>
      </c>
      <c r="AN189" s="7">
        <f t="shared" si="34"/>
        <v>0</v>
      </c>
      <c r="AO189" s="7">
        <f t="shared" si="34"/>
        <v>0</v>
      </c>
      <c r="AP189" s="7">
        <f t="shared" si="34"/>
        <v>0</v>
      </c>
      <c r="AQ189" s="7">
        <f t="shared" si="34"/>
        <v>0</v>
      </c>
      <c r="AR189" s="7">
        <f t="shared" si="34"/>
        <v>0</v>
      </c>
      <c r="AS189" s="7">
        <f t="shared" si="34"/>
        <v>0</v>
      </c>
      <c r="AT189" s="7">
        <f t="shared" si="34"/>
        <v>0</v>
      </c>
      <c r="AU189" s="7">
        <f t="shared" si="34"/>
        <v>0</v>
      </c>
      <c r="AV189" s="7">
        <f t="shared" si="34"/>
        <v>0</v>
      </c>
      <c r="AW189" s="7">
        <f t="shared" si="32"/>
        <v>0</v>
      </c>
      <c r="AX189" s="7">
        <f t="shared" si="33"/>
        <v>0</v>
      </c>
      <c r="AY189" s="7">
        <f t="shared" si="29"/>
        <v>0</v>
      </c>
      <c r="AZ189" s="7">
        <f>IF(OR(ISERROR(+#REF!/($D189+$E189-$G189)*$G189+#REF!),LEFT(X189,1)="x"),0,+#REF!/($D189+$E189-$G189)*$G189+#REF!)</f>
        <v>0</v>
      </c>
      <c r="BA189" s="7">
        <f>IF(OR(ISERROR(+#REF!/($D189+$E189-$G189)*$G189+#REF!),LEFT(Z189,1)="x"),0,+#REF!/($D189+$E189-$G189)*$G189+#REF!)</f>
        <v>0</v>
      </c>
      <c r="BB189" s="7" t="e">
        <f>IF(OR(ISERROR(+#REF!/($D189+$E189-$G189)*$G189+#REF!),LEFT(#REF!,1)="x"),0,+#REF!/($D189+$E189-$G189)*$G189+#REF!)</f>
        <v>#REF!</v>
      </c>
      <c r="BC189" s="7" t="e">
        <f>IF(OR(ISERROR(+AA189/($D189+$E189-$G189)*$G189+AA189),LEFT(#REF!,1)="x"),0,+AA189/($D189+$E189-$G189)*$G189+AA189)</f>
        <v>#REF!</v>
      </c>
      <c r="BD189" s="7" t="e">
        <f>IF(OR(ISERROR(+AB189/($D189+$E189-$G189)*$G189+AB189),LEFT(#REF!,1)="x"),0,+AB189/($D189+$E189-$G189)*$G189+AB189)</f>
        <v>#REF!</v>
      </c>
      <c r="BE189" s="7">
        <f t="shared" si="30"/>
        <v>0</v>
      </c>
    </row>
    <row r="190" spans="1:57" hidden="1">
      <c r="A190" s="555"/>
      <c r="B190" s="604"/>
      <c r="C190" s="607"/>
      <c r="D190" s="608"/>
      <c r="E190" s="608"/>
      <c r="F190" s="609"/>
      <c r="G190" s="609"/>
      <c r="H190" s="585"/>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8"/>
        <v>0</v>
      </c>
      <c r="AE190" s="629">
        <f t="shared" si="9"/>
        <v>0</v>
      </c>
      <c r="AF190" s="634">
        <f t="shared" si="10"/>
        <v>0</v>
      </c>
      <c r="AG190" s="43">
        <f t="shared" si="11"/>
        <v>0</v>
      </c>
      <c r="AH190" s="7">
        <f t="shared" si="34"/>
        <v>0</v>
      </c>
      <c r="AI190" s="7">
        <f t="shared" si="34"/>
        <v>0</v>
      </c>
      <c r="AJ190" s="7">
        <f t="shared" si="34"/>
        <v>0</v>
      </c>
      <c r="AK190" s="7">
        <f t="shared" si="34"/>
        <v>0</v>
      </c>
      <c r="AL190" s="7">
        <f t="shared" si="34"/>
        <v>0</v>
      </c>
      <c r="AM190" s="7">
        <f t="shared" si="34"/>
        <v>0</v>
      </c>
      <c r="AN190" s="7">
        <f t="shared" si="34"/>
        <v>0</v>
      </c>
      <c r="AO190" s="7">
        <f t="shared" si="34"/>
        <v>0</v>
      </c>
      <c r="AP190" s="7">
        <f t="shared" si="34"/>
        <v>0</v>
      </c>
      <c r="AQ190" s="7">
        <f t="shared" si="34"/>
        <v>0</v>
      </c>
      <c r="AR190" s="7">
        <f t="shared" si="34"/>
        <v>0</v>
      </c>
      <c r="AS190" s="7">
        <f t="shared" si="34"/>
        <v>0</v>
      </c>
      <c r="AT190" s="7">
        <f t="shared" si="34"/>
        <v>0</v>
      </c>
      <c r="AU190" s="7">
        <f t="shared" si="34"/>
        <v>0</v>
      </c>
      <c r="AV190" s="7">
        <f t="shared" si="34"/>
        <v>0</v>
      </c>
      <c r="AW190" s="7">
        <f t="shared" si="32"/>
        <v>0</v>
      </c>
      <c r="AX190" s="7">
        <f t="shared" si="33"/>
        <v>0</v>
      </c>
      <c r="AY190" s="7">
        <f t="shared" si="29"/>
        <v>0</v>
      </c>
      <c r="AZ190" s="7">
        <f>IF(OR(ISERROR(+#REF!/($D190+$E190-$G190)*$G190+#REF!),LEFT(X190,1)="x"),0,+#REF!/($D190+$E190-$G190)*$G190+#REF!)</f>
        <v>0</v>
      </c>
      <c r="BA190" s="7">
        <f>IF(OR(ISERROR(+#REF!/($D190+$E190-$G190)*$G190+#REF!),LEFT(Z190,1)="x"),0,+#REF!/($D190+$E190-$G190)*$G190+#REF!)</f>
        <v>0</v>
      </c>
      <c r="BB190" s="7" t="e">
        <f>IF(OR(ISERROR(+#REF!/($D190+$E190-$G190)*$G190+#REF!),LEFT(#REF!,1)="x"),0,+#REF!/($D190+$E190-$G190)*$G190+#REF!)</f>
        <v>#REF!</v>
      </c>
      <c r="BC190" s="7" t="e">
        <f>IF(OR(ISERROR(+AA190/($D190+$E190-$G190)*$G190+AA190),LEFT(#REF!,1)="x"),0,+AA190/($D190+$E190-$G190)*$G190+AA190)</f>
        <v>#REF!</v>
      </c>
      <c r="BD190" s="7" t="e">
        <f>IF(OR(ISERROR(+AB190/($D190+$E190-$G190)*$G190+AB190),LEFT(#REF!,1)="x"),0,+AB190/($D190+$E190-$G190)*$G190+AB190)</f>
        <v>#REF!</v>
      </c>
      <c r="BE190" s="7">
        <f t="shared" si="30"/>
        <v>0</v>
      </c>
    </row>
    <row r="191" spans="1:57" hidden="1">
      <c r="A191" s="555"/>
      <c r="B191" s="604"/>
      <c r="C191" s="607"/>
      <c r="D191" s="608"/>
      <c r="E191" s="608"/>
      <c r="F191" s="609"/>
      <c r="G191" s="609"/>
      <c r="H191" s="585"/>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8"/>
        <v>0</v>
      </c>
      <c r="AE191" s="629">
        <f t="shared" si="9"/>
        <v>0</v>
      </c>
      <c r="AF191" s="634">
        <f t="shared" si="10"/>
        <v>0</v>
      </c>
      <c r="AG191" s="43">
        <f t="shared" si="11"/>
        <v>0</v>
      </c>
      <c r="AH191" s="7">
        <f t="shared" si="34"/>
        <v>0</v>
      </c>
      <c r="AI191" s="7">
        <f t="shared" si="34"/>
        <v>0</v>
      </c>
      <c r="AJ191" s="7">
        <f t="shared" si="34"/>
        <v>0</v>
      </c>
      <c r="AK191" s="7">
        <f t="shared" si="34"/>
        <v>0</v>
      </c>
      <c r="AL191" s="7">
        <f t="shared" si="34"/>
        <v>0</v>
      </c>
      <c r="AM191" s="7">
        <f t="shared" si="34"/>
        <v>0</v>
      </c>
      <c r="AN191" s="7">
        <f t="shared" si="34"/>
        <v>0</v>
      </c>
      <c r="AO191" s="7">
        <f t="shared" si="34"/>
        <v>0</v>
      </c>
      <c r="AP191" s="7">
        <f t="shared" si="34"/>
        <v>0</v>
      </c>
      <c r="AQ191" s="7">
        <f t="shared" si="34"/>
        <v>0</v>
      </c>
      <c r="AR191" s="7">
        <f t="shared" si="34"/>
        <v>0</v>
      </c>
      <c r="AS191" s="7">
        <f t="shared" si="34"/>
        <v>0</v>
      </c>
      <c r="AT191" s="7">
        <f t="shared" si="34"/>
        <v>0</v>
      </c>
      <c r="AU191" s="7">
        <f t="shared" si="34"/>
        <v>0</v>
      </c>
      <c r="AV191" s="7">
        <f t="shared" si="34"/>
        <v>0</v>
      </c>
      <c r="AW191" s="7">
        <f t="shared" si="32"/>
        <v>0</v>
      </c>
      <c r="AX191" s="7">
        <f t="shared" si="33"/>
        <v>0</v>
      </c>
      <c r="AY191" s="7">
        <f t="shared" si="29"/>
        <v>0</v>
      </c>
      <c r="AZ191" s="7">
        <f>IF(OR(ISERROR(+#REF!/($D191+$E191-$G191)*$G191+#REF!),LEFT(X191,1)="x"),0,+#REF!/($D191+$E191-$G191)*$G191+#REF!)</f>
        <v>0</v>
      </c>
      <c r="BA191" s="7">
        <f>IF(OR(ISERROR(+#REF!/($D191+$E191-$G191)*$G191+#REF!),LEFT(Z191,1)="x"),0,+#REF!/($D191+$E191-$G191)*$G191+#REF!)</f>
        <v>0</v>
      </c>
      <c r="BB191" s="7" t="e">
        <f>IF(OR(ISERROR(+#REF!/($D191+$E191-$G191)*$G191+#REF!),LEFT(#REF!,1)="x"),0,+#REF!/($D191+$E191-$G191)*$G191+#REF!)</f>
        <v>#REF!</v>
      </c>
      <c r="BC191" s="7" t="e">
        <f>IF(OR(ISERROR(+AA191/($D191+$E191-$G191)*$G191+AA191),LEFT(#REF!,1)="x"),0,+AA191/($D191+$E191-$G191)*$G191+AA191)</f>
        <v>#REF!</v>
      </c>
      <c r="BD191" s="7" t="e">
        <f>IF(OR(ISERROR(+AB191/($D191+$E191-$G191)*$G191+AB191),LEFT(#REF!,1)="x"),0,+AB191/($D191+$E191-$G191)*$G191+AB191)</f>
        <v>#REF!</v>
      </c>
      <c r="BE191" s="7">
        <f t="shared" si="30"/>
        <v>0</v>
      </c>
    </row>
    <row r="192" spans="1:57" hidden="1">
      <c r="A192" s="555"/>
      <c r="B192" s="604"/>
      <c r="C192" s="607"/>
      <c r="D192" s="608"/>
      <c r="E192" s="608"/>
      <c r="F192" s="609"/>
      <c r="G192" s="609"/>
      <c r="H192" s="585"/>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8"/>
        <v>0</v>
      </c>
      <c r="AE192" s="629">
        <f t="shared" si="9"/>
        <v>0</v>
      </c>
      <c r="AF192" s="634">
        <f t="shared" si="10"/>
        <v>0</v>
      </c>
      <c r="AG192" s="43">
        <f t="shared" si="11"/>
        <v>0</v>
      </c>
      <c r="AH192" s="7">
        <f t="shared" si="34"/>
        <v>0</v>
      </c>
      <c r="AI192" s="7">
        <f t="shared" si="34"/>
        <v>0</v>
      </c>
      <c r="AJ192" s="7">
        <f t="shared" si="34"/>
        <v>0</v>
      </c>
      <c r="AK192" s="7">
        <f t="shared" si="34"/>
        <v>0</v>
      </c>
      <c r="AL192" s="7">
        <f t="shared" si="34"/>
        <v>0</v>
      </c>
      <c r="AM192" s="7">
        <f t="shared" si="34"/>
        <v>0</v>
      </c>
      <c r="AN192" s="7">
        <f t="shared" si="34"/>
        <v>0</v>
      </c>
      <c r="AO192" s="7">
        <f t="shared" si="34"/>
        <v>0</v>
      </c>
      <c r="AP192" s="7">
        <f t="shared" si="34"/>
        <v>0</v>
      </c>
      <c r="AQ192" s="7">
        <f t="shared" si="34"/>
        <v>0</v>
      </c>
      <c r="AR192" s="7">
        <f t="shared" si="34"/>
        <v>0</v>
      </c>
      <c r="AS192" s="7">
        <f t="shared" si="34"/>
        <v>0</v>
      </c>
      <c r="AT192" s="7">
        <f t="shared" si="34"/>
        <v>0</v>
      </c>
      <c r="AU192" s="7">
        <f t="shared" si="34"/>
        <v>0</v>
      </c>
      <c r="AV192" s="7">
        <f t="shared" si="34"/>
        <v>0</v>
      </c>
      <c r="AW192" s="7">
        <f t="shared" si="32"/>
        <v>0</v>
      </c>
      <c r="AX192" s="7">
        <f t="shared" si="33"/>
        <v>0</v>
      </c>
      <c r="AY192" s="7">
        <f t="shared" si="29"/>
        <v>0</v>
      </c>
      <c r="AZ192" s="7">
        <f>IF(OR(ISERROR(+#REF!/($D192+$E192-$G192)*$G192+#REF!),LEFT(X192,1)="x"),0,+#REF!/($D192+$E192-$G192)*$G192+#REF!)</f>
        <v>0</v>
      </c>
      <c r="BA192" s="7">
        <f>IF(OR(ISERROR(+#REF!/($D192+$E192-$G192)*$G192+#REF!),LEFT(Z192,1)="x"),0,+#REF!/($D192+$E192-$G192)*$G192+#REF!)</f>
        <v>0</v>
      </c>
      <c r="BB192" s="7" t="e">
        <f>IF(OR(ISERROR(+#REF!/($D192+$E192-$G192)*$G192+#REF!),LEFT(#REF!,1)="x"),0,+#REF!/($D192+$E192-$G192)*$G192+#REF!)</f>
        <v>#REF!</v>
      </c>
      <c r="BC192" s="7" t="e">
        <f>IF(OR(ISERROR(+AA192/($D192+$E192-$G192)*$G192+AA192),LEFT(#REF!,1)="x"),0,+AA192/($D192+$E192-$G192)*$G192+AA192)</f>
        <v>#REF!</v>
      </c>
      <c r="BD192" s="7" t="e">
        <f>IF(OR(ISERROR(+AB192/($D192+$E192-$G192)*$G192+AB192),LEFT(#REF!,1)="x"),0,+AB192/($D192+$E192-$G192)*$G192+AB192)</f>
        <v>#REF!</v>
      </c>
      <c r="BE192" s="7">
        <f t="shared" si="30"/>
        <v>0</v>
      </c>
    </row>
    <row r="193" spans="1:57" hidden="1">
      <c r="A193" s="555"/>
      <c r="B193" s="604"/>
      <c r="C193" s="607"/>
      <c r="D193" s="608"/>
      <c r="E193" s="608"/>
      <c r="F193" s="609"/>
      <c r="G193" s="60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8"/>
        <v>0</v>
      </c>
      <c r="AE193" s="629">
        <f t="shared" si="9"/>
        <v>0</v>
      </c>
      <c r="AF193" s="634">
        <f t="shared" si="10"/>
        <v>0</v>
      </c>
      <c r="AG193" s="43">
        <f t="shared" si="11"/>
        <v>0</v>
      </c>
      <c r="AH193" s="7">
        <f t="shared" si="34"/>
        <v>0</v>
      </c>
      <c r="AI193" s="7">
        <f t="shared" si="34"/>
        <v>0</v>
      </c>
      <c r="AJ193" s="7">
        <f t="shared" si="34"/>
        <v>0</v>
      </c>
      <c r="AK193" s="7">
        <f t="shared" si="34"/>
        <v>0</v>
      </c>
      <c r="AL193" s="7">
        <f t="shared" si="34"/>
        <v>0</v>
      </c>
      <c r="AM193" s="7">
        <f t="shared" si="34"/>
        <v>0</v>
      </c>
      <c r="AN193" s="7">
        <f t="shared" si="34"/>
        <v>0</v>
      </c>
      <c r="AO193" s="7">
        <f t="shared" si="34"/>
        <v>0</v>
      </c>
      <c r="AP193" s="7">
        <f t="shared" si="34"/>
        <v>0</v>
      </c>
      <c r="AQ193" s="7">
        <f t="shared" si="34"/>
        <v>0</v>
      </c>
      <c r="AR193" s="7">
        <f t="shared" si="34"/>
        <v>0</v>
      </c>
      <c r="AS193" s="7">
        <f t="shared" si="34"/>
        <v>0</v>
      </c>
      <c r="AT193" s="7">
        <f t="shared" si="34"/>
        <v>0</v>
      </c>
      <c r="AU193" s="7">
        <f t="shared" si="34"/>
        <v>0</v>
      </c>
      <c r="AV193" s="7">
        <f t="shared" si="34"/>
        <v>0</v>
      </c>
      <c r="AW193" s="7">
        <f t="shared" si="32"/>
        <v>0</v>
      </c>
      <c r="AX193" s="7">
        <f t="shared" si="33"/>
        <v>0</v>
      </c>
      <c r="AY193" s="7">
        <f t="shared" si="29"/>
        <v>0</v>
      </c>
      <c r="AZ193" s="7">
        <f>IF(OR(ISERROR(+#REF!/($D193+$E193-$G193)*$G193+#REF!),LEFT(X193,1)="x"),0,+#REF!/($D193+$E193-$G193)*$G193+#REF!)</f>
        <v>0</v>
      </c>
      <c r="BA193" s="7">
        <f>IF(OR(ISERROR(+#REF!/($D193+$E193-$G193)*$G193+#REF!),LEFT(Z193,1)="x"),0,+#REF!/($D193+$E193-$G193)*$G193+#REF!)</f>
        <v>0</v>
      </c>
      <c r="BB193" s="7" t="e">
        <f>IF(OR(ISERROR(+#REF!/($D193+$E193-$G193)*$G193+#REF!),LEFT(#REF!,1)="x"),0,+#REF!/($D193+$E193-$G193)*$G193+#REF!)</f>
        <v>#REF!</v>
      </c>
      <c r="BC193" s="7" t="e">
        <f>IF(OR(ISERROR(+AA193/($D193+$E193-$G193)*$G193+AA193),LEFT(#REF!,1)="x"),0,+AA193/($D193+$E193-$G193)*$G193+AA193)</f>
        <v>#REF!</v>
      </c>
      <c r="BD193" s="7" t="e">
        <f>IF(OR(ISERROR(+AB193/($D193+$E193-$G193)*$G193+AB193),LEFT(#REF!,1)="x"),0,+AB193/($D193+$E193-$G193)*$G193+AB193)</f>
        <v>#REF!</v>
      </c>
      <c r="BE193" s="7">
        <f t="shared" si="30"/>
        <v>0</v>
      </c>
    </row>
    <row r="194" spans="1:57" hidden="1">
      <c r="A194" s="555"/>
      <c r="B194" s="604"/>
      <c r="C194" s="607"/>
      <c r="D194" s="608"/>
      <c r="E194" s="608"/>
      <c r="F194" s="609"/>
      <c r="G194" s="60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8"/>
        <v>0</v>
      </c>
      <c r="AE194" s="629">
        <f t="shared" si="9"/>
        <v>0</v>
      </c>
      <c r="AF194" s="634">
        <f t="shared" si="10"/>
        <v>0</v>
      </c>
      <c r="AG194" s="43">
        <f t="shared" si="11"/>
        <v>0</v>
      </c>
      <c r="AH194" s="7">
        <f t="shared" si="34"/>
        <v>0</v>
      </c>
      <c r="AI194" s="7">
        <f t="shared" si="34"/>
        <v>0</v>
      </c>
      <c r="AJ194" s="7">
        <f t="shared" si="34"/>
        <v>0</v>
      </c>
      <c r="AK194" s="7">
        <f t="shared" si="34"/>
        <v>0</v>
      </c>
      <c r="AL194" s="7">
        <f t="shared" si="34"/>
        <v>0</v>
      </c>
      <c r="AM194" s="7">
        <f t="shared" si="34"/>
        <v>0</v>
      </c>
      <c r="AN194" s="7">
        <f t="shared" si="34"/>
        <v>0</v>
      </c>
      <c r="AO194" s="7">
        <f t="shared" si="34"/>
        <v>0</v>
      </c>
      <c r="AP194" s="7">
        <f t="shared" si="34"/>
        <v>0</v>
      </c>
      <c r="AQ194" s="7">
        <f t="shared" si="34"/>
        <v>0</v>
      </c>
      <c r="AR194" s="7">
        <f t="shared" si="34"/>
        <v>0</v>
      </c>
      <c r="AS194" s="7">
        <f t="shared" si="34"/>
        <v>0</v>
      </c>
      <c r="AT194" s="7">
        <f t="shared" si="34"/>
        <v>0</v>
      </c>
      <c r="AU194" s="7">
        <f t="shared" si="34"/>
        <v>0</v>
      </c>
      <c r="AV194" s="7">
        <f t="shared" si="34"/>
        <v>0</v>
      </c>
      <c r="AW194" s="7">
        <f t="shared" si="32"/>
        <v>0</v>
      </c>
      <c r="AX194" s="7">
        <f t="shared" si="33"/>
        <v>0</v>
      </c>
      <c r="AY194" s="7">
        <f t="shared" si="29"/>
        <v>0</v>
      </c>
      <c r="AZ194" s="7">
        <f>IF(OR(ISERROR(+#REF!/($D194+$E194-$G194)*$G194+#REF!),LEFT(X194,1)="x"),0,+#REF!/($D194+$E194-$G194)*$G194+#REF!)</f>
        <v>0</v>
      </c>
      <c r="BA194" s="7">
        <f>IF(OR(ISERROR(+#REF!/($D194+$E194-$G194)*$G194+#REF!),LEFT(Z194,1)="x"),0,+#REF!/($D194+$E194-$G194)*$G194+#REF!)</f>
        <v>0</v>
      </c>
      <c r="BB194" s="7" t="e">
        <f>IF(OR(ISERROR(+#REF!/($D194+$E194-$G194)*$G194+#REF!),LEFT(#REF!,1)="x"),0,+#REF!/($D194+$E194-$G194)*$G194+#REF!)</f>
        <v>#REF!</v>
      </c>
      <c r="BC194" s="7" t="e">
        <f>IF(OR(ISERROR(+AA194/($D194+$E194-$G194)*$G194+AA194),LEFT(#REF!,1)="x"),0,+AA194/($D194+$E194-$G194)*$G194+AA194)</f>
        <v>#REF!</v>
      </c>
      <c r="BD194" s="7" t="e">
        <f>IF(OR(ISERROR(+AB194/($D194+$E194-$G194)*$G194+AB194),LEFT(#REF!,1)="x"),0,+AB194/($D194+$E194-$G194)*$G194+AB194)</f>
        <v>#REF!</v>
      </c>
      <c r="BE194" s="7">
        <f t="shared" si="30"/>
        <v>0</v>
      </c>
    </row>
    <row r="195" spans="1:57" hidden="1">
      <c r="A195" s="555"/>
      <c r="B195" s="604"/>
      <c r="C195" s="607"/>
      <c r="D195" s="608"/>
      <c r="E195" s="608"/>
      <c r="F195" s="609"/>
      <c r="G195" s="60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8"/>
        <v>0</v>
      </c>
      <c r="AE195" s="629">
        <f t="shared" si="9"/>
        <v>0</v>
      </c>
      <c r="AF195" s="634">
        <f t="shared" si="10"/>
        <v>0</v>
      </c>
      <c r="AG195" s="43">
        <f t="shared" si="11"/>
        <v>0</v>
      </c>
      <c r="AH195" s="7">
        <f t="shared" si="34"/>
        <v>0</v>
      </c>
      <c r="AI195" s="7">
        <f t="shared" si="34"/>
        <v>0</v>
      </c>
      <c r="AJ195" s="7">
        <f t="shared" si="34"/>
        <v>0</v>
      </c>
      <c r="AK195" s="7">
        <f t="shared" si="34"/>
        <v>0</v>
      </c>
      <c r="AL195" s="7">
        <f t="shared" si="34"/>
        <v>0</v>
      </c>
      <c r="AM195" s="7">
        <f t="shared" si="34"/>
        <v>0</v>
      </c>
      <c r="AN195" s="7">
        <f t="shared" si="34"/>
        <v>0</v>
      </c>
      <c r="AO195" s="7">
        <f t="shared" si="34"/>
        <v>0</v>
      </c>
      <c r="AP195" s="7">
        <f t="shared" si="34"/>
        <v>0</v>
      </c>
      <c r="AQ195" s="7">
        <f t="shared" si="34"/>
        <v>0</v>
      </c>
      <c r="AR195" s="7">
        <f t="shared" si="34"/>
        <v>0</v>
      </c>
      <c r="AS195" s="7">
        <f t="shared" si="34"/>
        <v>0</v>
      </c>
      <c r="AT195" s="7">
        <f t="shared" si="34"/>
        <v>0</v>
      </c>
      <c r="AU195" s="7">
        <f t="shared" si="34"/>
        <v>0</v>
      </c>
      <c r="AV195" s="7">
        <f t="shared" si="34"/>
        <v>0</v>
      </c>
      <c r="AW195" s="7">
        <f t="shared" si="32"/>
        <v>0</v>
      </c>
      <c r="AX195" s="7">
        <f t="shared" si="33"/>
        <v>0</v>
      </c>
      <c r="AY195" s="7">
        <f t="shared" si="29"/>
        <v>0</v>
      </c>
      <c r="AZ195" s="7">
        <f>IF(OR(ISERROR(+#REF!/($D195+$E195-$G195)*$G195+#REF!),LEFT(X195,1)="x"),0,+#REF!/($D195+$E195-$G195)*$G195+#REF!)</f>
        <v>0</v>
      </c>
      <c r="BA195" s="7">
        <f>IF(OR(ISERROR(+#REF!/($D195+$E195-$G195)*$G195+#REF!),LEFT(Z195,1)="x"),0,+#REF!/($D195+$E195-$G195)*$G195+#REF!)</f>
        <v>0</v>
      </c>
      <c r="BB195" s="7" t="e">
        <f>IF(OR(ISERROR(+#REF!/($D195+$E195-$G195)*$G195+#REF!),LEFT(#REF!,1)="x"),0,+#REF!/($D195+$E195-$G195)*$G195+#REF!)</f>
        <v>#REF!</v>
      </c>
      <c r="BC195" s="7" t="e">
        <f>IF(OR(ISERROR(+AA195/($D195+$E195-$G195)*$G195+AA195),LEFT(#REF!,1)="x"),0,+AA195/($D195+$E195-$G195)*$G195+AA195)</f>
        <v>#REF!</v>
      </c>
      <c r="BD195" s="7" t="e">
        <f>IF(OR(ISERROR(+AB195/($D195+$E195-$G195)*$G195+AB195),LEFT(#REF!,1)="x"),0,+AB195/($D195+$E195-$G195)*$G195+AB195)</f>
        <v>#REF!</v>
      </c>
      <c r="BE195" s="7">
        <f t="shared" si="30"/>
        <v>0</v>
      </c>
    </row>
    <row r="196" spans="1:57" ht="13.5" thickBot="1">
      <c r="A196" s="556"/>
      <c r="B196" s="606"/>
      <c r="C196" s="611"/>
      <c r="D196" s="612"/>
      <c r="E196" s="612"/>
      <c r="F196" s="610"/>
      <c r="G196" s="610"/>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8"/>
        <v>0</v>
      </c>
      <c r="AE196" s="629">
        <f t="shared" si="9"/>
        <v>0</v>
      </c>
      <c r="AF196" s="634">
        <f t="shared" si="10"/>
        <v>0</v>
      </c>
      <c r="AG196" s="43">
        <f t="shared" si="11"/>
        <v>0</v>
      </c>
      <c r="AH196" s="7">
        <f t="shared" si="34"/>
        <v>0</v>
      </c>
      <c r="AI196" s="7">
        <f t="shared" si="34"/>
        <v>0</v>
      </c>
      <c r="AJ196" s="7">
        <f t="shared" si="34"/>
        <v>0</v>
      </c>
      <c r="AK196" s="7">
        <f t="shared" si="34"/>
        <v>0</v>
      </c>
      <c r="AL196" s="7">
        <f t="shared" si="34"/>
        <v>0</v>
      </c>
      <c r="AM196" s="7">
        <f t="shared" si="34"/>
        <v>0</v>
      </c>
      <c r="AN196" s="7">
        <f t="shared" si="34"/>
        <v>0</v>
      </c>
      <c r="AO196" s="7">
        <f t="shared" si="34"/>
        <v>0</v>
      </c>
      <c r="AP196" s="7">
        <f t="shared" si="34"/>
        <v>0</v>
      </c>
      <c r="AQ196" s="7">
        <f t="shared" si="34"/>
        <v>0</v>
      </c>
      <c r="AR196" s="7">
        <f t="shared" si="34"/>
        <v>0</v>
      </c>
      <c r="AS196" s="7">
        <f t="shared" si="34"/>
        <v>0</v>
      </c>
      <c r="AT196" s="7">
        <f t="shared" si="34"/>
        <v>0</v>
      </c>
      <c r="AU196" s="7">
        <f t="shared" si="34"/>
        <v>0</v>
      </c>
      <c r="AV196" s="7">
        <f t="shared" si="34"/>
        <v>0</v>
      </c>
      <c r="AW196" s="7">
        <f t="shared" si="32"/>
        <v>0</v>
      </c>
      <c r="AX196" s="7">
        <f t="shared" si="33"/>
        <v>0</v>
      </c>
      <c r="AY196" s="7">
        <f t="shared" si="29"/>
        <v>0</v>
      </c>
      <c r="AZ196" s="7">
        <f>IF(OR(ISERROR(+#REF!/($D196+$E196-$G196)*$G196+#REF!),LEFT(X196,1)="x"),0,+#REF!/($D196+$E196-$G196)*$G196+#REF!)</f>
        <v>0</v>
      </c>
      <c r="BA196" s="7">
        <f>IF(OR(ISERROR(+#REF!/($D196+$E196-$G196)*$G196+#REF!),LEFT(Z196,1)="x"),0,+#REF!/($D196+$E196-$G196)*$G196+#REF!)</f>
        <v>0</v>
      </c>
      <c r="BB196" s="7" t="e">
        <f>IF(OR(ISERROR(+#REF!/($D196+$E196-$G196)*$G196+#REF!),LEFT(#REF!,1)="x"),0,+#REF!/($D196+$E196-$G196)*$G196+#REF!)</f>
        <v>#REF!</v>
      </c>
      <c r="BC196" s="7" t="e">
        <f>IF(OR(ISERROR(+AA196/($D196+$E196-$G196)*$G196+AA196),LEFT(#REF!,1)="x"),0,+AA196/($D196+$E196-$G196)*$G196+AA196)</f>
        <v>#REF!</v>
      </c>
      <c r="BD196" s="7" t="e">
        <f>IF(OR(ISERROR(+AB196/($D196+$E196-$G196)*$G196+AB196),LEFT(#REF!,1)="x"),0,+AB196/($D196+$E196-$G196)*$G196+AB196)</f>
        <v>#REF!</v>
      </c>
      <c r="BE196" s="7">
        <f t="shared" si="30"/>
        <v>0</v>
      </c>
    </row>
    <row r="197" spans="1:57" ht="14.25">
      <c r="A197" s="99" t="s">
        <v>20</v>
      </c>
      <c r="B197" s="100"/>
      <c r="C197" s="97" t="s">
        <v>26</v>
      </c>
      <c r="D197" s="92">
        <f t="shared" ref="D197:AC197" si="35">SUM(D80:D196)</f>
        <v>5593.5</v>
      </c>
      <c r="E197" s="92">
        <f t="shared" si="35"/>
        <v>-901</v>
      </c>
      <c r="F197" s="208">
        <f t="shared" si="35"/>
        <v>0</v>
      </c>
      <c r="G197" s="92">
        <f t="shared" si="35"/>
        <v>0</v>
      </c>
      <c r="H197" s="92">
        <f t="shared" si="35"/>
        <v>225</v>
      </c>
      <c r="I197" s="92">
        <f t="shared" si="35"/>
        <v>164</v>
      </c>
      <c r="J197" s="92">
        <f t="shared" si="35"/>
        <v>35</v>
      </c>
      <c r="K197" s="92">
        <f t="shared" si="35"/>
        <v>0</v>
      </c>
      <c r="L197" s="92">
        <f t="shared" si="35"/>
        <v>3648</v>
      </c>
      <c r="M197" s="92">
        <f t="shared" si="35"/>
        <v>0</v>
      </c>
      <c r="N197" s="92">
        <f t="shared" si="35"/>
        <v>0</v>
      </c>
      <c r="O197" s="92">
        <f t="shared" si="35"/>
        <v>0</v>
      </c>
      <c r="P197" s="92">
        <f t="shared" si="35"/>
        <v>20</v>
      </c>
      <c r="Q197" s="92">
        <f t="shared" si="35"/>
        <v>0</v>
      </c>
      <c r="R197" s="92">
        <f t="shared" si="35"/>
        <v>65</v>
      </c>
      <c r="S197" s="92">
        <f t="shared" si="35"/>
        <v>55</v>
      </c>
      <c r="T197" s="92">
        <f t="shared" si="35"/>
        <v>85</v>
      </c>
      <c r="U197" s="92">
        <f t="shared" si="35"/>
        <v>138</v>
      </c>
      <c r="V197" s="92">
        <f t="shared" si="35"/>
        <v>5.5</v>
      </c>
      <c r="W197" s="92">
        <f t="shared" si="35"/>
        <v>95</v>
      </c>
      <c r="X197" s="92">
        <f t="shared" si="35"/>
        <v>0</v>
      </c>
      <c r="Y197" s="92">
        <f t="shared" si="35"/>
        <v>0</v>
      </c>
      <c r="Z197" s="92">
        <f t="shared" si="35"/>
        <v>0</v>
      </c>
      <c r="AA197" s="92">
        <f t="shared" si="35"/>
        <v>0</v>
      </c>
      <c r="AB197" s="92">
        <f t="shared" si="35"/>
        <v>157</v>
      </c>
      <c r="AC197" s="208">
        <f t="shared" si="35"/>
        <v>0</v>
      </c>
      <c r="AH197" s="7">
        <f t="shared" si="34"/>
        <v>225</v>
      </c>
      <c r="AI197" s="7">
        <f t="shared" si="34"/>
        <v>164</v>
      </c>
      <c r="AJ197" s="7">
        <f t="shared" si="34"/>
        <v>35</v>
      </c>
      <c r="AK197" s="7">
        <f t="shared" si="34"/>
        <v>0</v>
      </c>
      <c r="AL197" s="7">
        <f t="shared" si="34"/>
        <v>3648</v>
      </c>
      <c r="AM197" s="7">
        <f t="shared" si="34"/>
        <v>0</v>
      </c>
      <c r="AN197" s="7">
        <f t="shared" si="34"/>
        <v>0</v>
      </c>
      <c r="AO197" s="7">
        <f t="shared" si="34"/>
        <v>0</v>
      </c>
      <c r="AP197" s="7">
        <f t="shared" si="34"/>
        <v>20</v>
      </c>
      <c r="AQ197" s="7">
        <f t="shared" si="34"/>
        <v>0</v>
      </c>
      <c r="AR197" s="7">
        <f t="shared" si="34"/>
        <v>65</v>
      </c>
      <c r="AS197" s="7">
        <f t="shared" si="34"/>
        <v>55</v>
      </c>
      <c r="AT197" s="7">
        <f t="shared" si="34"/>
        <v>85</v>
      </c>
      <c r="AU197" s="7">
        <f t="shared" si="34"/>
        <v>138</v>
      </c>
      <c r="AV197" s="7">
        <f t="shared" si="34"/>
        <v>5.5</v>
      </c>
      <c r="AW197" s="7">
        <f t="shared" si="32"/>
        <v>95</v>
      </c>
      <c r="AX197" s="7">
        <f t="shared" si="33"/>
        <v>0</v>
      </c>
      <c r="AY197" s="7">
        <f t="shared" si="29"/>
        <v>0</v>
      </c>
      <c r="AZ197" s="7">
        <f>IF(OR(ISERROR(+#REF!/($D197+$E197-$G197)*$G197+#REF!),LEFT(X197,1)="x"),0,+#REF!/($D197+$E197-$G197)*$G197+#REF!)</f>
        <v>0</v>
      </c>
      <c r="BA197" s="7">
        <f>IF(OR(ISERROR(+#REF!/($D197+$E197-$G197)*$G197+#REF!),LEFT(Z197,1)="x"),0,+#REF!/($D197+$E197-$G197)*$G197+#REF!)</f>
        <v>0</v>
      </c>
      <c r="BB197" s="7" t="e">
        <f>IF(OR(ISERROR(+#REF!/($D197+$E197-$G197)*$G197+#REF!),LEFT(#REF!,1)="x"),0,+#REF!/($D197+$E197-$G197)*$G197+#REF!)</f>
        <v>#REF!</v>
      </c>
      <c r="BC197" s="7" t="e">
        <f>IF(OR(ISERROR(+AA197/($D197+$E197-$G197)*$G197+AA197),LEFT(#REF!,1)="x"),0,+AA197/($D197+$E197-$G197)*$G197+AA197)</f>
        <v>#REF!</v>
      </c>
      <c r="BD197" s="7" t="e">
        <f>IF(OR(ISERROR(+AC197/($D197+$E197-$G197)*$G197+AC197),LEFT(#REF!,1)="x"),0,+AC197/($D197+$E197-$G197)*$G197+AC197)</f>
        <v>#REF!</v>
      </c>
    </row>
    <row r="198" spans="1:57" ht="13.5" thickBot="1">
      <c r="A198" s="50"/>
      <c r="B198" s="51"/>
      <c r="C198" s="39" t="s">
        <v>27</v>
      </c>
      <c r="D198" s="643">
        <f t="shared" ref="D198:AE198" si="36">SUM(D79:D196)</f>
        <v>5593.5</v>
      </c>
      <c r="E198" s="643">
        <f t="shared" si="36"/>
        <v>-901</v>
      </c>
      <c r="F198" s="644">
        <f t="shared" si="36"/>
        <v>0</v>
      </c>
      <c r="G198" s="643">
        <f t="shared" si="36"/>
        <v>0</v>
      </c>
      <c r="H198" s="643">
        <f t="shared" si="36"/>
        <v>225</v>
      </c>
      <c r="I198" s="643">
        <f t="shared" si="36"/>
        <v>164</v>
      </c>
      <c r="J198" s="643">
        <f t="shared" si="36"/>
        <v>35</v>
      </c>
      <c r="K198" s="643">
        <f t="shared" si="36"/>
        <v>0</v>
      </c>
      <c r="L198" s="643">
        <f t="shared" si="36"/>
        <v>3648</v>
      </c>
      <c r="M198" s="643">
        <f t="shared" si="36"/>
        <v>0</v>
      </c>
      <c r="N198" s="643">
        <f t="shared" si="36"/>
        <v>0</v>
      </c>
      <c r="O198" s="643">
        <f t="shared" si="36"/>
        <v>0</v>
      </c>
      <c r="P198" s="643">
        <f t="shared" si="36"/>
        <v>20</v>
      </c>
      <c r="Q198" s="643">
        <f t="shared" si="36"/>
        <v>0</v>
      </c>
      <c r="R198" s="643">
        <f t="shared" si="36"/>
        <v>65</v>
      </c>
      <c r="S198" s="643">
        <f t="shared" si="36"/>
        <v>55</v>
      </c>
      <c r="T198" s="643">
        <f t="shared" si="36"/>
        <v>85</v>
      </c>
      <c r="U198" s="643">
        <f t="shared" si="36"/>
        <v>138</v>
      </c>
      <c r="V198" s="643">
        <f t="shared" si="36"/>
        <v>5.5</v>
      </c>
      <c r="W198" s="643">
        <f t="shared" si="36"/>
        <v>95</v>
      </c>
      <c r="X198" s="643">
        <f t="shared" si="36"/>
        <v>0</v>
      </c>
      <c r="Y198" s="643">
        <f t="shared" si="36"/>
        <v>0</v>
      </c>
      <c r="Z198" s="643">
        <f t="shared" si="36"/>
        <v>0</v>
      </c>
      <c r="AA198" s="643">
        <f t="shared" si="36"/>
        <v>0</v>
      </c>
      <c r="AB198" s="643">
        <f t="shared" si="36"/>
        <v>157</v>
      </c>
      <c r="AC198" s="644">
        <f t="shared" si="36"/>
        <v>0</v>
      </c>
      <c r="AD198" s="626">
        <f t="shared" si="36"/>
        <v>4692.5</v>
      </c>
      <c r="AE198" s="627">
        <f t="shared" si="36"/>
        <v>4692.5</v>
      </c>
      <c r="AF198" s="635"/>
      <c r="AG198" s="57"/>
      <c r="AH198" s="7">
        <f t="shared" ref="AH198:AV200" si="37">IF(OR(ISERROR(+H198/($D198+$E198-$G198)*$G198+H198),LEFT(F198,1)="x"),0,+H198/($D198+$E198-$G198)*$G198+H198)</f>
        <v>225</v>
      </c>
      <c r="AI198" s="7">
        <f t="shared" si="37"/>
        <v>164</v>
      </c>
      <c r="AJ198" s="7">
        <f t="shared" si="37"/>
        <v>35</v>
      </c>
      <c r="AK198" s="7">
        <f t="shared" si="37"/>
        <v>0</v>
      </c>
      <c r="AL198" s="7">
        <f t="shared" si="37"/>
        <v>3648</v>
      </c>
      <c r="AM198" s="7">
        <f t="shared" si="37"/>
        <v>0</v>
      </c>
      <c r="AN198" s="7">
        <f t="shared" si="37"/>
        <v>0</v>
      </c>
      <c r="AO198" s="7">
        <f t="shared" si="37"/>
        <v>0</v>
      </c>
      <c r="AP198" s="7">
        <f t="shared" si="37"/>
        <v>20</v>
      </c>
      <c r="AQ198" s="7">
        <f t="shared" si="37"/>
        <v>0</v>
      </c>
      <c r="AR198" s="7">
        <f t="shared" si="37"/>
        <v>65</v>
      </c>
      <c r="AS198" s="7">
        <f t="shared" si="37"/>
        <v>55</v>
      </c>
      <c r="AT198" s="7">
        <f t="shared" si="37"/>
        <v>85</v>
      </c>
      <c r="AU198" s="7">
        <f t="shared" si="37"/>
        <v>138</v>
      </c>
      <c r="AV198" s="7">
        <f t="shared" si="37"/>
        <v>5.5</v>
      </c>
      <c r="AW198" s="7">
        <f t="shared" si="32"/>
        <v>95</v>
      </c>
      <c r="AX198" s="7">
        <f t="shared" si="33"/>
        <v>0</v>
      </c>
      <c r="AY198" s="7">
        <f t="shared" si="29"/>
        <v>0</v>
      </c>
      <c r="AZ198" s="7">
        <f>IF(OR(ISERROR(+#REF!/($D198+$E198-$G198)*$G198+#REF!),LEFT(X198,1)="x"),0,+#REF!/($D198+$E198-$G198)*$G198+#REF!)</f>
        <v>0</v>
      </c>
      <c r="BA198" s="7">
        <f>IF(OR(ISERROR(+#REF!/($D198+$E198-$G198)*$G198+#REF!),LEFT(Z198,1)="x"),0,+#REF!/($D198+$E198-$G198)*$G198+#REF!)</f>
        <v>0</v>
      </c>
      <c r="BB198" s="7" t="e">
        <f>IF(OR(ISERROR(+#REF!/($D198+$E198-$G198)*$G198+#REF!),LEFT(#REF!,1)="x"),0,+#REF!/($D198+$E198-$G198)*$G198+#REF!)</f>
        <v>#REF!</v>
      </c>
      <c r="BC198" s="7" t="e">
        <f>IF(OR(ISERROR(+AA198/($D198+$E198-$G198)*$G198+AA198),LEFT(#REF!,1)="x"),0,+AA198/($D198+$E198-$G198)*$G198+AA198)</f>
        <v>#REF!</v>
      </c>
      <c r="BD198" s="7" t="e">
        <f>IF(OR(ISERROR(+AC198/($D198+$E198-$G198)*$G198+AC198),LEFT(#REF!,1)="x"),0,+AC198/($D198+$E198-$G198)*$G198+AC198)</f>
        <v>#REF!</v>
      </c>
    </row>
    <row r="199" spans="1:57">
      <c r="A199" s="17"/>
      <c r="B199" s="17"/>
      <c r="C199" s="17"/>
      <c r="D199" s="17"/>
      <c r="E199" s="17"/>
      <c r="F199" s="17"/>
      <c r="G199" s="17"/>
      <c r="H199" s="17" t="s">
        <v>20</v>
      </c>
      <c r="I199" s="17"/>
      <c r="J199" s="17"/>
      <c r="K199" s="17"/>
      <c r="L199" s="17"/>
      <c r="M199" s="17"/>
      <c r="N199" s="17"/>
      <c r="O199" s="17"/>
      <c r="P199" s="17"/>
      <c r="Q199" s="17"/>
      <c r="R199" s="17"/>
      <c r="S199" s="17"/>
      <c r="T199" s="17"/>
      <c r="U199" s="17"/>
      <c r="V199" s="17"/>
      <c r="W199" s="17"/>
      <c r="X199" s="17"/>
      <c r="Y199" s="17"/>
      <c r="Z199" s="17"/>
      <c r="AA199" s="17"/>
      <c r="AB199" s="17"/>
      <c r="AC199" s="17"/>
      <c r="AH199" s="7">
        <f t="shared" si="37"/>
        <v>0</v>
      </c>
      <c r="AI199" s="7">
        <f t="shared" si="37"/>
        <v>0</v>
      </c>
      <c r="AJ199" s="7">
        <f t="shared" si="37"/>
        <v>0</v>
      </c>
      <c r="AK199" s="7">
        <f t="shared" si="37"/>
        <v>0</v>
      </c>
      <c r="AL199" s="7">
        <f t="shared" si="37"/>
        <v>0</v>
      </c>
      <c r="AM199" s="7">
        <f t="shared" si="37"/>
        <v>0</v>
      </c>
      <c r="AN199" s="7">
        <f t="shared" si="37"/>
        <v>0</v>
      </c>
      <c r="AO199" s="7">
        <f t="shared" si="37"/>
        <v>0</v>
      </c>
      <c r="AP199" s="7">
        <f t="shared" si="37"/>
        <v>0</v>
      </c>
      <c r="AQ199" s="7">
        <f t="shared" si="37"/>
        <v>0</v>
      </c>
      <c r="AR199" s="7">
        <f t="shared" si="37"/>
        <v>0</v>
      </c>
      <c r="AS199" s="7">
        <f t="shared" si="37"/>
        <v>0</v>
      </c>
      <c r="AT199" s="7">
        <f t="shared" si="37"/>
        <v>0</v>
      </c>
      <c r="AU199" s="7">
        <f t="shared" si="37"/>
        <v>0</v>
      </c>
      <c r="AV199" s="7">
        <f t="shared" si="37"/>
        <v>0</v>
      </c>
      <c r="AW199" s="7">
        <f t="shared" si="32"/>
        <v>0</v>
      </c>
      <c r="AX199" s="7">
        <f t="shared" si="33"/>
        <v>0</v>
      </c>
      <c r="AY199" s="7">
        <f t="shared" si="29"/>
        <v>0</v>
      </c>
      <c r="AZ199" s="7">
        <f>IF(OR(ISERROR(+#REF!/($D199+$E199-$G199)*$G199+#REF!),LEFT(X199,1)="x"),0,+#REF!/($D199+$E199-$G199)*$G199+#REF!)</f>
        <v>0</v>
      </c>
      <c r="BA199" s="7">
        <f>IF(OR(ISERROR(+#REF!/($D199+$E199-$G199)*$G199+#REF!),LEFT(Z199,1)="x"),0,+#REF!/($D199+$E199-$G199)*$G199+#REF!)</f>
        <v>0</v>
      </c>
      <c r="BB199" s="7" t="e">
        <f>IF(OR(ISERROR(+#REF!/($D199+$E199-$G199)*$G199+#REF!),LEFT(#REF!,1)="x"),0,+#REF!/($D199+$E199-$G199)*$G199+#REF!)</f>
        <v>#REF!</v>
      </c>
      <c r="BC199" s="7" t="e">
        <f>IF(OR(ISERROR(+AA199/($D199+$E199-$G199)*$G199+AA199),LEFT(#REF!,1)="x"),0,+AA199/($D199+$E199-$G199)*$G199+AA199)</f>
        <v>#REF!</v>
      </c>
      <c r="BD199" s="7" t="e">
        <f>IF(OR(ISERROR(+AC199/($D199+$E199-$G199)*$G199+AC199),LEFT(#REF!,1)="x"),0,+AC199/($D199+$E199-$G199)*$G199+AC199)</f>
        <v>#REF!</v>
      </c>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H200" s="7">
        <f t="shared" si="37"/>
        <v>0</v>
      </c>
      <c r="AI200" s="7">
        <f t="shared" si="37"/>
        <v>0</v>
      </c>
      <c r="AJ200" s="7">
        <f t="shared" si="37"/>
        <v>0</v>
      </c>
      <c r="AK200" s="7">
        <f t="shared" si="37"/>
        <v>0</v>
      </c>
      <c r="AL200" s="7">
        <f t="shared" si="37"/>
        <v>0</v>
      </c>
      <c r="AM200" s="7">
        <f t="shared" si="37"/>
        <v>0</v>
      </c>
      <c r="AN200" s="7">
        <f t="shared" si="37"/>
        <v>0</v>
      </c>
      <c r="AO200" s="7">
        <f t="shared" si="37"/>
        <v>0</v>
      </c>
      <c r="AP200" s="7">
        <f t="shared" si="37"/>
        <v>0</v>
      </c>
      <c r="AQ200" s="7">
        <f t="shared" si="37"/>
        <v>0</v>
      </c>
      <c r="AR200" s="7">
        <f t="shared" si="37"/>
        <v>0</v>
      </c>
      <c r="AS200" s="7">
        <f t="shared" si="37"/>
        <v>0</v>
      </c>
      <c r="AT200" s="7">
        <f t="shared" si="37"/>
        <v>0</v>
      </c>
      <c r="AU200" s="7">
        <f t="shared" si="37"/>
        <v>0</v>
      </c>
      <c r="AV200" s="7">
        <f t="shared" si="37"/>
        <v>0</v>
      </c>
      <c r="AW200" s="7">
        <f t="shared" si="32"/>
        <v>0</v>
      </c>
      <c r="AX200" s="7">
        <f t="shared" si="33"/>
        <v>0</v>
      </c>
      <c r="AY200" s="7">
        <f t="shared" si="29"/>
        <v>0</v>
      </c>
      <c r="AZ200" s="7">
        <f>IF(OR(ISERROR(+#REF!/($D200+$E200-$G200)*$G200+#REF!),LEFT(X200,1)="x"),0,+#REF!/($D200+$E200-$G200)*$G200+#REF!)</f>
        <v>0</v>
      </c>
      <c r="BA200" s="7">
        <f>IF(OR(ISERROR(+#REF!/($D200+$E200-$G200)*$G200+#REF!),LEFT(Z200,1)="x"),0,+#REF!/($D200+$E200-$G200)*$G200+#REF!)</f>
        <v>0</v>
      </c>
      <c r="BB200" s="7" t="e">
        <f>IF(OR(ISERROR(+#REF!/($D200+$E200-$G200)*$G200+#REF!),LEFT(#REF!,1)="x"),0,+#REF!/($D200+$E200-$G200)*$G200+#REF!)</f>
        <v>#REF!</v>
      </c>
      <c r="BC200" s="7" t="e">
        <f>IF(OR(ISERROR(+AA200/($D200+$E200-$G200)*$G200+AA200),LEFT(#REF!,1)="x"),0,+AA200/($D200+$E200-$G200)*$G200+AA200)</f>
        <v>#REF!</v>
      </c>
      <c r="BD200" s="7" t="e">
        <f>IF(OR(ISERROR(+AC200/($D200+$E200-$G200)*$G200+AC200),LEFT(#REF!,1)="x"),0,+AC200/($D200+$E200-$G200)*$G200+AC200)</f>
        <v>#REF!</v>
      </c>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57" ht="15.75">
      <c r="A202" s="52" t="s">
        <v>226</v>
      </c>
      <c r="B202" s="52"/>
      <c r="C202" s="52"/>
      <c r="D202" s="19">
        <f>E202-H202</f>
        <v>0</v>
      </c>
      <c r="E202" s="53">
        <f>D197+E197+F197</f>
        <v>4692.5</v>
      </c>
      <c r="H202" s="53">
        <f>SUM(G197:AC197)</f>
        <v>4692.5</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75">
      <c r="A203" s="52"/>
      <c r="B203" s="52"/>
      <c r="C203" s="52"/>
      <c r="D203" s="54">
        <f>IF(D202=0,0,"Error - check totals do not balance, please see column AF - at the right side of the expenditure table for corrections to be made")</f>
        <v>0</v>
      </c>
      <c r="E203" s="53"/>
      <c r="F203" s="53"/>
      <c r="G203" s="54"/>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70"/>
      <c r="F208" s="70"/>
      <c r="G208" s="17"/>
      <c r="H208" s="17"/>
      <c r="I208" s="17"/>
      <c r="J208" s="17"/>
      <c r="K208" s="17"/>
      <c r="L208" s="17"/>
      <c r="M208" s="17"/>
      <c r="N208" s="17"/>
      <c r="P208" s="17"/>
      <c r="Q208" s="17"/>
      <c r="R208" s="17"/>
      <c r="S208" s="17"/>
      <c r="T208" s="17"/>
      <c r="U208" s="17"/>
      <c r="V208" s="17"/>
      <c r="W208" s="17"/>
      <c r="X208" s="17"/>
      <c r="Y208" s="17"/>
      <c r="Z208" s="17"/>
      <c r="AA208" s="17"/>
      <c r="AB208" s="17"/>
      <c r="AC208" s="17"/>
    </row>
    <row r="209" spans="1:29">
      <c r="A209" s="161" t="s">
        <v>166</v>
      </c>
      <c r="B209" s="17"/>
      <c r="C209" s="73"/>
      <c r="D209" s="73"/>
      <c r="E209" s="639">
        <f>K10+L54+M54+N54+O54-D198</f>
        <v>46381.81</v>
      </c>
      <c r="F209" s="639">
        <f>K11+P54+X198-O54</f>
        <v>87013.119999999995</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c r="A210" s="161"/>
      <c r="B210" s="17"/>
      <c r="C210" s="73"/>
      <c r="D210" s="73"/>
      <c r="E210" s="637"/>
      <c r="F210" s="6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c r="A211" s="326" t="s">
        <v>223</v>
      </c>
      <c r="B211" s="17"/>
      <c r="C211" s="642"/>
      <c r="D211" s="642"/>
      <c r="E211" s="637" t="s">
        <v>20</v>
      </c>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c r="B212" s="162" t="s">
        <v>187</v>
      </c>
      <c r="C212" s="642"/>
      <c r="D212" s="642"/>
      <c r="E212" s="637"/>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c r="A213" s="17"/>
      <c r="B213" s="162" t="s">
        <v>164</v>
      </c>
      <c r="C213" s="642"/>
      <c r="D213" s="642"/>
      <c r="E213" s="637"/>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c r="A215" s="17"/>
      <c r="B215" s="17"/>
      <c r="C215" s="642"/>
      <c r="D215" s="642"/>
      <c r="E215" s="638"/>
      <c r="F215" s="638"/>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13.5" thickBot="1">
      <c r="A216" s="56" t="s">
        <v>165</v>
      </c>
      <c r="B216" s="56"/>
      <c r="C216" s="17"/>
      <c r="D216" s="17"/>
      <c r="E216" s="641">
        <f>E209+SUM(E211:E215)</f>
        <v>46381.81</v>
      </c>
      <c r="F216" s="641">
        <f>F209+SUM(F211:F215)</f>
        <v>87013.119999999995</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13.5" thickTop="1">
      <c r="A217" s="56"/>
      <c r="B217" s="17"/>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c r="A219" s="20"/>
      <c r="B219" s="20"/>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idden="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idden="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idden="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428"/>
      <c r="M226" s="428"/>
      <c r="N226" s="428"/>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428"/>
      <c r="M227" s="428"/>
      <c r="N227" s="428"/>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428"/>
      <c r="M228" s="428"/>
      <c r="N228" s="428"/>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428"/>
      <c r="M229" s="428"/>
      <c r="N229" s="428"/>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428"/>
      <c r="M230" s="428"/>
      <c r="N230" s="428"/>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428"/>
      <c r="M231" s="428"/>
      <c r="N231" s="428"/>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428"/>
      <c r="M232" s="428"/>
      <c r="N232" s="428"/>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428"/>
      <c r="M233" s="428"/>
      <c r="N233" s="428"/>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428"/>
      <c r="M234" s="428"/>
      <c r="N234" s="428"/>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8"/>
      <c r="I245" s="18"/>
      <c r="J245" s="18"/>
      <c r="K245" s="18"/>
      <c r="L245" s="18"/>
      <c r="M245" s="18"/>
      <c r="N245" s="17"/>
      <c r="O245" s="17"/>
      <c r="P245" s="17"/>
      <c r="Q245" s="17"/>
      <c r="R245" s="17"/>
      <c r="S245" s="17"/>
      <c r="T245" s="17"/>
      <c r="U245" s="17"/>
      <c r="V245" s="17"/>
      <c r="W245" s="17"/>
      <c r="X245" s="17"/>
      <c r="Y245" s="17"/>
      <c r="Z245" s="17"/>
      <c r="AA245" s="17"/>
      <c r="AB245" s="17"/>
      <c r="AC245" s="17"/>
    </row>
    <row r="246" spans="1:29" ht="14.25" hidden="1" customHeight="1">
      <c r="B246" s="213"/>
      <c r="C246" s="18"/>
      <c r="D246" s="18"/>
      <c r="E246" s="18"/>
      <c r="F246" s="215"/>
      <c r="G246" s="18"/>
      <c r="H246" s="18"/>
      <c r="I246" s="18"/>
      <c r="J246" s="18"/>
      <c r="K246" s="18"/>
      <c r="L246" s="18"/>
      <c r="M246" s="18"/>
      <c r="N246" s="17"/>
      <c r="O246" s="17"/>
      <c r="P246" s="17"/>
      <c r="Q246" s="17"/>
      <c r="R246" s="17"/>
      <c r="S246" s="17"/>
      <c r="T246" s="17"/>
      <c r="U246" s="17"/>
      <c r="V246" s="17"/>
      <c r="W246" s="17"/>
      <c r="X246" s="17"/>
      <c r="Y246" s="17"/>
      <c r="Z246" s="17"/>
      <c r="AA246" s="17"/>
      <c r="AB246" s="17"/>
      <c r="AC246" s="17"/>
    </row>
    <row r="247" spans="1:29" ht="15" hidden="1">
      <c r="B247" s="213" t="s">
        <v>196</v>
      </c>
      <c r="C247" s="214"/>
      <c r="D247" s="214">
        <f>$C$58+$C$59-D249</f>
        <v>0</v>
      </c>
      <c r="E247" s="18"/>
      <c r="F247" s="215" t="s">
        <v>197</v>
      </c>
      <c r="G247" s="18"/>
      <c r="H247" s="18"/>
      <c r="I247" s="18"/>
      <c r="J247" s="18"/>
      <c r="K247" s="18"/>
      <c r="L247" s="18"/>
      <c r="M247" s="18"/>
      <c r="N247" s="17"/>
      <c r="O247" s="17"/>
      <c r="P247" s="17"/>
      <c r="Q247" s="17"/>
      <c r="R247" s="17"/>
      <c r="S247" s="17"/>
      <c r="T247" s="17"/>
      <c r="U247" s="17"/>
      <c r="V247" s="17"/>
      <c r="W247" s="17"/>
      <c r="X247" s="17"/>
      <c r="Y247" s="17"/>
      <c r="Z247" s="17"/>
      <c r="AA247" s="17"/>
      <c r="AB247" s="17"/>
      <c r="AC247" s="17"/>
    </row>
    <row r="248" spans="1:29" hidden="1">
      <c r="B248" s="216" t="s">
        <v>64</v>
      </c>
      <c r="C248" s="18">
        <f>($C$58+$C$59-663)/113.8*13.8</f>
        <v>-80.398945518453431</v>
      </c>
      <c r="D248" s="18"/>
      <c r="E248" s="7"/>
      <c r="F248" s="393" t="s">
        <v>397</v>
      </c>
      <c r="G248" s="18"/>
      <c r="H248" s="18"/>
      <c r="I248" s="18"/>
      <c r="J248" s="18"/>
      <c r="K248" s="18"/>
      <c r="L248" s="18"/>
      <c r="M248" s="18"/>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8"/>
      <c r="I249" s="18"/>
      <c r="J249" s="18"/>
      <c r="K249" s="18"/>
      <c r="L249" s="18"/>
      <c r="M249" s="18"/>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8"/>
      <c r="I250" s="18"/>
      <c r="J250" s="18"/>
      <c r="K250" s="18"/>
      <c r="L250" s="18"/>
      <c r="M250" s="18"/>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8"/>
      <c r="I251" s="18"/>
      <c r="J251" s="18"/>
      <c r="K251" s="18"/>
      <c r="L251" s="18"/>
      <c r="M251" s="18"/>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8"/>
      <c r="I252" s="18"/>
      <c r="J252" s="18"/>
      <c r="K252" s="18"/>
      <c r="L252" s="18"/>
      <c r="M252" s="18"/>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8"/>
      <c r="I253" s="18"/>
      <c r="J253" s="18"/>
      <c r="K253" s="18"/>
      <c r="L253" s="18"/>
      <c r="M253" s="18"/>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8"/>
      <c r="I254" s="18"/>
      <c r="J254" s="18"/>
      <c r="K254" s="18"/>
      <c r="L254" s="18"/>
      <c r="M254" s="18"/>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8"/>
      <c r="I255" s="18"/>
      <c r="J255" s="18"/>
      <c r="K255" s="18"/>
      <c r="L255" s="18"/>
      <c r="M255" s="18"/>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8"/>
      <c r="I256" s="18"/>
      <c r="J256" s="18"/>
      <c r="K256" s="18"/>
      <c r="L256" s="18"/>
      <c r="M256" s="18"/>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8"/>
      <c r="I257" s="18"/>
      <c r="J257" s="18"/>
      <c r="K257" s="18"/>
      <c r="L257" s="18"/>
      <c r="M257" s="18"/>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8"/>
      <c r="I258" s="18"/>
      <c r="J258" s="18"/>
      <c r="K258" s="18"/>
      <c r="L258" s="18"/>
      <c r="M258" s="18"/>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8"/>
      <c r="I259" s="18"/>
      <c r="J259" s="18"/>
      <c r="K259" s="18"/>
      <c r="L259" s="18"/>
      <c r="M259" s="18"/>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8"/>
      <c r="I260" s="18"/>
      <c r="J260" s="18"/>
      <c r="K260" s="18"/>
      <c r="L260" s="18"/>
      <c r="M260" s="18"/>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row>
    <row r="262" spans="1:29" ht="15" hidden="1">
      <c r="B262" s="216"/>
      <c r="C262" s="214">
        <v>0</v>
      </c>
      <c r="D262" s="214">
        <f>MAX(C261:C262)</f>
        <v>0</v>
      </c>
      <c r="E262" s="220"/>
    </row>
    <row r="263" spans="1:29" ht="15" hidden="1">
      <c r="B263" s="216" t="s">
        <v>203</v>
      </c>
      <c r="C263" s="329">
        <v>0</v>
      </c>
      <c r="D263" s="329">
        <v>0</v>
      </c>
      <c r="E263" s="220"/>
    </row>
    <row r="264" spans="1:29" ht="15" hidden="1">
      <c r="B264" s="330" t="s">
        <v>204</v>
      </c>
      <c r="C264" s="20"/>
      <c r="E264" s="219">
        <f>D263+D262+D260+D258+D256</f>
        <v>0</v>
      </c>
    </row>
    <row r="265" spans="1:29" ht="15.75" hidden="1" thickBot="1">
      <c r="B265" s="330" t="s">
        <v>69</v>
      </c>
      <c r="C265" s="20"/>
      <c r="E265" s="331">
        <f>E254+E264</f>
        <v>0</v>
      </c>
    </row>
    <row r="266" spans="1:29" ht="13.5" hidden="1" thickTop="1"/>
    <row r="267" spans="1:29" hidden="1"/>
    <row r="268" spans="1:29" ht="15" hidden="1">
      <c r="A268" s="211" t="s">
        <v>318</v>
      </c>
      <c r="B268" s="17"/>
      <c r="D268" s="212"/>
      <c r="E268" s="17"/>
      <c r="F268" s="17"/>
    </row>
    <row r="269" spans="1:29" hidden="1">
      <c r="B269" s="18"/>
      <c r="C269" s="18"/>
      <c r="D269" s="18"/>
      <c r="E269" s="18"/>
      <c r="F269" s="18"/>
    </row>
    <row r="270" spans="1:29" ht="15" hidden="1">
      <c r="B270" s="213" t="s">
        <v>196</v>
      </c>
      <c r="C270" s="214"/>
      <c r="D270" s="214">
        <f>$C$58+$C$59-D272</f>
        <v>0</v>
      </c>
      <c r="E270" s="18"/>
      <c r="F270" s="215" t="s">
        <v>197</v>
      </c>
    </row>
    <row r="271" spans="1:29" hidden="1">
      <c r="B271" s="216" t="s">
        <v>64</v>
      </c>
      <c r="C271" s="18">
        <f>($C$58+$C$59-641)/113.8*13.8</f>
        <v>-77.7311072056239</v>
      </c>
      <c r="D271" s="18"/>
      <c r="E271" s="7"/>
      <c r="F271" s="393" t="s">
        <v>324</v>
      </c>
    </row>
    <row r="272" spans="1:29" hidden="1">
      <c r="B272" s="216"/>
      <c r="C272" s="214">
        <v>0</v>
      </c>
      <c r="D272" s="214">
        <f>MAX(C271:C272)</f>
        <v>0</v>
      </c>
      <c r="E272" s="7"/>
      <c r="F272" s="216"/>
    </row>
    <row r="273" spans="2:6" hidden="1">
      <c r="B273" s="216" t="s">
        <v>65</v>
      </c>
      <c r="C273" s="18">
        <f>IF((D248&lt;3454.17), ((D248-645)*0.12),((3539.58-645)*0.12))</f>
        <v>-77.399999999999991</v>
      </c>
      <c r="D273" s="18"/>
      <c r="E273" s="7"/>
      <c r="F273" s="393" t="s">
        <v>323</v>
      </c>
    </row>
    <row r="274" spans="2:6" hidden="1">
      <c r="B274" s="216"/>
      <c r="C274" s="214">
        <v>0</v>
      </c>
      <c r="D274" s="214">
        <f>MAX(C273:C274)</f>
        <v>0</v>
      </c>
      <c r="E274" s="7"/>
      <c r="F274" s="216"/>
    </row>
    <row r="275" spans="2:6" hidden="1">
      <c r="B275" s="216" t="s">
        <v>120</v>
      </c>
      <c r="C275" s="18">
        <f>(D248-3454.17)*0.02</f>
        <v>-69.083399999999997</v>
      </c>
      <c r="D275" s="18"/>
      <c r="E275" s="7"/>
      <c r="F275" s="393" t="s">
        <v>322</v>
      </c>
    </row>
    <row r="276" spans="2:6" hidden="1">
      <c r="B276" s="217"/>
      <c r="C276" s="214">
        <v>0</v>
      </c>
      <c r="D276" s="214">
        <f>MAX(C275:C276)</f>
        <v>0</v>
      </c>
      <c r="E276" s="7"/>
      <c r="F276" s="216"/>
    </row>
    <row r="277" spans="2:6" ht="15" hidden="1">
      <c r="B277" s="218" t="s">
        <v>198</v>
      </c>
      <c r="C277" s="71"/>
      <c r="D277" s="71"/>
      <c r="E277" s="219">
        <f>D276+D274+D272</f>
        <v>0</v>
      </c>
      <c r="F277" s="216"/>
    </row>
    <row r="278" spans="2:6" ht="15" hidden="1">
      <c r="D278" s="18"/>
      <c r="E278" s="220"/>
      <c r="F278" s="327" t="s">
        <v>210</v>
      </c>
    </row>
    <row r="279" spans="2:6" ht="15" hidden="1">
      <c r="B279" s="217" t="s">
        <v>199</v>
      </c>
      <c r="C279" s="328">
        <f>IF((D248&lt;12500),0,((D248-12500)*0.45))</f>
        <v>0</v>
      </c>
      <c r="D279" s="214">
        <f>C279</f>
        <v>0</v>
      </c>
      <c r="E279" s="220"/>
      <c r="F279" s="216"/>
    </row>
    <row r="280" spans="2:6" ht="15" hidden="1">
      <c r="B280" s="217" t="s">
        <v>200</v>
      </c>
      <c r="C280" s="20">
        <f>IF((D248&lt;12500),(((D248-8333.33)*0.4)+(786.67*0.4)),(((12500-8333.33)*0.4)+(786.67*0.4)))</f>
        <v>-3018.6640000000002</v>
      </c>
      <c r="D280" s="18"/>
      <c r="E280" s="220"/>
      <c r="F280" s="327" t="s">
        <v>209</v>
      </c>
    </row>
    <row r="281" spans="2:6" ht="15" hidden="1">
      <c r="B281" s="217"/>
      <c r="C281" s="214">
        <v>0</v>
      </c>
      <c r="D281" s="214">
        <f>MAX(C280:C281)</f>
        <v>0</v>
      </c>
      <c r="E281" s="220"/>
      <c r="F281" s="217"/>
    </row>
    <row r="282" spans="2:6" ht="15" hidden="1">
      <c r="B282" s="216" t="s">
        <v>201</v>
      </c>
      <c r="C282" s="20">
        <f>IF((D248&lt;8333.33),((D248-3454.17)*0.4),((8333.33-3454.17)*0.4))</f>
        <v>-1381.6680000000001</v>
      </c>
      <c r="D282" s="18"/>
      <c r="E282" s="220"/>
      <c r="F282" s="393" t="s">
        <v>321</v>
      </c>
    </row>
    <row r="283" spans="2:6" ht="15" hidden="1">
      <c r="B283" s="216"/>
      <c r="C283" s="214">
        <v>0</v>
      </c>
      <c r="D283" s="214">
        <f>MAX(C282:C283)</f>
        <v>0</v>
      </c>
      <c r="E283" s="220"/>
      <c r="F283" s="393" t="s">
        <v>320</v>
      </c>
    </row>
    <row r="284" spans="2:6" ht="15" hidden="1">
      <c r="B284" s="216" t="s">
        <v>202</v>
      </c>
      <c r="C284" s="20">
        <f>IF((D248&lt;3454.17),((D248-786.67)*0.2),(2667.5*0.2))</f>
        <v>-157.334</v>
      </c>
      <c r="D284" s="18"/>
      <c r="E284" s="221"/>
      <c r="F284" s="393" t="s">
        <v>319</v>
      </c>
    </row>
    <row r="285" spans="2:6" ht="15" hidden="1">
      <c r="B285" s="216"/>
      <c r="C285" s="214">
        <v>0</v>
      </c>
      <c r="D285" s="214">
        <f>MAX(C284:C285)</f>
        <v>0</v>
      </c>
      <c r="E285" s="220"/>
    </row>
    <row r="286" spans="2:6" ht="15" hidden="1">
      <c r="B286" s="216" t="s">
        <v>203</v>
      </c>
      <c r="C286" s="329">
        <v>0</v>
      </c>
      <c r="D286" s="329">
        <v>0</v>
      </c>
      <c r="E286" s="220"/>
    </row>
    <row r="287" spans="2:6" ht="15" hidden="1">
      <c r="B287" s="330" t="s">
        <v>204</v>
      </c>
      <c r="C287" s="20"/>
      <c r="E287" s="219">
        <f>D286+D285+D283+D281+D279</f>
        <v>0</v>
      </c>
    </row>
    <row r="288" spans="2:6"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row r="295" spans="1:7">
      <c r="A295" s="17"/>
      <c r="B295" s="216"/>
      <c r="C295" s="18"/>
      <c r="D295" s="18"/>
      <c r="E295" s="17"/>
      <c r="F295" s="216"/>
      <c r="G295" s="344"/>
    </row>
    <row r="296" spans="1:7">
      <c r="A296" s="17"/>
      <c r="B296" s="216"/>
      <c r="C296" s="18"/>
      <c r="D296" s="18"/>
      <c r="E296" s="17"/>
      <c r="F296" s="344"/>
      <c r="G296" s="344"/>
    </row>
    <row r="297" spans="1:7">
      <c r="A297" s="17"/>
      <c r="B297" s="216"/>
      <c r="C297" s="18"/>
      <c r="D297" s="18"/>
      <c r="E297" s="17"/>
      <c r="F297" s="216"/>
      <c r="G297" s="344"/>
    </row>
    <row r="298" spans="1:7">
      <c r="A298" s="17"/>
      <c r="B298" s="395"/>
      <c r="C298" s="18"/>
      <c r="D298" s="18"/>
      <c r="E298" s="17"/>
      <c r="F298" s="216"/>
      <c r="G298" s="344"/>
    </row>
    <row r="299" spans="1:7" ht="15">
      <c r="A299" s="17"/>
      <c r="B299" s="396"/>
      <c r="C299" s="53"/>
      <c r="D299" s="53"/>
      <c r="E299" s="397"/>
      <c r="F299" s="398"/>
      <c r="G299" s="344"/>
    </row>
    <row r="300" spans="1:7" ht="15">
      <c r="A300" s="17"/>
      <c r="B300" s="17"/>
      <c r="C300" s="17"/>
      <c r="D300" s="18"/>
      <c r="E300" s="221"/>
      <c r="F300" s="216"/>
      <c r="G300" s="344"/>
    </row>
    <row r="301" spans="1:7" ht="15">
      <c r="A301" s="17"/>
      <c r="B301" s="395"/>
      <c r="C301" s="18"/>
      <c r="D301" s="18"/>
      <c r="E301" s="221"/>
      <c r="F301" s="344"/>
      <c r="G301" s="344"/>
    </row>
    <row r="302" spans="1:7" ht="15">
      <c r="A302" s="17"/>
      <c r="B302" s="216"/>
      <c r="C302" s="344"/>
      <c r="D302" s="18"/>
      <c r="E302" s="221"/>
      <c r="F302" s="344"/>
      <c r="G302" s="344"/>
    </row>
    <row r="303" spans="1:7" ht="15">
      <c r="A303" s="17"/>
      <c r="B303" s="216"/>
      <c r="C303" s="18"/>
      <c r="D303" s="18"/>
      <c r="E303" s="221"/>
      <c r="F303" s="216"/>
      <c r="G303" s="344"/>
    </row>
    <row r="304" spans="1:7" ht="15">
      <c r="A304" s="17"/>
      <c r="B304" s="216"/>
      <c r="C304" s="344"/>
      <c r="D304" s="18"/>
      <c r="E304" s="221"/>
      <c r="F304" s="216"/>
      <c r="G304" s="344"/>
    </row>
    <row r="305" spans="1:7" ht="15">
      <c r="A305" s="17"/>
      <c r="B305" s="216"/>
      <c r="C305" s="18"/>
      <c r="D305" s="18"/>
      <c r="E305" s="221"/>
      <c r="F305" s="216"/>
      <c r="G305" s="344"/>
    </row>
    <row r="306" spans="1:7" ht="15">
      <c r="A306" s="17"/>
      <c r="B306" s="216"/>
      <c r="C306" s="18"/>
      <c r="D306" s="18"/>
      <c r="E306" s="221"/>
      <c r="F306" s="344"/>
      <c r="G306" s="344"/>
    </row>
    <row r="307" spans="1:7" ht="15">
      <c r="A307" s="17"/>
      <c r="B307" s="399"/>
      <c r="C307" s="344"/>
      <c r="D307" s="344"/>
      <c r="E307" s="397"/>
      <c r="F307" s="344"/>
      <c r="G307" s="344"/>
    </row>
    <row r="308" spans="1:7" ht="15">
      <c r="A308" s="17"/>
      <c r="B308" s="399"/>
      <c r="C308" s="344"/>
      <c r="D308" s="344"/>
      <c r="E308" s="400"/>
      <c r="F308" s="344"/>
      <c r="G308" s="344"/>
    </row>
    <row r="309" spans="1:7">
      <c r="A309" s="17"/>
      <c r="B309" s="17"/>
      <c r="C309" s="17"/>
      <c r="D309" s="344"/>
      <c r="E309" s="344"/>
      <c r="F309" s="344"/>
      <c r="G309" s="344"/>
    </row>
    <row r="310" spans="1:7" ht="15">
      <c r="A310" s="17"/>
      <c r="B310" s="399"/>
      <c r="C310" s="344"/>
      <c r="D310" s="344"/>
      <c r="E310" s="397"/>
      <c r="F310" s="344"/>
      <c r="G310" s="344"/>
    </row>
    <row r="311" spans="1:7" ht="15">
      <c r="A311" s="17"/>
      <c r="B311" s="399"/>
      <c r="C311" s="344"/>
      <c r="D311" s="344"/>
      <c r="E311" s="400"/>
      <c r="F311" s="344"/>
      <c r="G311" s="344"/>
    </row>
  </sheetData>
  <mergeCells count="1">
    <mergeCell ref="I10:I11"/>
  </mergeCells>
  <phoneticPr fontId="0" type="noConversion"/>
  <conditionalFormatting sqref="G93:G196">
    <cfRule type="expression" dxfId="410" priority="33" stopIfTrue="1">
      <formula>$E$12&gt;0</formula>
    </cfRule>
    <cfRule type="expression" priority="34" stopIfTrue="1">
      <formula>$E$12 &gt;0</formula>
    </cfRule>
  </conditionalFormatting>
  <conditionalFormatting sqref="G93:G196">
    <cfRule type="expression" dxfId="409" priority="32" stopIfTrue="1">
      <formula>$E$12&gt;0</formula>
    </cfRule>
  </conditionalFormatting>
  <conditionalFormatting sqref="G93:G196">
    <cfRule type="expression" dxfId="408" priority="31" stopIfTrue="1">
      <formula>"e12&gt;0"</formula>
    </cfRule>
  </conditionalFormatting>
  <conditionalFormatting sqref="I6">
    <cfRule type="cellIs" priority="30" operator="lessThan">
      <formula>$L$3</formula>
    </cfRule>
  </conditionalFormatting>
  <conditionalFormatting sqref="G91">
    <cfRule type="expression" dxfId="407" priority="28" stopIfTrue="1">
      <formula>$E$12&gt;0</formula>
    </cfRule>
    <cfRule type="expression" priority="29" stopIfTrue="1">
      <formula>$E$12 &gt;0</formula>
    </cfRule>
  </conditionalFormatting>
  <conditionalFormatting sqref="G91">
    <cfRule type="expression" dxfId="406" priority="27" stopIfTrue="1">
      <formula>$E$12&gt;0</formula>
    </cfRule>
  </conditionalFormatting>
  <conditionalFormatting sqref="G91">
    <cfRule type="expression" dxfId="405" priority="26" stopIfTrue="1">
      <formula>"e12&gt;0"</formula>
    </cfRule>
  </conditionalFormatting>
  <conditionalFormatting sqref="G90">
    <cfRule type="expression" dxfId="404" priority="24" stopIfTrue="1">
      <formula>$E$12&gt;0</formula>
    </cfRule>
    <cfRule type="expression" priority="25" stopIfTrue="1">
      <formula>$E$12 &gt;0</formula>
    </cfRule>
  </conditionalFormatting>
  <conditionalFormatting sqref="G90">
    <cfRule type="expression" dxfId="403" priority="23" stopIfTrue="1">
      <formula>$E$12&gt;0</formula>
    </cfRule>
  </conditionalFormatting>
  <conditionalFormatting sqref="G90">
    <cfRule type="expression" dxfId="402" priority="22" stopIfTrue="1">
      <formula>"e12&gt;0"</formula>
    </cfRule>
  </conditionalFormatting>
  <conditionalFormatting sqref="G80:G82 G87:G88">
    <cfRule type="expression" dxfId="401" priority="15">
      <formula>$E$12&gt;0</formula>
    </cfRule>
  </conditionalFormatting>
  <conditionalFormatting sqref="G80:G82 G87:G88">
    <cfRule type="expression" dxfId="400" priority="16">
      <formula>$E$12&gt;0</formula>
    </cfRule>
  </conditionalFormatting>
  <conditionalFormatting sqref="G80:G82 G87:G88">
    <cfRule type="expression" dxfId="399" priority="17">
      <formula>"e12&gt;0"</formula>
    </cfRule>
  </conditionalFormatting>
  <conditionalFormatting sqref="G80:G82 G87:G88">
    <cfRule type="expression" dxfId="398" priority="18">
      <formula>$E$12&gt;0</formula>
    </cfRule>
  </conditionalFormatting>
  <conditionalFormatting sqref="G80:G82 G87:G88">
    <cfRule type="expression" dxfId="397" priority="19">
      <formula>$E$12</formula>
    </cfRule>
  </conditionalFormatting>
  <conditionalFormatting sqref="G80:G82 G87:G88">
    <cfRule type="expression" dxfId="396" priority="20">
      <formula>$E$12</formula>
    </cfRule>
  </conditionalFormatting>
  <conditionalFormatting sqref="G80:G82 G87:G88">
    <cfRule type="expression" dxfId="395" priority="21">
      <formula>"e12&gt;0"</formula>
    </cfRule>
  </conditionalFormatting>
  <conditionalFormatting sqref="G89">
    <cfRule type="expression" dxfId="394" priority="12">
      <formula>$E$12&gt;0</formula>
    </cfRule>
  </conditionalFormatting>
  <conditionalFormatting sqref="G89">
    <cfRule type="expression" dxfId="393" priority="13">
      <formula>$E$12&gt;0</formula>
    </cfRule>
  </conditionalFormatting>
  <conditionalFormatting sqref="G89">
    <cfRule type="expression" dxfId="392" priority="14">
      <formula>"e12&gt;0"</formula>
    </cfRule>
  </conditionalFormatting>
  <conditionalFormatting sqref="G83:G86">
    <cfRule type="expression" dxfId="391" priority="5">
      <formula>$E$12&gt;0</formula>
    </cfRule>
  </conditionalFormatting>
  <conditionalFormatting sqref="G83:G86">
    <cfRule type="expression" dxfId="390" priority="6">
      <formula>$E$12&gt;0</formula>
    </cfRule>
  </conditionalFormatting>
  <conditionalFormatting sqref="G83:G86">
    <cfRule type="expression" dxfId="389" priority="7">
      <formula>"e12&gt;0"</formula>
    </cfRule>
  </conditionalFormatting>
  <conditionalFormatting sqref="G83:G86">
    <cfRule type="expression" dxfId="388" priority="8">
      <formula>$E$12&gt;0</formula>
    </cfRule>
  </conditionalFormatting>
  <conditionalFormatting sqref="G83:G86">
    <cfRule type="expression" dxfId="387" priority="9">
      <formula>$E$12</formula>
    </cfRule>
  </conditionalFormatting>
  <conditionalFormatting sqref="G83:G86">
    <cfRule type="expression" dxfId="386" priority="10">
      <formula>$E$12</formula>
    </cfRule>
  </conditionalFormatting>
  <conditionalFormatting sqref="G83:G86">
    <cfRule type="expression" dxfId="385" priority="11">
      <formula>"e12&gt;0"</formula>
    </cfRule>
  </conditionalFormatting>
  <conditionalFormatting sqref="G92">
    <cfRule type="expression" dxfId="384" priority="2" stopIfTrue="1">
      <formula>$E$12&gt;0</formula>
    </cfRule>
  </conditionalFormatting>
  <conditionalFormatting sqref="G92">
    <cfRule type="expression" dxfId="383" priority="3" stopIfTrue="1">
      <formula>$E$12&gt;0</formula>
    </cfRule>
    <cfRule type="expression" priority="4" stopIfTrue="1">
      <formula>$E$12 &gt;0</formula>
    </cfRule>
  </conditionalFormatting>
  <conditionalFormatting sqref="G92">
    <cfRule type="expression" dxfId="382" priority="1" stopIfTrue="1">
      <formula>"e12&gt;0"</formula>
    </cfRule>
  </conditionalFormatting>
  <pageMargins left="0.74803149606299213" right="0.74803149606299213" top="0.98425196850393704" bottom="0.98425196850393704" header="0.51181102362204722" footer="0.51181102362204722"/>
  <pageSetup paperSize="9" scale="10" orientation="landscape" horizontalDpi="300" verticalDpi="300" r:id="rId1"/>
  <headerFooter alignWithMargins="0">
    <oddFooter>&amp;C&amp;"Bodoni Bd BT,Bold Italic"&amp;9Page &amp;P of &amp;N</oddFooter>
  </headerFooter>
  <ignoredErrors>
    <ignoredError sqref="E216:F216 D41:D52 B41 E41:E5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5132" r:id="rId4" name="Check Box 12">
              <controlPr defaultSize="0" autoFill="0" autoLine="0" autoPict="0">
                <anchor moveWithCells="1">
                  <from>
                    <xdr:col>6</xdr:col>
                    <xdr:colOff>114300</xdr:colOff>
                    <xdr:row>214</xdr:row>
                    <xdr:rowOff>114300</xdr:rowOff>
                  </from>
                  <to>
                    <xdr:col>7</xdr:col>
                    <xdr:colOff>495300</xdr:colOff>
                    <xdr:row>216</xdr:row>
                    <xdr:rowOff>28575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BE294"/>
  <sheetViews>
    <sheetView showZeros="0" topLeftCell="A8" zoomScale="70" zoomScaleNormal="70" workbookViewId="0">
      <pane xSplit="7" topLeftCell="H1" activePane="topRight" state="frozen"/>
      <selection activeCell="L49" sqref="L49"/>
      <selection pane="topRight" activeCell="M18" sqref="M18"/>
    </sheetView>
  </sheetViews>
  <sheetFormatPr defaultColWidth="0" defaultRowHeight="12.75"/>
  <cols>
    <col min="1" max="1" width="10.7109375" style="7" customWidth="1"/>
    <col min="2" max="2" width="25.7109375" style="7" customWidth="1"/>
    <col min="3" max="3" width="17.7109375" style="7" customWidth="1"/>
    <col min="4" max="5" width="13.7109375" style="20" customWidth="1"/>
    <col min="6" max="6" width="17.140625" style="20" customWidth="1"/>
    <col min="7"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1" width="12.7109375" style="629" hidden="1" customWidth="1"/>
    <col min="32" max="32" width="12.7109375" style="634" customWidth="1"/>
    <col min="33" max="33" width="17.140625" style="7" hidden="1" customWidth="1"/>
    <col min="34" max="16384" width="0" style="7" hidden="1"/>
  </cols>
  <sheetData>
    <row r="1" spans="1:29" ht="13.5" thickBot="1">
      <c r="A1" s="7">
        <v>0</v>
      </c>
    </row>
    <row r="2" spans="1:29" ht="29.45" customHeight="1" thickBot="1">
      <c r="A2" s="81" t="str">
        <f>'Nov 17'!A2</f>
        <v>Design-spectrum Limited</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86" t="s">
        <v>84</v>
      </c>
      <c r="B4" s="87"/>
      <c r="C4" s="85">
        <f>'Nov 17'!C4+31</f>
        <v>43071</v>
      </c>
      <c r="E4" s="5"/>
      <c r="F4" s="5"/>
      <c r="G4" s="5"/>
      <c r="H4" s="5"/>
      <c r="I4" s="5"/>
      <c r="J4" s="5"/>
      <c r="K4" s="5"/>
      <c r="L4" s="5"/>
      <c r="M4" s="5"/>
      <c r="N4" s="5"/>
      <c r="O4" s="5"/>
      <c r="P4" s="21"/>
      <c r="Q4" s="22"/>
      <c r="R4" s="22"/>
      <c r="S4" s="22"/>
      <c r="T4" s="22"/>
      <c r="U4" s="22"/>
      <c r="V4" s="22"/>
      <c r="W4" s="22"/>
      <c r="X4" s="22"/>
      <c r="Y4" s="22"/>
      <c r="Z4" s="22"/>
      <c r="AA4" s="22"/>
      <c r="AB4" s="22"/>
      <c r="AC4" s="22"/>
    </row>
    <row r="6" spans="1:29" ht="13.5" thickBot="1"/>
    <row r="7" spans="1:29" ht="21" thickBot="1">
      <c r="A7" s="101" t="s">
        <v>0</v>
      </c>
      <c r="B7" s="102"/>
      <c r="C7" s="102"/>
      <c r="D7" s="102"/>
      <c r="E7" s="102"/>
      <c r="F7" s="102"/>
      <c r="G7" s="103"/>
      <c r="H7" s="23"/>
      <c r="I7" s="101" t="s">
        <v>211</v>
      </c>
      <c r="J7" s="102"/>
      <c r="K7" s="102"/>
      <c r="L7" s="103"/>
      <c r="M7" s="7"/>
    </row>
    <row r="8" spans="1:29" ht="13.5" thickBot="1">
      <c r="A8" s="24"/>
      <c r="B8" s="24"/>
      <c r="C8" s="24"/>
      <c r="D8" s="5"/>
      <c r="E8" s="5"/>
      <c r="F8" s="5"/>
      <c r="G8" s="5"/>
      <c r="H8" s="5"/>
      <c r="I8" s="5"/>
      <c r="J8" s="5"/>
      <c r="K8" s="5"/>
      <c r="L8" s="5"/>
      <c r="M8" s="5"/>
    </row>
    <row r="9" spans="1:29" ht="15.75" thickBot="1">
      <c r="A9" s="25" t="s">
        <v>2</v>
      </c>
      <c r="B9" s="24"/>
      <c r="C9" s="24"/>
      <c r="D9" s="26"/>
      <c r="E9" s="334" t="str">
        <f>'Nov 17'!E9</f>
        <v>n</v>
      </c>
      <c r="F9" s="5">
        <f>IF(E9="Both","enter sales invoices manually at row 30 onwards",0)</f>
        <v>0</v>
      </c>
      <c r="G9" s="5"/>
      <c r="H9" s="5"/>
      <c r="I9" s="5"/>
      <c r="J9" s="5"/>
      <c r="K9" s="5"/>
      <c r="L9" s="5"/>
      <c r="M9" s="5"/>
    </row>
    <row r="10" spans="1:29" ht="15.75" thickBot="1">
      <c r="A10" s="24"/>
      <c r="B10" s="24"/>
      <c r="C10" s="24"/>
      <c r="E10" s="27"/>
      <c r="F10" s="5"/>
      <c r="G10" s="5"/>
      <c r="H10" s="5"/>
      <c r="I10" s="5"/>
      <c r="J10" s="5"/>
      <c r="K10" s="5"/>
      <c r="L10" s="5"/>
      <c r="M10" s="5"/>
    </row>
    <row r="11" spans="1:29" ht="15.75" thickBot="1">
      <c r="A11" s="25" t="s">
        <v>4</v>
      </c>
      <c r="B11" s="24"/>
      <c r="C11" s="24"/>
      <c r="E11" s="334" t="str">
        <f>'Nov 17'!E11</f>
        <v>y</v>
      </c>
      <c r="F11" s="5"/>
      <c r="G11" s="5"/>
      <c r="H11" s="5"/>
      <c r="I11" s="5"/>
      <c r="J11" s="5"/>
      <c r="K11" s="65" t="s">
        <v>20</v>
      </c>
      <c r="L11" s="65"/>
      <c r="M11" s="5"/>
      <c r="N11" s="5"/>
      <c r="O11" s="14" t="s">
        <v>20</v>
      </c>
    </row>
    <row r="12" spans="1:29" ht="15.75" thickBot="1">
      <c r="A12" s="25" t="s">
        <v>306</v>
      </c>
      <c r="B12" s="24"/>
      <c r="C12" s="24"/>
      <c r="E12" s="335">
        <f>'Nov 17'!E12</f>
        <v>0.16500000000000001</v>
      </c>
      <c r="F12" s="5"/>
      <c r="G12" s="5"/>
      <c r="H12" s="5"/>
      <c r="I12" s="5"/>
      <c r="J12" s="5"/>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2"/>
      <c r="C16" s="33" t="s">
        <v>77</v>
      </c>
      <c r="D16" s="346">
        <f>'Nov 17'!D54</f>
        <v>0</v>
      </c>
      <c r="E16" s="346">
        <f>'Nov 17'!E54</f>
        <v>0</v>
      </c>
      <c r="F16" s="346">
        <f>'Nov 17'!F54</f>
        <v>0</v>
      </c>
      <c r="G16" s="259">
        <f>'Nov 17'!G54</f>
        <v>0</v>
      </c>
      <c r="H16" s="34"/>
      <c r="I16" s="153" t="s">
        <v>20</v>
      </c>
      <c r="J16" s="152" t="s">
        <v>77</v>
      </c>
      <c r="K16" s="154"/>
      <c r="L16" s="486">
        <f>'Nov 17'!L54</f>
        <v>23100</v>
      </c>
      <c r="M16" s="263">
        <f>'Nov 17'!M54</f>
        <v>0</v>
      </c>
      <c r="N16" s="263">
        <f>'Nov 17'!N54</f>
        <v>0</v>
      </c>
      <c r="O16" s="263">
        <f>'Nov 17'!O54</f>
        <v>0</v>
      </c>
      <c r="P16" s="257">
        <f>'Nov 17'!P54</f>
        <v>1.43</v>
      </c>
      <c r="Q16" s="17"/>
    </row>
    <row r="17" spans="1:16" ht="38.25">
      <c r="A17" s="555"/>
      <c r="B17" s="548" t="s">
        <v>473</v>
      </c>
      <c r="C17" s="2"/>
      <c r="D17" s="346">
        <f>IF(E$9="y",F17-G17,0)</f>
        <v>0</v>
      </c>
      <c r="E17" s="346">
        <f>IF(E$9="n",F17-G17,0)</f>
        <v>16500</v>
      </c>
      <c r="F17" s="558">
        <v>19800</v>
      </c>
      <c r="G17" s="551">
        <f t="shared" ref="G17:G52" si="0">IF(($E$11="n"),0,IF((LEFT(C17,1)="v"),F17,IF((LEFT(C17,1)="z"),0,F17*1/6)))</f>
        <v>3300</v>
      </c>
      <c r="H17" s="34"/>
      <c r="I17" s="560"/>
      <c r="J17" s="744" t="s">
        <v>478</v>
      </c>
      <c r="K17" s="567"/>
      <c r="L17" s="585"/>
      <c r="M17" s="562"/>
      <c r="N17" s="562"/>
      <c r="O17" s="740">
        <v>50488.86</v>
      </c>
      <c r="P17" s="563"/>
    </row>
    <row r="18" spans="1:16" ht="51">
      <c r="A18" s="555"/>
      <c r="B18" s="548" t="s">
        <v>474</v>
      </c>
      <c r="C18" s="2"/>
      <c r="D18" s="346">
        <f t="shared" ref="D18:D52" si="1">IF(E$9="y",F18-G18,0)</f>
        <v>0</v>
      </c>
      <c r="E18" s="346">
        <f t="shared" ref="E18:E52" si="2">IF(E$9="n",F18-G18,0)</f>
        <v>2750</v>
      </c>
      <c r="F18" s="558">
        <v>3300</v>
      </c>
      <c r="G18" s="551">
        <f t="shared" si="0"/>
        <v>550</v>
      </c>
      <c r="H18" s="34"/>
      <c r="I18" s="560"/>
      <c r="J18" s="744" t="s">
        <v>479</v>
      </c>
      <c r="K18" s="567"/>
      <c r="L18" s="585"/>
      <c r="M18" s="562">
        <v>66.53</v>
      </c>
      <c r="N18" s="562"/>
      <c r="O18" s="562"/>
      <c r="P18" s="745">
        <v>-66.53</v>
      </c>
    </row>
    <row r="19" spans="1:16">
      <c r="A19" s="555"/>
      <c r="B19" s="1"/>
      <c r="C19" s="2"/>
      <c r="D19" s="346">
        <f t="shared" si="1"/>
        <v>0</v>
      </c>
      <c r="E19" s="346">
        <f t="shared" si="2"/>
        <v>0</v>
      </c>
      <c r="F19" s="558"/>
      <c r="G19" s="551">
        <f t="shared" si="0"/>
        <v>0</v>
      </c>
      <c r="H19" s="34"/>
      <c r="I19" s="560"/>
      <c r="J19" s="743" t="s">
        <v>482</v>
      </c>
      <c r="K19" s="567"/>
      <c r="L19" s="585">
        <v>19800</v>
      </c>
      <c r="M19" s="562"/>
      <c r="N19" s="562"/>
      <c r="O19" s="562"/>
      <c r="P19" s="563"/>
    </row>
    <row r="20" spans="1:16">
      <c r="A20" s="555"/>
      <c r="B20" s="1"/>
      <c r="C20" s="2"/>
      <c r="D20" s="346">
        <f t="shared" si="1"/>
        <v>0</v>
      </c>
      <c r="E20" s="346">
        <f t="shared" si="2"/>
        <v>0</v>
      </c>
      <c r="F20" s="558"/>
      <c r="G20" s="551">
        <f t="shared" si="0"/>
        <v>0</v>
      </c>
      <c r="H20" s="34"/>
      <c r="I20" s="560"/>
      <c r="J20" s="565"/>
      <c r="K20" s="567"/>
      <c r="L20" s="585"/>
      <c r="M20" s="562"/>
      <c r="N20" s="562"/>
      <c r="O20" s="562"/>
      <c r="P20" s="745">
        <v>1.52</v>
      </c>
    </row>
    <row r="21" spans="1:16">
      <c r="A21" s="555"/>
      <c r="B21" s="1"/>
      <c r="C21" s="2"/>
      <c r="D21" s="346">
        <f t="shared" si="1"/>
        <v>0</v>
      </c>
      <c r="E21" s="346">
        <f t="shared" si="2"/>
        <v>0</v>
      </c>
      <c r="F21" s="558"/>
      <c r="G21" s="551">
        <f t="shared" si="0"/>
        <v>0</v>
      </c>
      <c r="H21" s="34"/>
      <c r="I21" s="560"/>
      <c r="J21" s="565"/>
      <c r="K21" s="567"/>
      <c r="L21" s="585"/>
      <c r="M21" s="562"/>
      <c r="N21" s="562"/>
      <c r="O21" s="562"/>
      <c r="P21" s="563"/>
    </row>
    <row r="22" spans="1:16">
      <c r="A22" s="555"/>
      <c r="B22" s="1"/>
      <c r="C22" s="2"/>
      <c r="D22" s="346">
        <f t="shared" si="1"/>
        <v>0</v>
      </c>
      <c r="E22" s="346">
        <f t="shared" si="2"/>
        <v>0</v>
      </c>
      <c r="F22" s="558"/>
      <c r="G22" s="551">
        <f t="shared" si="0"/>
        <v>0</v>
      </c>
      <c r="H22" s="34"/>
      <c r="I22" s="560"/>
      <c r="J22" s="565"/>
      <c r="K22" s="567"/>
      <c r="L22" s="585"/>
      <c r="M22" s="562"/>
      <c r="N22" s="562"/>
      <c r="O22" s="562"/>
      <c r="P22" s="563"/>
    </row>
    <row r="23" spans="1:16">
      <c r="A23" s="555"/>
      <c r="B23" s="1"/>
      <c r="C23" s="2"/>
      <c r="D23" s="346">
        <f t="shared" si="1"/>
        <v>0</v>
      </c>
      <c r="E23" s="346">
        <f t="shared" si="2"/>
        <v>0</v>
      </c>
      <c r="F23" s="558"/>
      <c r="G23" s="551">
        <f t="shared" si="0"/>
        <v>0</v>
      </c>
      <c r="H23" s="34"/>
      <c r="I23" s="560"/>
      <c r="J23" s="565"/>
      <c r="K23" s="567"/>
      <c r="L23" s="585"/>
      <c r="M23" s="562"/>
      <c r="N23" s="562"/>
      <c r="O23" s="562"/>
      <c r="P23" s="563"/>
    </row>
    <row r="24" spans="1:16">
      <c r="A24" s="555"/>
      <c r="B24" s="1"/>
      <c r="C24" s="2"/>
      <c r="D24" s="346">
        <f t="shared" si="1"/>
        <v>0</v>
      </c>
      <c r="E24" s="346">
        <f t="shared" si="2"/>
        <v>0</v>
      </c>
      <c r="F24" s="558"/>
      <c r="G24" s="551">
        <f t="shared" si="0"/>
        <v>0</v>
      </c>
      <c r="H24" s="34"/>
      <c r="I24" s="560"/>
      <c r="J24" s="565"/>
      <c r="K24" s="567"/>
      <c r="L24" s="585"/>
      <c r="M24" s="562"/>
      <c r="N24" s="562"/>
      <c r="O24" s="562"/>
      <c r="P24" s="563"/>
    </row>
    <row r="25" spans="1:16">
      <c r="A25" s="555"/>
      <c r="B25" s="1"/>
      <c r="C25" s="2"/>
      <c r="D25" s="346">
        <f t="shared" si="1"/>
        <v>0</v>
      </c>
      <c r="E25" s="346">
        <f t="shared" si="2"/>
        <v>0</v>
      </c>
      <c r="F25" s="558"/>
      <c r="G25" s="551">
        <f t="shared" si="0"/>
        <v>0</v>
      </c>
      <c r="H25" s="34"/>
      <c r="I25" s="560"/>
      <c r="J25" s="565"/>
      <c r="K25" s="567"/>
      <c r="L25" s="585"/>
      <c r="M25" s="562"/>
      <c r="N25" s="562"/>
      <c r="O25" s="562"/>
      <c r="P25" s="563"/>
    </row>
    <row r="26" spans="1:16">
      <c r="A26" s="555"/>
      <c r="B26" s="1"/>
      <c r="C26" s="2"/>
      <c r="D26" s="346">
        <f t="shared" si="1"/>
        <v>0</v>
      </c>
      <c r="E26" s="346">
        <f t="shared" si="2"/>
        <v>0</v>
      </c>
      <c r="F26" s="558"/>
      <c r="G26" s="551">
        <f t="shared" si="0"/>
        <v>0</v>
      </c>
      <c r="H26" s="34"/>
      <c r="I26" s="560"/>
      <c r="J26" s="565"/>
      <c r="K26" s="567"/>
      <c r="L26" s="585"/>
      <c r="M26" s="562"/>
      <c r="N26" s="562"/>
      <c r="O26" s="562"/>
      <c r="P26" s="563"/>
    </row>
    <row r="27" spans="1:16">
      <c r="A27" s="555"/>
      <c r="B27" s="1"/>
      <c r="C27" s="2"/>
      <c r="D27" s="346">
        <f t="shared" si="1"/>
        <v>0</v>
      </c>
      <c r="E27" s="346">
        <f t="shared" si="2"/>
        <v>0</v>
      </c>
      <c r="F27" s="558"/>
      <c r="G27" s="551">
        <f t="shared" si="0"/>
        <v>0</v>
      </c>
      <c r="H27" s="34"/>
      <c r="I27" s="560"/>
      <c r="J27" s="565"/>
      <c r="K27" s="567"/>
      <c r="L27" s="585"/>
      <c r="M27" s="562"/>
      <c r="N27" s="562"/>
      <c r="O27" s="562"/>
      <c r="P27" s="563"/>
    </row>
    <row r="28" spans="1:16">
      <c r="A28" s="555"/>
      <c r="B28" s="1"/>
      <c r="C28" s="2"/>
      <c r="D28" s="346">
        <f t="shared" si="1"/>
        <v>0</v>
      </c>
      <c r="E28" s="346">
        <f t="shared" si="2"/>
        <v>0</v>
      </c>
      <c r="F28" s="558"/>
      <c r="G28" s="551">
        <f t="shared" si="0"/>
        <v>0</v>
      </c>
      <c r="H28" s="34"/>
      <c r="I28" s="560"/>
      <c r="J28" s="565"/>
      <c r="K28" s="567"/>
      <c r="L28" s="585"/>
      <c r="M28" s="562"/>
      <c r="N28" s="562"/>
      <c r="O28" s="562"/>
      <c r="P28" s="563"/>
    </row>
    <row r="29" spans="1:16">
      <c r="A29" s="555"/>
      <c r="B29" s="1"/>
      <c r="C29" s="2"/>
      <c r="D29" s="346">
        <f t="shared" si="1"/>
        <v>0</v>
      </c>
      <c r="E29" s="346">
        <f t="shared" si="2"/>
        <v>0</v>
      </c>
      <c r="F29" s="558"/>
      <c r="G29" s="551">
        <f t="shared" si="0"/>
        <v>0</v>
      </c>
      <c r="H29" s="34"/>
      <c r="I29" s="560"/>
      <c r="J29" s="565"/>
      <c r="K29" s="567"/>
      <c r="L29" s="585"/>
      <c r="M29" s="562"/>
      <c r="N29" s="562"/>
      <c r="O29" s="562"/>
      <c r="P29" s="563"/>
    </row>
    <row r="30" spans="1:16">
      <c r="A30" s="555"/>
      <c r="B30" s="1"/>
      <c r="C30" s="2"/>
      <c r="D30" s="346">
        <f t="shared" si="1"/>
        <v>0</v>
      </c>
      <c r="E30" s="346">
        <f t="shared" si="2"/>
        <v>0</v>
      </c>
      <c r="F30" s="558"/>
      <c r="G30" s="551">
        <f t="shared" si="0"/>
        <v>0</v>
      </c>
      <c r="H30" s="34"/>
      <c r="I30" s="560"/>
      <c r="J30" s="565"/>
      <c r="K30" s="567"/>
      <c r="L30" s="585"/>
      <c r="M30" s="562"/>
      <c r="N30" s="562"/>
      <c r="O30" s="562"/>
      <c r="P30" s="563"/>
    </row>
    <row r="31" spans="1:16">
      <c r="A31" s="555"/>
      <c r="B31" s="1"/>
      <c r="C31" s="2"/>
      <c r="D31" s="346">
        <f t="shared" si="1"/>
        <v>0</v>
      </c>
      <c r="E31" s="346">
        <f t="shared" si="2"/>
        <v>0</v>
      </c>
      <c r="F31" s="558"/>
      <c r="G31" s="551">
        <f t="shared" si="0"/>
        <v>0</v>
      </c>
      <c r="H31" s="34"/>
      <c r="I31" s="560"/>
      <c r="J31" s="565"/>
      <c r="K31" s="567"/>
      <c r="L31" s="585"/>
      <c r="M31" s="562"/>
      <c r="N31" s="562"/>
      <c r="O31" s="562"/>
      <c r="P31" s="563"/>
    </row>
    <row r="32" spans="1:16">
      <c r="A32" s="555"/>
      <c r="B32" s="1"/>
      <c r="C32" s="2"/>
      <c r="D32" s="346">
        <f t="shared" si="1"/>
        <v>0</v>
      </c>
      <c r="E32" s="346">
        <f t="shared" si="2"/>
        <v>0</v>
      </c>
      <c r="F32" s="558"/>
      <c r="G32" s="551">
        <f t="shared" si="0"/>
        <v>0</v>
      </c>
      <c r="H32" s="34"/>
      <c r="I32" s="560"/>
      <c r="J32" s="565"/>
      <c r="K32" s="567"/>
      <c r="L32" s="585"/>
      <c r="M32" s="562"/>
      <c r="N32" s="562"/>
      <c r="O32" s="562"/>
      <c r="P32" s="563"/>
    </row>
    <row r="33" spans="1:16">
      <c r="A33" s="555"/>
      <c r="B33" s="1"/>
      <c r="C33" s="2"/>
      <c r="D33" s="346">
        <f t="shared" si="1"/>
        <v>0</v>
      </c>
      <c r="E33" s="346">
        <f t="shared" si="2"/>
        <v>0</v>
      </c>
      <c r="F33" s="558"/>
      <c r="G33" s="551">
        <f t="shared" si="0"/>
        <v>0</v>
      </c>
      <c r="H33" s="34"/>
      <c r="I33" s="560"/>
      <c r="J33" s="565"/>
      <c r="K33" s="567"/>
      <c r="L33" s="585"/>
      <c r="M33" s="562"/>
      <c r="N33" s="562"/>
      <c r="O33" s="562"/>
      <c r="P33" s="563"/>
    </row>
    <row r="34" spans="1:16">
      <c r="A34" s="555"/>
      <c r="B34" s="1"/>
      <c r="C34" s="2"/>
      <c r="D34" s="346">
        <f t="shared" si="1"/>
        <v>0</v>
      </c>
      <c r="E34" s="346">
        <f t="shared" si="2"/>
        <v>0</v>
      </c>
      <c r="F34" s="558"/>
      <c r="G34" s="551">
        <f t="shared" si="0"/>
        <v>0</v>
      </c>
      <c r="H34" s="34"/>
      <c r="I34" s="560"/>
      <c r="J34" s="565"/>
      <c r="K34" s="567"/>
      <c r="L34" s="585"/>
      <c r="M34" s="562"/>
      <c r="N34" s="562"/>
      <c r="O34" s="562"/>
      <c r="P34" s="563"/>
    </row>
    <row r="35" spans="1:16">
      <c r="A35" s="555"/>
      <c r="B35" s="1"/>
      <c r="C35" s="2"/>
      <c r="D35" s="346">
        <f t="shared" si="1"/>
        <v>0</v>
      </c>
      <c r="E35" s="346">
        <f t="shared" si="2"/>
        <v>0</v>
      </c>
      <c r="F35" s="558"/>
      <c r="G35" s="551">
        <f t="shared" si="0"/>
        <v>0</v>
      </c>
      <c r="H35" s="34"/>
      <c r="I35" s="560"/>
      <c r="J35" s="565"/>
      <c r="K35" s="567"/>
      <c r="L35" s="585"/>
      <c r="M35" s="562"/>
      <c r="N35" s="562"/>
      <c r="O35" s="562"/>
      <c r="P35" s="563"/>
    </row>
    <row r="36" spans="1:16">
      <c r="A36" s="555"/>
      <c r="B36" s="1"/>
      <c r="C36" s="2"/>
      <c r="D36" s="346">
        <f t="shared" si="1"/>
        <v>0</v>
      </c>
      <c r="E36" s="346">
        <f t="shared" si="2"/>
        <v>0</v>
      </c>
      <c r="F36" s="558"/>
      <c r="G36" s="551">
        <f t="shared" si="0"/>
        <v>0</v>
      </c>
      <c r="H36" s="34"/>
      <c r="I36" s="560"/>
      <c r="J36" s="565"/>
      <c r="K36" s="567"/>
      <c r="L36" s="585"/>
      <c r="M36" s="562"/>
      <c r="N36" s="562"/>
      <c r="O36" s="562"/>
      <c r="P36" s="563"/>
    </row>
    <row r="37" spans="1:16">
      <c r="A37" s="555"/>
      <c r="B37" s="1"/>
      <c r="C37" s="2"/>
      <c r="D37" s="346">
        <f t="shared" si="1"/>
        <v>0</v>
      </c>
      <c r="E37" s="346">
        <f t="shared" si="2"/>
        <v>0</v>
      </c>
      <c r="F37" s="558"/>
      <c r="G37" s="551">
        <f t="shared" si="0"/>
        <v>0</v>
      </c>
      <c r="H37" s="34"/>
      <c r="I37" s="560"/>
      <c r="J37" s="565"/>
      <c r="K37" s="567"/>
      <c r="L37" s="585"/>
      <c r="M37" s="562"/>
      <c r="N37" s="562"/>
      <c r="O37" s="562"/>
      <c r="P37" s="563"/>
    </row>
    <row r="38" spans="1:16">
      <c r="A38" s="555"/>
      <c r="B38" s="1"/>
      <c r="C38" s="2"/>
      <c r="D38" s="346">
        <f t="shared" si="1"/>
        <v>0</v>
      </c>
      <c r="E38" s="346">
        <f t="shared" si="2"/>
        <v>0</v>
      </c>
      <c r="F38" s="558"/>
      <c r="G38" s="551">
        <f t="shared" si="0"/>
        <v>0</v>
      </c>
      <c r="H38" s="34"/>
      <c r="I38" s="560"/>
      <c r="J38" s="565"/>
      <c r="K38" s="567"/>
      <c r="L38" s="585"/>
      <c r="M38" s="562"/>
      <c r="N38" s="562"/>
      <c r="O38" s="562"/>
      <c r="P38" s="563"/>
    </row>
    <row r="39" spans="1:16" hidden="1">
      <c r="A39" s="555"/>
      <c r="B39" s="1"/>
      <c r="C39" s="2"/>
      <c r="D39" s="346">
        <f t="shared" si="1"/>
        <v>0</v>
      </c>
      <c r="E39" s="346">
        <f t="shared" si="2"/>
        <v>0</v>
      </c>
      <c r="F39" s="558"/>
      <c r="G39" s="551">
        <f t="shared" si="0"/>
        <v>0</v>
      </c>
      <c r="H39" s="34"/>
      <c r="I39" s="560"/>
      <c r="J39" s="565"/>
      <c r="K39" s="567"/>
      <c r="L39" s="585"/>
      <c r="M39" s="562"/>
      <c r="N39" s="562"/>
      <c r="O39" s="562"/>
      <c r="P39" s="563"/>
    </row>
    <row r="40" spans="1:16" hidden="1">
      <c r="A40" s="555"/>
      <c r="B40" s="1"/>
      <c r="C40" s="2"/>
      <c r="D40" s="346">
        <f t="shared" si="1"/>
        <v>0</v>
      </c>
      <c r="E40" s="346">
        <f t="shared" si="2"/>
        <v>0</v>
      </c>
      <c r="F40" s="558"/>
      <c r="G40" s="551">
        <f t="shared" si="0"/>
        <v>0</v>
      </c>
      <c r="H40" s="34"/>
      <c r="I40" s="560"/>
      <c r="J40" s="565"/>
      <c r="K40" s="567"/>
      <c r="L40" s="585"/>
      <c r="M40" s="562"/>
      <c r="N40" s="562"/>
      <c r="O40" s="562"/>
      <c r="P40" s="563"/>
    </row>
    <row r="41" spans="1:16" hidden="1">
      <c r="A41" s="555"/>
      <c r="B41" s="549">
        <f>IF(E9="Both","Enter manual values here",0)</f>
        <v>0</v>
      </c>
      <c r="C41" s="2"/>
      <c r="D41" s="552">
        <f t="shared" si="1"/>
        <v>0</v>
      </c>
      <c r="E41" s="552">
        <f t="shared" si="2"/>
        <v>0</v>
      </c>
      <c r="F41" s="558"/>
      <c r="G41" s="551">
        <f t="shared" si="0"/>
        <v>0</v>
      </c>
      <c r="H41" s="34"/>
      <c r="I41" s="560"/>
      <c r="J41" s="565"/>
      <c r="K41" s="567"/>
      <c r="L41" s="585"/>
      <c r="M41" s="562"/>
      <c r="N41" s="562"/>
      <c r="O41" s="562"/>
      <c r="P41" s="563"/>
    </row>
    <row r="42" spans="1:16" hidden="1">
      <c r="A42" s="555"/>
      <c r="B42" s="1"/>
      <c r="C42" s="2"/>
      <c r="D42" s="552">
        <f t="shared" si="1"/>
        <v>0</v>
      </c>
      <c r="E42" s="552">
        <f t="shared" si="2"/>
        <v>0</v>
      </c>
      <c r="F42" s="558"/>
      <c r="G42" s="551">
        <f t="shared" si="0"/>
        <v>0</v>
      </c>
      <c r="H42" s="34"/>
      <c r="I42" s="560"/>
      <c r="J42" s="565"/>
      <c r="K42" s="567"/>
      <c r="L42" s="585"/>
      <c r="M42" s="562"/>
      <c r="N42" s="562"/>
      <c r="O42" s="562"/>
      <c r="P42" s="563"/>
    </row>
    <row r="43" spans="1:16" hidden="1">
      <c r="A43" s="555"/>
      <c r="B43" s="1"/>
      <c r="C43" s="2"/>
      <c r="D43" s="552">
        <f t="shared" si="1"/>
        <v>0</v>
      </c>
      <c r="E43" s="552">
        <f t="shared" si="2"/>
        <v>0</v>
      </c>
      <c r="F43" s="558"/>
      <c r="G43" s="551">
        <f t="shared" si="0"/>
        <v>0</v>
      </c>
      <c r="H43" s="34"/>
      <c r="I43" s="560"/>
      <c r="J43" s="565"/>
      <c r="K43" s="567"/>
      <c r="L43" s="585"/>
      <c r="M43" s="562"/>
      <c r="N43" s="562"/>
      <c r="O43" s="562"/>
      <c r="P43" s="563"/>
    </row>
    <row r="44" spans="1:16" hidden="1">
      <c r="A44" s="555"/>
      <c r="B44" s="1"/>
      <c r="C44" s="2"/>
      <c r="D44" s="552">
        <f t="shared" si="1"/>
        <v>0</v>
      </c>
      <c r="E44" s="552">
        <f t="shared" si="2"/>
        <v>0</v>
      </c>
      <c r="F44" s="558"/>
      <c r="G44" s="551">
        <f t="shared" si="0"/>
        <v>0</v>
      </c>
      <c r="H44" s="34"/>
      <c r="I44" s="560"/>
      <c r="J44" s="565"/>
      <c r="K44" s="567"/>
      <c r="L44" s="585"/>
      <c r="M44" s="562"/>
      <c r="N44" s="562"/>
      <c r="O44" s="562"/>
      <c r="P44" s="563"/>
    </row>
    <row r="45" spans="1:16" hidden="1">
      <c r="A45" s="555"/>
      <c r="B45" s="1"/>
      <c r="C45" s="2"/>
      <c r="D45" s="552">
        <f t="shared" si="1"/>
        <v>0</v>
      </c>
      <c r="E45" s="552">
        <f t="shared" si="2"/>
        <v>0</v>
      </c>
      <c r="F45" s="558"/>
      <c r="G45" s="551">
        <f t="shared" si="0"/>
        <v>0</v>
      </c>
      <c r="H45" s="34"/>
      <c r="I45" s="560"/>
      <c r="J45" s="565"/>
      <c r="K45" s="567"/>
      <c r="L45" s="585"/>
      <c r="M45" s="562"/>
      <c r="N45" s="562"/>
      <c r="O45" s="562"/>
      <c r="P45" s="563"/>
    </row>
    <row r="46" spans="1:16" hidden="1">
      <c r="A46" s="555"/>
      <c r="B46" s="1"/>
      <c r="C46" s="2"/>
      <c r="D46" s="552">
        <f t="shared" si="1"/>
        <v>0</v>
      </c>
      <c r="E46" s="552">
        <f t="shared" si="2"/>
        <v>0</v>
      </c>
      <c r="F46" s="558"/>
      <c r="G46" s="551">
        <f t="shared" si="0"/>
        <v>0</v>
      </c>
      <c r="H46" s="34"/>
      <c r="I46" s="560"/>
      <c r="J46" s="565"/>
      <c r="K46" s="567"/>
      <c r="L46" s="585"/>
      <c r="M46" s="562"/>
      <c r="N46" s="562"/>
      <c r="O46" s="562"/>
      <c r="P46" s="563"/>
    </row>
    <row r="47" spans="1:16" hidden="1">
      <c r="A47" s="555"/>
      <c r="B47" s="1"/>
      <c r="C47" s="2"/>
      <c r="D47" s="552">
        <f t="shared" si="1"/>
        <v>0</v>
      </c>
      <c r="E47" s="552">
        <f t="shared" si="2"/>
        <v>0</v>
      </c>
      <c r="F47" s="558"/>
      <c r="G47" s="551">
        <f t="shared" si="0"/>
        <v>0</v>
      </c>
      <c r="H47" s="34"/>
      <c r="I47" s="560"/>
      <c r="J47" s="565"/>
      <c r="K47" s="567"/>
      <c r="L47" s="585"/>
      <c r="M47" s="562"/>
      <c r="N47" s="562"/>
      <c r="O47" s="562"/>
      <c r="P47" s="563"/>
    </row>
    <row r="48" spans="1:16" hidden="1">
      <c r="A48" s="555"/>
      <c r="B48" s="1"/>
      <c r="C48" s="2"/>
      <c r="D48" s="552">
        <f t="shared" si="1"/>
        <v>0</v>
      </c>
      <c r="E48" s="552">
        <f t="shared" si="2"/>
        <v>0</v>
      </c>
      <c r="F48" s="558"/>
      <c r="G48" s="551">
        <f t="shared" si="0"/>
        <v>0</v>
      </c>
      <c r="H48" s="34"/>
      <c r="I48" s="560"/>
      <c r="J48" s="565"/>
      <c r="K48" s="567"/>
      <c r="L48" s="585"/>
      <c r="M48" s="562"/>
      <c r="N48" s="562"/>
      <c r="O48" s="562"/>
      <c r="P48" s="563"/>
    </row>
    <row r="49" spans="1:32" hidden="1">
      <c r="A49" s="555"/>
      <c r="B49" s="1"/>
      <c r="C49" s="2"/>
      <c r="D49" s="552">
        <f t="shared" si="1"/>
        <v>0</v>
      </c>
      <c r="E49" s="552">
        <f t="shared" si="2"/>
        <v>0</v>
      </c>
      <c r="F49" s="558"/>
      <c r="G49" s="551">
        <f t="shared" si="0"/>
        <v>0</v>
      </c>
      <c r="H49" s="34"/>
      <c r="I49" s="560"/>
      <c r="J49" s="565"/>
      <c r="K49" s="567"/>
      <c r="L49" s="585"/>
      <c r="M49" s="562"/>
      <c r="N49" s="562"/>
      <c r="O49" s="562"/>
      <c r="P49" s="563"/>
    </row>
    <row r="50" spans="1:32" hidden="1">
      <c r="A50" s="555"/>
      <c r="B50" s="1"/>
      <c r="C50" s="2"/>
      <c r="D50" s="552">
        <f t="shared" si="1"/>
        <v>0</v>
      </c>
      <c r="E50" s="552">
        <f t="shared" si="2"/>
        <v>0</v>
      </c>
      <c r="F50" s="558"/>
      <c r="G50" s="551">
        <f t="shared" si="0"/>
        <v>0</v>
      </c>
      <c r="H50" s="34"/>
      <c r="I50" s="560"/>
      <c r="J50" s="565"/>
      <c r="K50" s="567"/>
      <c r="L50" s="585"/>
      <c r="M50" s="562"/>
      <c r="N50" s="562"/>
      <c r="O50" s="562"/>
      <c r="P50" s="563"/>
    </row>
    <row r="51" spans="1:32" hidden="1">
      <c r="A51" s="555"/>
      <c r="B51" s="1"/>
      <c r="C51" s="2"/>
      <c r="D51" s="552">
        <f t="shared" si="1"/>
        <v>0</v>
      </c>
      <c r="E51" s="552">
        <f t="shared" si="2"/>
        <v>0</v>
      </c>
      <c r="F51" s="558"/>
      <c r="G51" s="551">
        <f t="shared" si="0"/>
        <v>0</v>
      </c>
      <c r="H51" s="34"/>
      <c r="I51" s="560"/>
      <c r="J51" s="565"/>
      <c r="K51" s="567"/>
      <c r="L51" s="585"/>
      <c r="M51" s="562"/>
      <c r="N51" s="562"/>
      <c r="O51" s="562"/>
      <c r="P51" s="563"/>
    </row>
    <row r="52" spans="1:32" ht="13.5" thickBot="1">
      <c r="A52" s="556"/>
      <c r="B52" s="3"/>
      <c r="C52" s="4"/>
      <c r="D52" s="552">
        <f t="shared" si="1"/>
        <v>0</v>
      </c>
      <c r="E52" s="552">
        <f t="shared" si="2"/>
        <v>0</v>
      </c>
      <c r="F52" s="558"/>
      <c r="G52" s="551">
        <f t="shared" si="0"/>
        <v>0</v>
      </c>
      <c r="H52" s="34"/>
      <c r="I52" s="561"/>
      <c r="J52" s="566"/>
      <c r="K52" s="568"/>
      <c r="L52" s="586"/>
      <c r="M52" s="564"/>
      <c r="N52" s="564"/>
      <c r="O52" s="564"/>
      <c r="P52" s="587"/>
    </row>
    <row r="53" spans="1:32" s="10" customFormat="1" ht="14.25">
      <c r="A53" s="89" t="s">
        <v>26</v>
      </c>
      <c r="B53" s="90"/>
      <c r="C53" s="91"/>
      <c r="D53" s="92">
        <f>SUM(D17:D52)</f>
        <v>0</v>
      </c>
      <c r="E53" s="92">
        <f>SUM(E17:E52)</f>
        <v>19250</v>
      </c>
      <c r="F53" s="92">
        <f>SUM(F17:F52)</f>
        <v>23100</v>
      </c>
      <c r="G53" s="208">
        <f>SUM(G17:G52)</f>
        <v>3850</v>
      </c>
      <c r="H53" s="588"/>
      <c r="I53" s="589" t="s">
        <v>26</v>
      </c>
      <c r="J53" s="91"/>
      <c r="K53" s="590"/>
      <c r="L53" s="92">
        <f>SUM(L17:L52)</f>
        <v>19800</v>
      </c>
      <c r="M53" s="92">
        <f>SUM(M17:M52)</f>
        <v>66.53</v>
      </c>
      <c r="N53" s="92">
        <f>SUM(N17:N52)</f>
        <v>0</v>
      </c>
      <c r="O53" s="92">
        <f>SUM(O17:O52)</f>
        <v>50488.86</v>
      </c>
      <c r="P53" s="208">
        <f>SUM(P17:P52)</f>
        <v>-65.010000000000005</v>
      </c>
      <c r="AD53" s="630"/>
      <c r="AE53" s="630"/>
      <c r="AF53" s="634"/>
    </row>
    <row r="54" spans="1:32" s="10" customFormat="1" ht="13.5" thickBot="1">
      <c r="A54" s="38" t="s">
        <v>27</v>
      </c>
      <c r="B54" s="38"/>
      <c r="C54" s="38"/>
      <c r="D54" s="643">
        <f>SUM(D16:D52)</f>
        <v>0</v>
      </c>
      <c r="E54" s="643">
        <f>SUM(E16:E52)</f>
        <v>19250</v>
      </c>
      <c r="F54" s="643">
        <f>SUM(F16:F52)</f>
        <v>23100</v>
      </c>
      <c r="G54" s="644">
        <f>SUM(G16:G52)</f>
        <v>3850</v>
      </c>
      <c r="H54" s="588"/>
      <c r="I54" s="591" t="s">
        <v>27</v>
      </c>
      <c r="J54" s="38"/>
      <c r="K54" s="151"/>
      <c r="L54" s="643">
        <f>SUM(L16:L52)</f>
        <v>42900</v>
      </c>
      <c r="M54" s="643">
        <f>SUM(M16:M52)</f>
        <v>66.53</v>
      </c>
      <c r="N54" s="643">
        <f>SUM(N16:N52)</f>
        <v>0</v>
      </c>
      <c r="O54" s="643">
        <f>SUM(O16:O52)</f>
        <v>50488.86</v>
      </c>
      <c r="P54" s="645">
        <f>SUM(P16:P52)</f>
        <v>-63.579999999999991</v>
      </c>
      <c r="AD54" s="630"/>
      <c r="AE54" s="630"/>
      <c r="AF54" s="634"/>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c r="N57" s="18"/>
    </row>
    <row r="58" spans="1:32" ht="18" hidden="1">
      <c r="A58" s="66" t="s">
        <v>28</v>
      </c>
      <c r="B58" s="17"/>
      <c r="C58" s="75">
        <f>IF(E9="y",G59*0.95-(SUM(H197:K197)),0)</f>
        <v>0</v>
      </c>
      <c r="E58" s="113" t="s">
        <v>136</v>
      </c>
      <c r="F58" s="70" t="s">
        <v>138</v>
      </c>
      <c r="G58" s="70" t="s">
        <v>137</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19250</v>
      </c>
      <c r="F60" s="70">
        <f>+G60-E60</f>
        <v>38.5</v>
      </c>
      <c r="G60" s="70">
        <f>IF(E59+E60&lt;&gt;0,E60/(E59+E60)*(G61-G62),0)</f>
        <v>19288.5</v>
      </c>
      <c r="H60" s="18"/>
      <c r="I60" s="18"/>
      <c r="J60" s="18"/>
      <c r="K60" s="18"/>
      <c r="L60" s="18"/>
      <c r="M60" s="18"/>
    </row>
    <row r="61" spans="1:32" hidden="1">
      <c r="A61" s="16"/>
      <c r="B61" s="17"/>
      <c r="C61" s="16"/>
      <c r="D61" s="70" t="s">
        <v>16</v>
      </c>
      <c r="E61" s="70">
        <f>+F53</f>
        <v>23100</v>
      </c>
      <c r="F61" s="70">
        <f>+G61-E61</f>
        <v>0</v>
      </c>
      <c r="G61" s="70">
        <f>+E61</f>
        <v>23100</v>
      </c>
      <c r="H61" s="18"/>
      <c r="I61" s="18"/>
      <c r="J61" s="18"/>
      <c r="K61" s="18"/>
      <c r="L61" s="18"/>
      <c r="M61" s="18"/>
    </row>
    <row r="62" spans="1:32" hidden="1">
      <c r="A62" s="67" t="s">
        <v>29</v>
      </c>
      <c r="B62" s="17"/>
      <c r="C62" s="70">
        <f>IF(E243&lt;=0,0,IF(C4&lt;42095,E265,E243))</f>
        <v>0</v>
      </c>
      <c r="D62" s="70" t="s">
        <v>17</v>
      </c>
      <c r="E62" s="70">
        <f>+G53</f>
        <v>3850</v>
      </c>
      <c r="F62" s="70">
        <f>+G62-E62</f>
        <v>-38.5</v>
      </c>
      <c r="G62" s="70">
        <f>IF(E12&gt;0,(G61)*E12,E62)</f>
        <v>3811.5</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D73" s="7"/>
      <c r="E73" s="7"/>
      <c r="F73" s="7"/>
      <c r="G73" s="7"/>
      <c r="H73" s="7"/>
      <c r="I73" s="7"/>
      <c r="J73" s="7"/>
      <c r="K73" s="7"/>
      <c r="L73" s="7"/>
      <c r="M73" s="7"/>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103"/>
    </row>
    <row r="75" spans="1:56" ht="15">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5" t="s">
        <v>20</v>
      </c>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0"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row>
    <row r="78" spans="1:56" ht="13.5" thickBot="1">
      <c r="A78" s="580" t="s">
        <v>11</v>
      </c>
      <c r="B78" s="580" t="s">
        <v>13</v>
      </c>
      <c r="C78" s="594" t="s">
        <v>38</v>
      </c>
      <c r="D78" s="569" t="s">
        <v>39</v>
      </c>
      <c r="E78" s="569" t="s">
        <v>40</v>
      </c>
      <c r="F78" s="569" t="s">
        <v>155</v>
      </c>
      <c r="G78" s="595" t="s">
        <v>17</v>
      </c>
      <c r="H78" s="571" t="s">
        <v>294</v>
      </c>
      <c r="I78" s="570" t="s">
        <v>42</v>
      </c>
      <c r="J78" s="571" t="s">
        <v>127</v>
      </c>
      <c r="K78" s="570" t="s">
        <v>44</v>
      </c>
      <c r="L78" s="597" t="s">
        <v>161</v>
      </c>
      <c r="M78" s="597" t="s">
        <v>160</v>
      </c>
      <c r="N78" s="597" t="s">
        <v>49</v>
      </c>
      <c r="O78" s="570" t="s">
        <v>132</v>
      </c>
      <c r="P78" s="570" t="s">
        <v>45</v>
      </c>
      <c r="Q78" s="570" t="s">
        <v>46</v>
      </c>
      <c r="R78" s="571" t="s">
        <v>171</v>
      </c>
      <c r="S78" s="570" t="s">
        <v>113</v>
      </c>
      <c r="T78" s="571" t="s">
        <v>57</v>
      </c>
      <c r="U78" s="570" t="s">
        <v>50</v>
      </c>
      <c r="V78" s="571" t="s">
        <v>207</v>
      </c>
      <c r="W78" s="571" t="s">
        <v>175</v>
      </c>
      <c r="X78" s="571" t="s">
        <v>302</v>
      </c>
      <c r="Y78" s="570" t="s">
        <v>121</v>
      </c>
      <c r="Z78" s="571" t="s">
        <v>173</v>
      </c>
      <c r="AA78" s="571" t="s">
        <v>302</v>
      </c>
      <c r="AB78" s="597" t="s">
        <v>152</v>
      </c>
      <c r="AC78" s="570" t="s">
        <v>51</v>
      </c>
      <c r="AF78" s="634" t="s">
        <v>52</v>
      </c>
    </row>
    <row r="79" spans="1:56">
      <c r="A79" s="614"/>
      <c r="B79" s="345" t="s">
        <v>77</v>
      </c>
      <c r="C79" s="45"/>
      <c r="D79" s="615">
        <f>'Nov 17'!D198</f>
        <v>5593.5</v>
      </c>
      <c r="E79" s="616">
        <f>'Nov 17'!E198</f>
        <v>-901</v>
      </c>
      <c r="F79" s="616">
        <f>'Nov 17'!F198</f>
        <v>0</v>
      </c>
      <c r="G79" s="617">
        <f>'Nov 17'!G198</f>
        <v>0</v>
      </c>
      <c r="H79" s="625">
        <f>'Nov 17'!H198</f>
        <v>225</v>
      </c>
      <c r="I79" s="559">
        <f>'Nov 17'!I198</f>
        <v>164</v>
      </c>
      <c r="J79" s="559">
        <f>'Nov 17'!J198</f>
        <v>35</v>
      </c>
      <c r="K79" s="559">
        <f>'Nov 17'!K198</f>
        <v>0</v>
      </c>
      <c r="L79" s="559">
        <f>'Nov 17'!L198</f>
        <v>3648</v>
      </c>
      <c r="M79" s="559">
        <f>'Nov 17'!M198</f>
        <v>0</v>
      </c>
      <c r="N79" s="559">
        <f>'Nov 17'!N198</f>
        <v>0</v>
      </c>
      <c r="O79" s="559">
        <f>'Nov 17'!O198</f>
        <v>0</v>
      </c>
      <c r="P79" s="559">
        <f>'Nov 17'!P198</f>
        <v>20</v>
      </c>
      <c r="Q79" s="559">
        <f>'Nov 17'!Q198</f>
        <v>0</v>
      </c>
      <c r="R79" s="559">
        <f>'Nov 17'!R198</f>
        <v>65</v>
      </c>
      <c r="S79" s="559">
        <f>'Nov 17'!S198</f>
        <v>55</v>
      </c>
      <c r="T79" s="559">
        <f>'Nov 17'!T198</f>
        <v>85</v>
      </c>
      <c r="U79" s="559">
        <f>'Nov 17'!U198</f>
        <v>138</v>
      </c>
      <c r="V79" s="559">
        <f>'Nov 17'!V198</f>
        <v>5.5</v>
      </c>
      <c r="W79" s="559">
        <f>'Nov 17'!W198</f>
        <v>95</v>
      </c>
      <c r="X79" s="559">
        <f>'Nov 17'!X198</f>
        <v>0</v>
      </c>
      <c r="Y79" s="559">
        <f>'Nov 17'!Y198</f>
        <v>0</v>
      </c>
      <c r="Z79" s="559">
        <f>'Nov 17'!Z198</f>
        <v>0</v>
      </c>
      <c r="AA79" s="559">
        <f>'Nov 17'!AA198</f>
        <v>0</v>
      </c>
      <c r="AB79" s="559">
        <f>'Nov 17'!AB198</f>
        <v>157</v>
      </c>
      <c r="AC79" s="259">
        <f>'Nov 17'!AC198</f>
        <v>0</v>
      </c>
      <c r="AG79" s="43">
        <f>IF(AF79=0,0,"ERROR HERE")</f>
        <v>0</v>
      </c>
      <c r="AH79" s="7">
        <f t="shared" ref="AH79:AH90" si="3">IF(OR(ISERROR(+H79/($D79+$E79-$G79)*$G79+H79),LEFT(F79,1)="x"),0,+H79/($D79+$E79-$G79)*$G79+H79)</f>
        <v>225</v>
      </c>
      <c r="AI79" s="7">
        <f t="shared" ref="AI79:AI90" si="4">IF(OR(ISERROR(+I79/($D79+$E79-$G79)*$G79+I79),LEFT(G79,1)="x"),0,+I79/($D79+$E79-$G79)*$G79+I79)</f>
        <v>164</v>
      </c>
      <c r="AJ79" s="7">
        <f t="shared" ref="AJ79:AJ90" si="5">IF(OR(ISERROR(+J79/($D79+$E79-$G79)*$G79+J79),LEFT(H79,1)="x"),0,+J79/($D79+$E79-$G79)*$G79+J79)</f>
        <v>35</v>
      </c>
      <c r="AK79" s="7">
        <f t="shared" ref="AK79:AK90" si="6">IF(OR(ISERROR(+K79/($D79+$E79-$G79)*$G79+K79),LEFT(I79,1)="x"),0,+K79/($D79+$E79-$G79)*$G79+K79)</f>
        <v>0</v>
      </c>
      <c r="AL79" s="7">
        <f t="shared" ref="AL79:AL90" si="7">IF(OR(ISERROR(+L79/($D79+$E79-$G79)*$G79+L79),LEFT(J79,1)="x"),0,+L79/($D79+$E79-$G79)*$G79+L79)</f>
        <v>3648</v>
      </c>
      <c r="AM79" s="7">
        <f t="shared" ref="AM79:AM90" si="8">IF(OR(ISERROR(+M79/($D79+$E79-$G79)*$G79+M79),LEFT(K79,1)="x"),0,+M79/($D79+$E79-$G79)*$G79+M79)</f>
        <v>0</v>
      </c>
      <c r="AN79" s="7">
        <f t="shared" ref="AN79:AN90" si="9">IF(OR(ISERROR(+N79/($D79+$E79-$G79)*$G79+N79),LEFT(L79,1)="x"),0,+N79/($D79+$E79-$G79)*$G79+N79)</f>
        <v>0</v>
      </c>
      <c r="AO79" s="7">
        <f t="shared" ref="AO79:AO90" si="10">IF(OR(ISERROR(+O79/($D79+$E79-$G79)*$G79+O79),LEFT(M79,1)="x"),0,+O79/($D79+$E79-$G79)*$G79+O79)</f>
        <v>0</v>
      </c>
      <c r="AP79" s="7">
        <f t="shared" ref="AP79:AP90" si="11">IF(OR(ISERROR(+P79/($D79+$E79-$G79)*$G79+P79),LEFT(N79,1)="x"),0,+P79/($D79+$E79-$G79)*$G79+P79)</f>
        <v>20</v>
      </c>
      <c r="AQ79" s="7">
        <f t="shared" ref="AQ79:AQ90" si="12">IF(OR(ISERROR(+Q79/($D79+$E79-$G79)*$G79+Q79),LEFT(O79,1)="x"),0,+Q79/($D79+$E79-$G79)*$G79+Q79)</f>
        <v>0</v>
      </c>
      <c r="AR79" s="7">
        <f t="shared" ref="AR79:AR90" si="13">IF(OR(ISERROR(+R79/($D79+$E79-$G79)*$G79+R79),LEFT(P79,1)="x"),0,+R79/($D79+$E79-$G79)*$G79+R79)</f>
        <v>65</v>
      </c>
      <c r="AS79" s="7">
        <f t="shared" ref="AS79:AS90" si="14">IF(OR(ISERROR(+S79/($D79+$E79-$G79)*$G79+S79),LEFT(Q79,1)="x"),0,+S79/($D79+$E79-$G79)*$G79+S79)</f>
        <v>55</v>
      </c>
      <c r="AT79" s="7">
        <f t="shared" ref="AT79:AT90" si="15">IF(OR(ISERROR(+T79/($D79+$E79-$G79)*$G79+T79),LEFT(R79,1)="x"),0,+T79/($D79+$E79-$G79)*$G79+T79)</f>
        <v>85</v>
      </c>
      <c r="AU79" s="7">
        <f t="shared" ref="AU79:AU90" si="16">IF(OR(ISERROR(+U79/($D79+$E79-$G79)*$G79+U79),LEFT(S79,1)="x"),0,+U79/($D79+$E79-$G79)*$G79+U79)</f>
        <v>138</v>
      </c>
      <c r="AV79" s="7">
        <f t="shared" ref="AV79:AV90" si="17">IF(OR(ISERROR(+V79/($D79+$E79-$G79)*$G79+V79),LEFT(T79,1)="x"),0,+V79/($D79+$E79-$G79)*$G79+V79)</f>
        <v>5.5</v>
      </c>
      <c r="AW79" s="7">
        <f t="shared" ref="AW79:AW90" si="18">IF(OR(ISERROR(+W79/($D79+$E79-$G79)*$G79+W79),LEFT(U79,1)="x"),0,+W79/($D79+$E79-$G79)*$G79+W79)</f>
        <v>95</v>
      </c>
      <c r="AX79" s="7">
        <f t="shared" ref="AX79:AX90" si="19">IF(OR(ISERROR(+X79/($D79+$E79-$G79)*$G79+X79),LEFT(V79,1)="x"),0,+X79/($D79+$E79-$G79)*$G79+X79)</f>
        <v>0</v>
      </c>
      <c r="AY79" s="7">
        <f t="shared" ref="AY79:AY90" si="20">IF(OR(ISERROR(+Y79/($D79+$E79-$G79)*$G79+Y79),LEFT(W79,1)="x"),0,+Y79/($D79+$E79-$G79)*$G79+Y79)</f>
        <v>0</v>
      </c>
      <c r="AZ79" s="7">
        <f t="shared" ref="AZ79:AZ90" si="21">IF(OR(ISERROR(+Z79/($D79+$E79-$G79)*$G79+Z79),LEFT(X79,1)="x"),0,+Z79/($D79+$E79-$G79)*$G79+Z79)</f>
        <v>0</v>
      </c>
      <c r="BA79" s="7">
        <f t="shared" ref="BA79:BA90" si="22">IF(OR(ISERROR(+AA79/($D79+$E79-$G79)*$G79+AA79),LEFT(Y79,1)="x"),0,+AA79/($D79+$E79-$G79)*$G79+AA79)</f>
        <v>0</v>
      </c>
      <c r="BB79" s="7">
        <f t="shared" ref="BB79:BB90" si="23">IF(OR(ISERROR(+AB79/($D79+$E79-$G79)*$G79+AB79),LEFT(Z79,1)="x"),0,+AB79/($D79+$E79-$G79)*$G79+AB79)</f>
        <v>157</v>
      </c>
      <c r="BC79" s="7">
        <f>IF(OR(ISERROR(+#REF!/($D79+$E79-$G79)*$G79+#REF!),LEFT(AA79,1)="x"),0,+#REF!/($D79+$E79-$G79)*$G79+#REF!)</f>
        <v>0</v>
      </c>
      <c r="BD79" s="7">
        <f>IF(OR(ISERROR(+AC79/($D79+$E79-$G79)*$G79+AC79),LEFT(Z79,1)="x"),0,+AC79/($D79+$E79-$G79)*$G79+AC79)</f>
        <v>0</v>
      </c>
    </row>
    <row r="80" spans="1:56">
      <c r="A80" s="555"/>
      <c r="B80" s="719" t="s">
        <v>462</v>
      </c>
      <c r="C80" s="719"/>
      <c r="D80" s="720">
        <v>924</v>
      </c>
      <c r="E80" s="721"/>
      <c r="F80" s="722"/>
      <c r="G80" s="723"/>
      <c r="H80" s="724"/>
      <c r="I80" s="724"/>
      <c r="J80" s="724"/>
      <c r="K80" s="725"/>
      <c r="L80" s="720">
        <v>924</v>
      </c>
      <c r="M80" s="725"/>
      <c r="N80" s="725"/>
      <c r="O80" s="725"/>
      <c r="P80" s="725"/>
      <c r="Q80" s="725"/>
      <c r="R80" s="726"/>
      <c r="S80" s="727"/>
      <c r="T80" s="725"/>
      <c r="U80" s="726"/>
      <c r="V80" s="726"/>
      <c r="W80" s="727"/>
      <c r="X80" s="726"/>
      <c r="Y80" s="726"/>
      <c r="Z80" s="726"/>
      <c r="AA80" s="726"/>
      <c r="AB80" s="726"/>
      <c r="AC80" s="563"/>
      <c r="AD80" s="629">
        <f t="shared" ref="AD80:AD143" si="24">SUM(G80:AC80)</f>
        <v>924</v>
      </c>
      <c r="AE80" s="629">
        <f t="shared" ref="AE80:AE143" si="25">SUM(D80:F80)</f>
        <v>924</v>
      </c>
      <c r="AF80" s="634">
        <f t="shared" ref="AF80:AF143" si="26">AD80-AE80</f>
        <v>0</v>
      </c>
      <c r="AG80" s="43">
        <f>IF(AF80=0,0,"ERROR HERE")</f>
        <v>0</v>
      </c>
      <c r="AH80" s="7">
        <f t="shared" si="3"/>
        <v>0</v>
      </c>
      <c r="AI80" s="7">
        <f t="shared" si="4"/>
        <v>0</v>
      </c>
      <c r="AJ80" s="7">
        <f t="shared" si="5"/>
        <v>0</v>
      </c>
      <c r="AK80" s="7">
        <f t="shared" si="6"/>
        <v>0</v>
      </c>
      <c r="AL80" s="7">
        <f t="shared" si="7"/>
        <v>924</v>
      </c>
      <c r="AM80" s="7">
        <f t="shared" si="8"/>
        <v>0</v>
      </c>
      <c r="AN80" s="7">
        <f t="shared" si="9"/>
        <v>0</v>
      </c>
      <c r="AO80" s="7">
        <f t="shared" si="10"/>
        <v>0</v>
      </c>
      <c r="AP80" s="7">
        <f t="shared" si="11"/>
        <v>0</v>
      </c>
      <c r="AQ80" s="7">
        <f t="shared" si="12"/>
        <v>0</v>
      </c>
      <c r="AR80" s="7">
        <f t="shared" si="13"/>
        <v>0</v>
      </c>
      <c r="AS80" s="7">
        <f t="shared" si="14"/>
        <v>0</v>
      </c>
      <c r="AT80" s="7">
        <f t="shared" si="15"/>
        <v>0</v>
      </c>
      <c r="AU80" s="7">
        <f t="shared" si="16"/>
        <v>0</v>
      </c>
      <c r="AV80" s="7">
        <f t="shared" si="17"/>
        <v>0</v>
      </c>
      <c r="AW80" s="7">
        <f t="shared" si="18"/>
        <v>0</v>
      </c>
      <c r="AX80" s="7">
        <f t="shared" si="19"/>
        <v>0</v>
      </c>
      <c r="AY80" s="7">
        <f t="shared" si="20"/>
        <v>0</v>
      </c>
      <c r="AZ80" s="7">
        <f t="shared" si="21"/>
        <v>0</v>
      </c>
      <c r="BA80" s="7">
        <f t="shared" si="22"/>
        <v>0</v>
      </c>
      <c r="BB80" s="7">
        <f t="shared" si="23"/>
        <v>0</v>
      </c>
      <c r="BC80" s="7">
        <f>IF(OR(ISERROR(+#REF!/($D80+$E80-$G80)*$G80+#REF!),LEFT(AA80,1)="x"),0,+#REF!/($D80+$E80-$G80)*$G80+#REF!)</f>
        <v>0</v>
      </c>
      <c r="BD80" s="7">
        <f>IF(OR(ISERROR(+AC80/($D80+$E80-$G80)*$G80+AC80),LEFT(Z80,1)="x"),0,+AC80/($D80+$E80-$G80)*$G80+AC80)</f>
        <v>0</v>
      </c>
    </row>
    <row r="81" spans="1:57">
      <c r="A81" s="555"/>
      <c r="B81" s="719" t="s">
        <v>463</v>
      </c>
      <c r="C81" s="719"/>
      <c r="D81" s="719">
        <v>900</v>
      </c>
      <c r="E81" s="721"/>
      <c r="F81" s="722"/>
      <c r="G81" s="723"/>
      <c r="H81" s="724"/>
      <c r="I81" s="724"/>
      <c r="J81" s="724"/>
      <c r="K81" s="725"/>
      <c r="L81" s="719">
        <v>900</v>
      </c>
      <c r="M81" s="725"/>
      <c r="N81" s="725"/>
      <c r="O81" s="725"/>
      <c r="P81" s="725"/>
      <c r="Q81" s="725"/>
      <c r="R81" s="726"/>
      <c r="S81" s="727"/>
      <c r="T81" s="725"/>
      <c r="U81" s="726"/>
      <c r="V81" s="726"/>
      <c r="W81" s="727"/>
      <c r="X81" s="726"/>
      <c r="Y81" s="726"/>
      <c r="Z81" s="726"/>
      <c r="AA81" s="726"/>
      <c r="AB81" s="726"/>
      <c r="AC81" s="563"/>
      <c r="AD81" s="629">
        <f t="shared" si="24"/>
        <v>900</v>
      </c>
      <c r="AE81" s="629">
        <f t="shared" si="25"/>
        <v>900</v>
      </c>
      <c r="AF81" s="634">
        <f t="shared" si="26"/>
        <v>0</v>
      </c>
      <c r="AG81" s="43">
        <f>IF(AF81=0,0,"ERROR HERE")</f>
        <v>0</v>
      </c>
      <c r="AH81" s="7">
        <f t="shared" si="3"/>
        <v>0</v>
      </c>
      <c r="AI81" s="7">
        <f t="shared" si="4"/>
        <v>0</v>
      </c>
      <c r="AJ81" s="7">
        <f t="shared" si="5"/>
        <v>0</v>
      </c>
      <c r="AK81" s="7">
        <f t="shared" si="6"/>
        <v>0</v>
      </c>
      <c r="AL81" s="7">
        <f t="shared" si="7"/>
        <v>900</v>
      </c>
      <c r="AM81" s="7">
        <f t="shared" si="8"/>
        <v>0</v>
      </c>
      <c r="AN81" s="7">
        <f t="shared" si="9"/>
        <v>0</v>
      </c>
      <c r="AO81" s="7">
        <f t="shared" si="10"/>
        <v>0</v>
      </c>
      <c r="AP81" s="7">
        <f t="shared" si="11"/>
        <v>0</v>
      </c>
      <c r="AQ81" s="7">
        <f t="shared" si="12"/>
        <v>0</v>
      </c>
      <c r="AR81" s="7">
        <f t="shared" si="13"/>
        <v>0</v>
      </c>
      <c r="AS81" s="7">
        <f t="shared" si="14"/>
        <v>0</v>
      </c>
      <c r="AT81" s="7">
        <f t="shared" si="15"/>
        <v>0</v>
      </c>
      <c r="AU81" s="7">
        <f t="shared" si="16"/>
        <v>0</v>
      </c>
      <c r="AV81" s="7">
        <f t="shared" si="17"/>
        <v>0</v>
      </c>
      <c r="AW81" s="7">
        <f t="shared" si="18"/>
        <v>0</v>
      </c>
      <c r="AX81" s="7">
        <f t="shared" si="19"/>
        <v>0</v>
      </c>
      <c r="AY81" s="7">
        <f t="shared" si="20"/>
        <v>0</v>
      </c>
      <c r="AZ81" s="7">
        <f t="shared" si="21"/>
        <v>0</v>
      </c>
      <c r="BA81" s="7">
        <f t="shared" si="22"/>
        <v>0</v>
      </c>
      <c r="BB81" s="7">
        <f t="shared" si="23"/>
        <v>0</v>
      </c>
      <c r="BC81" s="7">
        <f>IF(OR(ISERROR(+#REF!/($D81+$E81-$G81)*$G81+#REF!),LEFT(AA81,1)="x"),0,+#REF!/($D81+$E81-$G81)*$G81+#REF!)</f>
        <v>0</v>
      </c>
      <c r="BD81" s="7">
        <f>IF(OR(ISERROR(+AC81/($D81+$E81-$G81)*$G81+AC81),LEFT(Z81,1)="x"),0,+AC81/($D81+$E81-$G81)*$G81+AC81)</f>
        <v>0</v>
      </c>
    </row>
    <row r="82" spans="1:57">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719"/>
      <c r="Y82" s="719"/>
      <c r="Z82" s="719"/>
      <c r="AA82" s="719"/>
      <c r="AB82" s="719"/>
      <c r="AC82" s="563"/>
      <c r="AD82" s="629">
        <f t="shared" si="24"/>
        <v>138</v>
      </c>
      <c r="AE82" s="629">
        <f t="shared" si="25"/>
        <v>138</v>
      </c>
      <c r="AF82" s="634">
        <f t="shared" si="26"/>
        <v>0</v>
      </c>
      <c r="AG82" s="43">
        <f>IF(AF82=0,0,"ERROR HERE - CHECK NUMBER IS CORRECTLY EXTENDED")</f>
        <v>0</v>
      </c>
      <c r="AH82" s="7">
        <f t="shared" si="3"/>
        <v>0</v>
      </c>
      <c r="AI82" s="7">
        <f t="shared" si="4"/>
        <v>0</v>
      </c>
      <c r="AJ82" s="7">
        <f t="shared" si="5"/>
        <v>0</v>
      </c>
      <c r="AK82" s="7">
        <f t="shared" si="6"/>
        <v>0</v>
      </c>
      <c r="AL82" s="7">
        <f t="shared" si="7"/>
        <v>0</v>
      </c>
      <c r="AM82" s="7">
        <f t="shared" si="8"/>
        <v>0</v>
      </c>
      <c r="AN82" s="7">
        <f t="shared" si="9"/>
        <v>0</v>
      </c>
      <c r="AO82" s="7">
        <f t="shared" si="10"/>
        <v>0</v>
      </c>
      <c r="AP82" s="7">
        <f t="shared" si="11"/>
        <v>0</v>
      </c>
      <c r="AQ82" s="7">
        <f t="shared" si="12"/>
        <v>0</v>
      </c>
      <c r="AR82" s="7">
        <f t="shared" si="13"/>
        <v>0</v>
      </c>
      <c r="AS82" s="7">
        <f t="shared" si="14"/>
        <v>0</v>
      </c>
      <c r="AT82" s="7">
        <f t="shared" si="15"/>
        <v>0</v>
      </c>
      <c r="AU82" s="7">
        <f t="shared" si="16"/>
        <v>138</v>
      </c>
      <c r="AV82" s="7">
        <f t="shared" si="17"/>
        <v>0</v>
      </c>
      <c r="AW82" s="7">
        <f t="shared" si="18"/>
        <v>0</v>
      </c>
      <c r="AX82" s="7">
        <f t="shared" si="19"/>
        <v>0</v>
      </c>
      <c r="AY82" s="7">
        <f t="shared" si="20"/>
        <v>0</v>
      </c>
      <c r="AZ82" s="7">
        <f t="shared" si="21"/>
        <v>0</v>
      </c>
      <c r="BA82" s="7">
        <f t="shared" si="22"/>
        <v>0</v>
      </c>
      <c r="BB82" s="7">
        <f t="shared" si="23"/>
        <v>0</v>
      </c>
      <c r="BC82" s="7">
        <f>IF(OR(ISERROR(+#REF!/($D82+$E82-$G82)*$G82+#REF!),LEFT(AA82,1)="x"),0,+#REF!/($D82+$E82-$G82)*$G82+#REF!)</f>
        <v>0</v>
      </c>
      <c r="BD82" s="7">
        <f>IF(OR(ISERROR(+#REF!/($D82+$E82-$G82)*$G82+#REF!),LEFT(AB82,1)="x"),0,+#REF!/($D82+$E82-$G82)*$G82+#REF!)</f>
        <v>0</v>
      </c>
      <c r="BE82" s="7" t="e">
        <f>IF(OR(ISERROR(+AC82/($D82+$E82-$G82)*$G82+AC82),LEFT(#REF!,1)="x"),0,+AC82/($D82+$E82-$G82)*$G82+AC82)</f>
        <v>#REF!</v>
      </c>
    </row>
    <row r="83" spans="1:57">
      <c r="A83" s="555"/>
      <c r="B83" s="719" t="s">
        <v>465</v>
      </c>
      <c r="C83" s="719"/>
      <c r="D83" s="721"/>
      <c r="E83" s="719">
        <v>164</v>
      </c>
      <c r="F83" s="722"/>
      <c r="G83" s="723"/>
      <c r="H83" s="724"/>
      <c r="I83" s="719">
        <v>164</v>
      </c>
      <c r="J83" s="724"/>
      <c r="K83" s="725"/>
      <c r="L83" s="725"/>
      <c r="M83" s="725"/>
      <c r="N83" s="725"/>
      <c r="O83" s="725"/>
      <c r="P83" s="725"/>
      <c r="Q83" s="725"/>
      <c r="R83" s="726"/>
      <c r="S83" s="727"/>
      <c r="T83" s="725"/>
      <c r="U83" s="726"/>
      <c r="V83" s="726"/>
      <c r="W83" s="727"/>
      <c r="X83" s="726"/>
      <c r="Y83" s="726"/>
      <c r="Z83" s="726"/>
      <c r="AA83" s="726"/>
      <c r="AB83" s="726"/>
      <c r="AC83" s="563"/>
      <c r="AD83" s="629">
        <f t="shared" si="24"/>
        <v>164</v>
      </c>
      <c r="AE83" s="629">
        <f t="shared" si="25"/>
        <v>164</v>
      </c>
      <c r="AF83" s="634">
        <f t="shared" si="26"/>
        <v>0</v>
      </c>
      <c r="AG83" s="43">
        <f t="shared" ref="AG83:AG90" si="27">IF(AF83=0,0,"ERROR HERE")</f>
        <v>0</v>
      </c>
      <c r="AH83" s="7">
        <f t="shared" si="3"/>
        <v>0</v>
      </c>
      <c r="AI83" s="7">
        <f t="shared" si="4"/>
        <v>164</v>
      </c>
      <c r="AJ83" s="7">
        <f t="shared" si="5"/>
        <v>0</v>
      </c>
      <c r="AK83" s="7">
        <f t="shared" si="6"/>
        <v>0</v>
      </c>
      <c r="AL83" s="7">
        <f t="shared" si="7"/>
        <v>0</v>
      </c>
      <c r="AM83" s="7">
        <f t="shared" si="8"/>
        <v>0</v>
      </c>
      <c r="AN83" s="7">
        <f t="shared" si="9"/>
        <v>0</v>
      </c>
      <c r="AO83" s="7">
        <f t="shared" si="10"/>
        <v>0</v>
      </c>
      <c r="AP83" s="7">
        <f t="shared" si="11"/>
        <v>0</v>
      </c>
      <c r="AQ83" s="7">
        <f t="shared" si="12"/>
        <v>0</v>
      </c>
      <c r="AR83" s="7">
        <f t="shared" si="13"/>
        <v>0</v>
      </c>
      <c r="AS83" s="7">
        <f t="shared" si="14"/>
        <v>0</v>
      </c>
      <c r="AT83" s="7">
        <f t="shared" si="15"/>
        <v>0</v>
      </c>
      <c r="AU83" s="7">
        <f t="shared" si="16"/>
        <v>0</v>
      </c>
      <c r="AV83" s="7">
        <f t="shared" si="17"/>
        <v>0</v>
      </c>
      <c r="AW83" s="7">
        <f t="shared" si="18"/>
        <v>0</v>
      </c>
      <c r="AX83" s="7">
        <f t="shared" si="19"/>
        <v>0</v>
      </c>
      <c r="AY83" s="7">
        <f t="shared" si="20"/>
        <v>0</v>
      </c>
      <c r="AZ83" s="7">
        <f t="shared" si="21"/>
        <v>0</v>
      </c>
      <c r="BA83" s="7">
        <f t="shared" si="22"/>
        <v>0</v>
      </c>
      <c r="BB83" s="7">
        <f t="shared" si="23"/>
        <v>0</v>
      </c>
      <c r="BC83" s="7">
        <f>IF(OR(ISERROR(+#REF!/($D83+$E83-$G83)*$G83+#REF!),LEFT(AA83,1)="x"),0,+#REF!/($D83+$E83-$G83)*$G83+#REF!)</f>
        <v>0</v>
      </c>
      <c r="BD83" s="7">
        <f>IF(OR(ISERROR(+#REF!/($D83+$E83-$G83)*$G83+#REF!),LEFT(AB83,1)="x"),0,+#REF!/($D83+$E83-$G83)*$G83+#REF!)</f>
        <v>0</v>
      </c>
      <c r="BE83" s="7" t="e">
        <f>IF(OR(ISERROR(+AC83/($D83+$E83-$G83)*$G83+AC83),LEFT(#REF!,1)="x"),0,+AC83/($D83+$E83-$G83)*$G83+AC83)</f>
        <v>#REF!</v>
      </c>
    </row>
    <row r="84" spans="1:57">
      <c r="A84" s="555"/>
      <c r="B84" s="719" t="s">
        <v>466</v>
      </c>
      <c r="C84" s="719"/>
      <c r="D84" s="721"/>
      <c r="E84" s="719">
        <v>20</v>
      </c>
      <c r="F84" s="722"/>
      <c r="G84" s="723"/>
      <c r="H84" s="724"/>
      <c r="I84" s="724"/>
      <c r="J84" s="724"/>
      <c r="K84" s="725"/>
      <c r="L84" s="725"/>
      <c r="M84" s="725"/>
      <c r="N84" s="725"/>
      <c r="O84" s="725"/>
      <c r="P84" s="719">
        <v>20</v>
      </c>
      <c r="Q84" s="725"/>
      <c r="R84" s="726"/>
      <c r="S84" s="727"/>
      <c r="T84" s="725"/>
      <c r="U84" s="726"/>
      <c r="V84" s="726"/>
      <c r="W84" s="727"/>
      <c r="X84" s="726"/>
      <c r="Y84" s="726"/>
      <c r="Z84" s="726"/>
      <c r="AA84" s="726"/>
      <c r="AB84" s="726"/>
      <c r="AC84" s="563"/>
      <c r="AD84" s="629">
        <f t="shared" si="24"/>
        <v>20</v>
      </c>
      <c r="AE84" s="629">
        <f t="shared" si="25"/>
        <v>20</v>
      </c>
      <c r="AF84" s="634">
        <f t="shared" si="26"/>
        <v>0</v>
      </c>
      <c r="AG84" s="43">
        <f t="shared" si="27"/>
        <v>0</v>
      </c>
      <c r="AH84" s="7">
        <f t="shared" si="3"/>
        <v>0</v>
      </c>
      <c r="AI84" s="7">
        <f t="shared" si="4"/>
        <v>0</v>
      </c>
      <c r="AJ84" s="7">
        <f t="shared" si="5"/>
        <v>0</v>
      </c>
      <c r="AK84" s="7">
        <f t="shared" si="6"/>
        <v>0</v>
      </c>
      <c r="AL84" s="7">
        <f t="shared" si="7"/>
        <v>0</v>
      </c>
      <c r="AM84" s="7">
        <f t="shared" si="8"/>
        <v>0</v>
      </c>
      <c r="AN84" s="7">
        <f t="shared" si="9"/>
        <v>0</v>
      </c>
      <c r="AO84" s="7">
        <f t="shared" si="10"/>
        <v>0</v>
      </c>
      <c r="AP84" s="7">
        <f t="shared" si="11"/>
        <v>20</v>
      </c>
      <c r="AQ84" s="7">
        <f t="shared" si="12"/>
        <v>0</v>
      </c>
      <c r="AR84" s="7">
        <f t="shared" si="13"/>
        <v>0</v>
      </c>
      <c r="AS84" s="7">
        <f t="shared" si="14"/>
        <v>0</v>
      </c>
      <c r="AT84" s="7">
        <f t="shared" si="15"/>
        <v>0</v>
      </c>
      <c r="AU84" s="7">
        <f t="shared" si="16"/>
        <v>0</v>
      </c>
      <c r="AV84" s="7">
        <f t="shared" si="17"/>
        <v>0</v>
      </c>
      <c r="AW84" s="7">
        <f t="shared" si="18"/>
        <v>0</v>
      </c>
      <c r="AX84" s="7">
        <f t="shared" si="19"/>
        <v>0</v>
      </c>
      <c r="AY84" s="7">
        <f t="shared" si="20"/>
        <v>0</v>
      </c>
      <c r="AZ84" s="7">
        <f t="shared" si="21"/>
        <v>0</v>
      </c>
      <c r="BA84" s="7">
        <f t="shared" si="22"/>
        <v>0</v>
      </c>
      <c r="BB84" s="7">
        <f t="shared" si="23"/>
        <v>0</v>
      </c>
      <c r="BC84" s="7">
        <f>IF(OR(ISERROR(+#REF!/($D84+$E84-$G84)*$G84+#REF!),LEFT(AA84,1)="x"),0,+#REF!/($D84+$E84-$G84)*$G84+#REF!)</f>
        <v>0</v>
      </c>
      <c r="BD84" s="7">
        <f>IF(OR(ISERROR(+#REF!/($D84+$E84-$G84)*$G84+#REF!),LEFT(AB84,1)="x"),0,+#REF!/($D84+$E84-$G84)*$G84+#REF!)</f>
        <v>0</v>
      </c>
      <c r="BE84" s="7" t="e">
        <f>IF(OR(ISERROR(+AC84/($D84+$E84-$G84)*$G84+AC84),LEFT(#REF!,1)="x"),0,+AC84/($D84+$E84-$G84)*$G84+AC84)</f>
        <v>#REF!</v>
      </c>
    </row>
    <row r="85" spans="1:57">
      <c r="A85" s="555"/>
      <c r="B85" s="719" t="s">
        <v>467</v>
      </c>
      <c r="C85" s="719"/>
      <c r="D85" s="721"/>
      <c r="E85" s="719">
        <v>95</v>
      </c>
      <c r="F85" s="722"/>
      <c r="G85" s="723"/>
      <c r="H85" s="724"/>
      <c r="I85" s="724"/>
      <c r="J85" s="724"/>
      <c r="K85" s="725"/>
      <c r="L85" s="725"/>
      <c r="M85" s="725"/>
      <c r="N85" s="725"/>
      <c r="O85" s="725"/>
      <c r="P85" s="725"/>
      <c r="Q85" s="725"/>
      <c r="R85" s="726"/>
      <c r="S85" s="727"/>
      <c r="T85" s="725"/>
      <c r="U85" s="719"/>
      <c r="V85" s="726"/>
      <c r="W85" s="719">
        <v>95</v>
      </c>
      <c r="X85" s="726"/>
      <c r="Y85" s="726"/>
      <c r="Z85" s="726"/>
      <c r="AA85" s="726"/>
      <c r="AB85" s="726"/>
      <c r="AC85" s="563"/>
      <c r="AD85" s="629">
        <f t="shared" si="24"/>
        <v>95</v>
      </c>
      <c r="AE85" s="629">
        <f t="shared" si="25"/>
        <v>95</v>
      </c>
      <c r="AF85" s="634">
        <f t="shared" si="26"/>
        <v>0</v>
      </c>
      <c r="AG85" s="43">
        <f t="shared" si="27"/>
        <v>0</v>
      </c>
      <c r="AH85" s="7">
        <f t="shared" si="3"/>
        <v>0</v>
      </c>
      <c r="AI85" s="7">
        <f t="shared" si="4"/>
        <v>0</v>
      </c>
      <c r="AJ85" s="7">
        <f t="shared" si="5"/>
        <v>0</v>
      </c>
      <c r="AK85" s="7">
        <f t="shared" si="6"/>
        <v>0</v>
      </c>
      <c r="AL85" s="7">
        <f t="shared" si="7"/>
        <v>0</v>
      </c>
      <c r="AM85" s="7">
        <f t="shared" si="8"/>
        <v>0</v>
      </c>
      <c r="AN85" s="7">
        <f t="shared" si="9"/>
        <v>0</v>
      </c>
      <c r="AO85" s="7">
        <f t="shared" si="10"/>
        <v>0</v>
      </c>
      <c r="AP85" s="7">
        <f t="shared" si="11"/>
        <v>0</v>
      </c>
      <c r="AQ85" s="7">
        <f t="shared" si="12"/>
        <v>0</v>
      </c>
      <c r="AR85" s="7">
        <f t="shared" si="13"/>
        <v>0</v>
      </c>
      <c r="AS85" s="7">
        <f t="shared" si="14"/>
        <v>0</v>
      </c>
      <c r="AT85" s="7">
        <f t="shared" si="15"/>
        <v>0</v>
      </c>
      <c r="AU85" s="7">
        <f t="shared" si="16"/>
        <v>0</v>
      </c>
      <c r="AV85" s="7">
        <f t="shared" si="17"/>
        <v>0</v>
      </c>
      <c r="AW85" s="7">
        <f t="shared" si="18"/>
        <v>95</v>
      </c>
      <c r="AX85" s="7">
        <f t="shared" si="19"/>
        <v>0</v>
      </c>
      <c r="AY85" s="7">
        <f t="shared" si="20"/>
        <v>0</v>
      </c>
      <c r="AZ85" s="7">
        <f t="shared" si="21"/>
        <v>0</v>
      </c>
      <c r="BA85" s="7">
        <f t="shared" si="22"/>
        <v>0</v>
      </c>
      <c r="BB85" s="7">
        <f t="shared" si="23"/>
        <v>0</v>
      </c>
      <c r="BC85" s="7">
        <f>IF(OR(ISERROR(+#REF!/($D85+$E85-$G85)*$G85+#REF!),LEFT(AA85,1)="x"),0,+#REF!/($D85+$E85-$G85)*$G85+#REF!)</f>
        <v>0</v>
      </c>
      <c r="BD85" s="7">
        <f>IF(OR(ISERROR(+#REF!/($D85+$E85-$G85)*$G85+#REF!),LEFT(AB85,1)="x"),0,+#REF!/($D85+$E85-$G85)*$G85+#REF!)</f>
        <v>0</v>
      </c>
      <c r="BE85" s="7" t="e">
        <f>IF(OR(ISERROR(+AC85/($D85+$E85-$G85)*$G85+AC85),LEFT(#REF!,1)="x"),0,+AC85/($D85+$E85-$G85)*$G85+AC85)</f>
        <v>#REF!</v>
      </c>
    </row>
    <row r="86" spans="1:57">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726"/>
      <c r="Y86" s="726"/>
      <c r="Z86" s="726"/>
      <c r="AA86" s="726"/>
      <c r="AB86" s="726"/>
      <c r="AC86" s="563"/>
      <c r="AD86" s="629">
        <f t="shared" si="24"/>
        <v>85</v>
      </c>
      <c r="AE86" s="629">
        <f t="shared" si="25"/>
        <v>85</v>
      </c>
      <c r="AF86" s="634">
        <f t="shared" si="26"/>
        <v>0</v>
      </c>
      <c r="AG86" s="43">
        <f t="shared" si="27"/>
        <v>0</v>
      </c>
      <c r="AH86" s="7">
        <f t="shared" si="3"/>
        <v>0</v>
      </c>
      <c r="AI86" s="7">
        <f t="shared" si="4"/>
        <v>0</v>
      </c>
      <c r="AJ86" s="7">
        <f t="shared" si="5"/>
        <v>0</v>
      </c>
      <c r="AK86" s="7">
        <f t="shared" si="6"/>
        <v>0</v>
      </c>
      <c r="AL86" s="7">
        <f t="shared" si="7"/>
        <v>0</v>
      </c>
      <c r="AM86" s="7">
        <f t="shared" si="8"/>
        <v>0</v>
      </c>
      <c r="AN86" s="7">
        <f t="shared" si="9"/>
        <v>0</v>
      </c>
      <c r="AO86" s="7">
        <f t="shared" si="10"/>
        <v>0</v>
      </c>
      <c r="AP86" s="7">
        <f t="shared" si="11"/>
        <v>0</v>
      </c>
      <c r="AQ86" s="7">
        <f t="shared" si="12"/>
        <v>0</v>
      </c>
      <c r="AR86" s="7">
        <f t="shared" si="13"/>
        <v>0</v>
      </c>
      <c r="AS86" s="7">
        <f t="shared" si="14"/>
        <v>0</v>
      </c>
      <c r="AT86" s="7">
        <f t="shared" si="15"/>
        <v>85</v>
      </c>
      <c r="AU86" s="7">
        <f t="shared" si="16"/>
        <v>0</v>
      </c>
      <c r="AV86" s="7">
        <f t="shared" si="17"/>
        <v>0</v>
      </c>
      <c r="AW86" s="7">
        <f t="shared" si="18"/>
        <v>0</v>
      </c>
      <c r="AX86" s="7">
        <f t="shared" si="19"/>
        <v>0</v>
      </c>
      <c r="AY86" s="7">
        <f t="shared" si="20"/>
        <v>0</v>
      </c>
      <c r="AZ86" s="7">
        <f t="shared" si="21"/>
        <v>0</v>
      </c>
      <c r="BA86" s="7">
        <f t="shared" si="22"/>
        <v>0</v>
      </c>
      <c r="BB86" s="7">
        <f t="shared" si="23"/>
        <v>0</v>
      </c>
      <c r="BC86" s="7">
        <f>IF(OR(ISERROR(+#REF!/($D86+$E86-$G86)*$G86+#REF!),LEFT(AA86,1)="x"),0,+#REF!/($D86+$E86-$G86)*$G86+#REF!)</f>
        <v>0</v>
      </c>
      <c r="BD86" s="7">
        <f>IF(OR(ISERROR(+#REF!/($D86+$E86-$G86)*$G86+#REF!),LEFT(AB86,1)="x"),0,+#REF!/($D86+$E86-$G86)*$G86+#REF!)</f>
        <v>0</v>
      </c>
      <c r="BE86" s="7" t="e">
        <f>IF(OR(ISERROR(+AC86/($D86+$E86-$G86)*$G86+AC86),LEFT(#REF!,1)="x"),0,+AC86/($D86+$E86-$G86)*$G86+AC86)</f>
        <v>#REF!</v>
      </c>
    </row>
    <row r="87" spans="1:57">
      <c r="A87" s="555"/>
      <c r="B87" s="719" t="s">
        <v>469</v>
      </c>
      <c r="C87" s="719"/>
      <c r="D87" s="721"/>
      <c r="E87" s="719">
        <v>225</v>
      </c>
      <c r="F87" s="722"/>
      <c r="G87" s="723"/>
      <c r="H87" s="719">
        <v>225</v>
      </c>
      <c r="I87" s="724"/>
      <c r="J87" s="724"/>
      <c r="K87" s="725"/>
      <c r="L87" s="725"/>
      <c r="M87" s="725"/>
      <c r="N87" s="725"/>
      <c r="O87" s="725"/>
      <c r="P87" s="725"/>
      <c r="Q87" s="725"/>
      <c r="R87" s="726"/>
      <c r="S87" s="727"/>
      <c r="T87" s="719"/>
      <c r="U87" s="726"/>
      <c r="V87" s="726"/>
      <c r="W87" s="727"/>
      <c r="X87" s="726"/>
      <c r="Y87" s="726"/>
      <c r="Z87" s="726"/>
      <c r="AA87" s="726"/>
      <c r="AB87" s="726"/>
      <c r="AC87" s="563"/>
      <c r="AD87" s="629">
        <f t="shared" si="24"/>
        <v>225</v>
      </c>
      <c r="AE87" s="629">
        <f t="shared" si="25"/>
        <v>225</v>
      </c>
      <c r="AF87" s="634">
        <f t="shared" si="26"/>
        <v>0</v>
      </c>
      <c r="AG87" s="43">
        <f t="shared" si="27"/>
        <v>0</v>
      </c>
      <c r="AH87" s="7">
        <f t="shared" si="3"/>
        <v>225</v>
      </c>
      <c r="AI87" s="7">
        <f t="shared" si="4"/>
        <v>0</v>
      </c>
      <c r="AJ87" s="7">
        <f t="shared" si="5"/>
        <v>0</v>
      </c>
      <c r="AK87" s="7">
        <f t="shared" si="6"/>
        <v>0</v>
      </c>
      <c r="AL87" s="7">
        <f t="shared" si="7"/>
        <v>0</v>
      </c>
      <c r="AM87" s="7">
        <f t="shared" si="8"/>
        <v>0</v>
      </c>
      <c r="AN87" s="7">
        <f t="shared" si="9"/>
        <v>0</v>
      </c>
      <c r="AO87" s="7">
        <f t="shared" si="10"/>
        <v>0</v>
      </c>
      <c r="AP87" s="7">
        <f t="shared" si="11"/>
        <v>0</v>
      </c>
      <c r="AQ87" s="7">
        <f t="shared" si="12"/>
        <v>0</v>
      </c>
      <c r="AR87" s="7">
        <f t="shared" si="13"/>
        <v>0</v>
      </c>
      <c r="AS87" s="7">
        <f t="shared" si="14"/>
        <v>0</v>
      </c>
      <c r="AT87" s="7">
        <f t="shared" si="15"/>
        <v>0</v>
      </c>
      <c r="AU87" s="7">
        <f t="shared" si="16"/>
        <v>0</v>
      </c>
      <c r="AV87" s="7">
        <f t="shared" si="17"/>
        <v>0</v>
      </c>
      <c r="AW87" s="7">
        <f t="shared" si="18"/>
        <v>0</v>
      </c>
      <c r="AX87" s="7">
        <f t="shared" si="19"/>
        <v>0</v>
      </c>
      <c r="AY87" s="7">
        <f t="shared" si="20"/>
        <v>0</v>
      </c>
      <c r="AZ87" s="7">
        <f t="shared" si="21"/>
        <v>0</v>
      </c>
      <c r="BA87" s="7">
        <f t="shared" si="22"/>
        <v>0</v>
      </c>
      <c r="BB87" s="7">
        <f t="shared" si="23"/>
        <v>0</v>
      </c>
      <c r="BC87" s="7">
        <f>IF(OR(ISERROR(+#REF!/($D87+$E87-$G87)*$G87+#REF!),LEFT(AA87,1)="x"),0,+#REF!/($D87+$E87-$G87)*$G87+#REF!)</f>
        <v>0</v>
      </c>
      <c r="BD87" s="7">
        <f>IF(OR(ISERROR(+#REF!/($D87+$E87-$G87)*$G87+#REF!),LEFT(AB87,1)="x"),0,+#REF!/($D87+$E87-$G87)*$G87+#REF!)</f>
        <v>0</v>
      </c>
      <c r="BE87" s="7" t="e">
        <f>IF(OR(ISERROR(+AC87/($D87+$E87-$G87)*$G87+AC87),LEFT(#REF!,1)="x"),0,+AC87/($D87+$E87-$G87)*$G87+AC87)</f>
        <v>#REF!</v>
      </c>
    </row>
    <row r="88" spans="1:57">
      <c r="A88" s="555"/>
      <c r="B88" s="719" t="s">
        <v>470</v>
      </c>
      <c r="C88" s="719"/>
      <c r="D88" s="721"/>
      <c r="E88" s="719">
        <v>157</v>
      </c>
      <c r="F88" s="722"/>
      <c r="G88" s="723"/>
      <c r="H88" s="719"/>
      <c r="I88" s="724"/>
      <c r="J88" s="724"/>
      <c r="K88" s="725"/>
      <c r="L88" s="725"/>
      <c r="M88" s="725"/>
      <c r="N88" s="725"/>
      <c r="O88" s="725"/>
      <c r="P88" s="725"/>
      <c r="Q88" s="725"/>
      <c r="R88" s="726"/>
      <c r="S88" s="727"/>
      <c r="T88" s="725"/>
      <c r="U88" s="726"/>
      <c r="V88" s="726"/>
      <c r="W88" s="727"/>
      <c r="X88" s="726"/>
      <c r="Y88" s="726"/>
      <c r="Z88" s="726"/>
      <c r="AA88" s="726"/>
      <c r="AB88" s="719">
        <v>157</v>
      </c>
      <c r="AC88" s="563"/>
      <c r="AD88" s="629">
        <f t="shared" si="24"/>
        <v>157</v>
      </c>
      <c r="AE88" s="629">
        <f t="shared" si="25"/>
        <v>157</v>
      </c>
      <c r="AF88" s="634">
        <f t="shared" si="26"/>
        <v>0</v>
      </c>
      <c r="AG88" s="43">
        <f t="shared" si="27"/>
        <v>0</v>
      </c>
      <c r="AH88" s="7">
        <f t="shared" si="3"/>
        <v>0</v>
      </c>
      <c r="AI88" s="7">
        <f t="shared" si="4"/>
        <v>0</v>
      </c>
      <c r="AJ88" s="7">
        <f t="shared" si="5"/>
        <v>0</v>
      </c>
      <c r="AK88" s="7">
        <f t="shared" si="6"/>
        <v>0</v>
      </c>
      <c r="AL88" s="7">
        <f t="shared" si="7"/>
        <v>0</v>
      </c>
      <c r="AM88" s="7">
        <f t="shared" si="8"/>
        <v>0</v>
      </c>
      <c r="AN88" s="7">
        <f t="shared" si="9"/>
        <v>0</v>
      </c>
      <c r="AO88" s="7">
        <f t="shared" si="10"/>
        <v>0</v>
      </c>
      <c r="AP88" s="7">
        <f t="shared" si="11"/>
        <v>0</v>
      </c>
      <c r="AQ88" s="7">
        <f t="shared" si="12"/>
        <v>0</v>
      </c>
      <c r="AR88" s="7">
        <f t="shared" si="13"/>
        <v>0</v>
      </c>
      <c r="AS88" s="7">
        <f t="shared" si="14"/>
        <v>0</v>
      </c>
      <c r="AT88" s="7">
        <f t="shared" si="15"/>
        <v>0</v>
      </c>
      <c r="AU88" s="7">
        <f t="shared" si="16"/>
        <v>0</v>
      </c>
      <c r="AV88" s="7">
        <f t="shared" si="17"/>
        <v>0</v>
      </c>
      <c r="AW88" s="7">
        <f t="shared" si="18"/>
        <v>0</v>
      </c>
      <c r="AX88" s="7">
        <f t="shared" si="19"/>
        <v>0</v>
      </c>
      <c r="AY88" s="7">
        <f t="shared" si="20"/>
        <v>0</v>
      </c>
      <c r="AZ88" s="7">
        <f t="shared" si="21"/>
        <v>0</v>
      </c>
      <c r="BA88" s="7">
        <f t="shared" si="22"/>
        <v>0</v>
      </c>
      <c r="BB88" s="7">
        <f t="shared" si="23"/>
        <v>157</v>
      </c>
      <c r="BC88" s="7">
        <f>IF(OR(ISERROR(+#REF!/($D88+$E88-$G88)*$G88+#REF!),LEFT(AA88,1)="x"),0,+#REF!/($D88+$E88-$G88)*$G88+#REF!)</f>
        <v>0</v>
      </c>
      <c r="BD88" s="7">
        <f>IF(OR(ISERROR(+#REF!/($D88+$E88-$G88)*$G88+#REF!),LEFT(AB88,1)="x"),0,+#REF!/($D88+$E88-$G88)*$G88+#REF!)</f>
        <v>0</v>
      </c>
      <c r="BE88" s="7" t="e">
        <f>IF(OR(ISERROR(+AC88/($D88+$E88-$G88)*$G88+AC88),LEFT(#REF!,1)="x"),0,+AC88/($D88+$E88-$G88)*$G88+AC88)</f>
        <v>#REF!</v>
      </c>
    </row>
    <row r="89" spans="1:57">
      <c r="A89" s="555"/>
      <c r="B89" s="719" t="s">
        <v>471</v>
      </c>
      <c r="C89" s="719"/>
      <c r="D89" s="721"/>
      <c r="E89" s="721">
        <v>55</v>
      </c>
      <c r="F89" s="728"/>
      <c r="G89" s="729"/>
      <c r="H89" s="724"/>
      <c r="I89" s="724"/>
      <c r="J89" s="724"/>
      <c r="K89" s="725"/>
      <c r="L89" s="725"/>
      <c r="M89" s="725"/>
      <c r="N89" s="725"/>
      <c r="O89" s="725"/>
      <c r="P89" s="725"/>
      <c r="Q89" s="725"/>
      <c r="R89" s="725"/>
      <c r="S89" s="725">
        <v>55</v>
      </c>
      <c r="T89" s="725"/>
      <c r="U89" s="725"/>
      <c r="V89" s="725"/>
      <c r="W89" s="725"/>
      <c r="X89" s="725"/>
      <c r="Y89" s="725"/>
      <c r="Z89" s="725"/>
      <c r="AA89" s="725"/>
      <c r="AB89" s="725"/>
      <c r="AC89" s="563"/>
      <c r="AD89" s="629">
        <f t="shared" si="24"/>
        <v>55</v>
      </c>
      <c r="AE89" s="629">
        <f t="shared" si="25"/>
        <v>55</v>
      </c>
      <c r="AF89" s="634">
        <f t="shared" si="26"/>
        <v>0</v>
      </c>
      <c r="AG89" s="43">
        <f t="shared" si="27"/>
        <v>0</v>
      </c>
      <c r="AH89" s="7">
        <f t="shared" si="3"/>
        <v>0</v>
      </c>
      <c r="AI89" s="7">
        <f t="shared" si="4"/>
        <v>0</v>
      </c>
      <c r="AJ89" s="7">
        <f t="shared" si="5"/>
        <v>0</v>
      </c>
      <c r="AK89" s="7">
        <f t="shared" si="6"/>
        <v>0</v>
      </c>
      <c r="AL89" s="7">
        <f t="shared" si="7"/>
        <v>0</v>
      </c>
      <c r="AM89" s="7">
        <f t="shared" si="8"/>
        <v>0</v>
      </c>
      <c r="AN89" s="7">
        <f t="shared" si="9"/>
        <v>0</v>
      </c>
      <c r="AO89" s="7">
        <f t="shared" si="10"/>
        <v>0</v>
      </c>
      <c r="AP89" s="7">
        <f t="shared" si="11"/>
        <v>0</v>
      </c>
      <c r="AQ89" s="7">
        <f t="shared" si="12"/>
        <v>0</v>
      </c>
      <c r="AR89" s="7">
        <f t="shared" si="13"/>
        <v>0</v>
      </c>
      <c r="AS89" s="7">
        <f t="shared" si="14"/>
        <v>55</v>
      </c>
      <c r="AT89" s="7">
        <f t="shared" si="15"/>
        <v>0</v>
      </c>
      <c r="AU89" s="7">
        <f t="shared" si="16"/>
        <v>0</v>
      </c>
      <c r="AV89" s="7">
        <f t="shared" si="17"/>
        <v>0</v>
      </c>
      <c r="AW89" s="7">
        <f t="shared" si="18"/>
        <v>0</v>
      </c>
      <c r="AX89" s="7">
        <f t="shared" si="19"/>
        <v>0</v>
      </c>
      <c r="AY89" s="7">
        <f t="shared" si="20"/>
        <v>0</v>
      </c>
      <c r="AZ89" s="7">
        <f t="shared" si="21"/>
        <v>0</v>
      </c>
      <c r="BA89" s="7">
        <f t="shared" si="22"/>
        <v>0</v>
      </c>
      <c r="BB89" s="7">
        <f t="shared" si="23"/>
        <v>0</v>
      </c>
      <c r="BC89" s="7">
        <f>IF(OR(ISERROR(+#REF!/($D89+$E89-$G89)*$G89+#REF!),LEFT(AA89,1)="x"),0,+#REF!/($D89+$E89-$G89)*$G89+#REF!)</f>
        <v>0</v>
      </c>
      <c r="BD89" s="7">
        <f>IF(OR(ISERROR(+#REF!/($D89+$E89-$G89)*$G89+#REF!),LEFT(AB89,1)="x"),0,+#REF!/($D89+$E89-$G89)*$G89+#REF!)</f>
        <v>0</v>
      </c>
      <c r="BE89" s="7" t="e">
        <f>IF(OR(ISERROR(+AC89/($D89+$E89-$G89)*$G89+AC89),LEFT(#REF!,1)="x"),0,+AC89/($D89+$E89-$G89)*$G89+AC89)</f>
        <v>#REF!</v>
      </c>
    </row>
    <row r="90" spans="1:57">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738"/>
      <c r="Y90" s="738"/>
      <c r="Z90" s="738"/>
      <c r="AA90" s="738"/>
      <c r="AB90" s="738"/>
      <c r="AC90" s="563"/>
      <c r="AD90" s="629">
        <f t="shared" si="24"/>
        <v>65</v>
      </c>
      <c r="AE90" s="629">
        <f t="shared" si="25"/>
        <v>65</v>
      </c>
      <c r="AF90" s="634">
        <f t="shared" si="26"/>
        <v>0</v>
      </c>
      <c r="AG90" s="43">
        <f t="shared" si="27"/>
        <v>0</v>
      </c>
      <c r="AH90" s="7">
        <f t="shared" si="3"/>
        <v>0</v>
      </c>
      <c r="AI90" s="7">
        <f t="shared" si="4"/>
        <v>0</v>
      </c>
      <c r="AJ90" s="7">
        <f t="shared" si="5"/>
        <v>0</v>
      </c>
      <c r="AK90" s="7">
        <f t="shared" si="6"/>
        <v>0</v>
      </c>
      <c r="AL90" s="7">
        <f t="shared" si="7"/>
        <v>0</v>
      </c>
      <c r="AM90" s="7">
        <f t="shared" si="8"/>
        <v>0</v>
      </c>
      <c r="AN90" s="7">
        <f t="shared" si="9"/>
        <v>0</v>
      </c>
      <c r="AO90" s="7">
        <f t="shared" si="10"/>
        <v>0</v>
      </c>
      <c r="AP90" s="7">
        <f t="shared" si="11"/>
        <v>0</v>
      </c>
      <c r="AQ90" s="7">
        <f t="shared" si="12"/>
        <v>0</v>
      </c>
      <c r="AR90" s="7">
        <f t="shared" si="13"/>
        <v>65</v>
      </c>
      <c r="AS90" s="7">
        <f t="shared" si="14"/>
        <v>0</v>
      </c>
      <c r="AT90" s="7">
        <f t="shared" si="15"/>
        <v>0</v>
      </c>
      <c r="AU90" s="7">
        <f t="shared" si="16"/>
        <v>0</v>
      </c>
      <c r="AV90" s="7">
        <f t="shared" si="17"/>
        <v>0</v>
      </c>
      <c r="AW90" s="7">
        <f t="shared" si="18"/>
        <v>0</v>
      </c>
      <c r="AX90" s="7">
        <f t="shared" si="19"/>
        <v>0</v>
      </c>
      <c r="AY90" s="7">
        <f t="shared" si="20"/>
        <v>0</v>
      </c>
      <c r="AZ90" s="7">
        <f t="shared" si="21"/>
        <v>0</v>
      </c>
      <c r="BA90" s="7">
        <f t="shared" si="22"/>
        <v>0</v>
      </c>
      <c r="BB90" s="7">
        <f t="shared" si="23"/>
        <v>0</v>
      </c>
      <c r="BC90" s="7">
        <f>IF(OR(ISERROR(+#REF!/($D90+$E90-$G90)*$G90+#REF!),LEFT(AA90,1)="x"),0,+#REF!/($D90+$E90-$G90)*$G90+#REF!)</f>
        <v>0</v>
      </c>
      <c r="BD90" s="7">
        <f>IF(OR(ISERROR(+#REF!/($D90+$E90-$G90)*$G90+#REF!),LEFT(AB90,1)="x"),0,+#REF!/($D90+$E90-$G90)*$G90+#REF!)</f>
        <v>0</v>
      </c>
      <c r="BE90" s="7" t="e">
        <f>IF(OR(ISERROR(+AC90/($D90+$E90-$G90)*$G90+AC90),LEFT(#REF!,1)="x"),0,+AC90/($D90+$E90-$G90)*$G90+AC90)</f>
        <v>#REF!</v>
      </c>
    </row>
    <row r="91" spans="1:57">
      <c r="A91" s="555"/>
      <c r="B91" s="605" t="s">
        <v>43</v>
      </c>
      <c r="C91" s="607"/>
      <c r="D91" s="608"/>
      <c r="E91" s="608">
        <v>35</v>
      </c>
      <c r="F91" s="608"/>
      <c r="G91" s="609"/>
      <c r="H91" s="585"/>
      <c r="I91" s="562"/>
      <c r="J91" s="562">
        <v>35</v>
      </c>
      <c r="K91" s="562"/>
      <c r="L91" s="562"/>
      <c r="M91" s="562"/>
      <c r="N91" s="602" t="s">
        <v>241</v>
      </c>
      <c r="O91" s="562"/>
      <c r="P91" s="562"/>
      <c r="Q91" s="562"/>
      <c r="R91" s="562"/>
      <c r="S91" s="562"/>
      <c r="T91" s="562"/>
      <c r="U91" s="562"/>
      <c r="V91" s="562"/>
      <c r="W91" s="562"/>
      <c r="X91" s="562"/>
      <c r="Y91" s="562"/>
      <c r="Z91" s="562"/>
      <c r="AA91" s="562"/>
      <c r="AB91" s="562"/>
      <c r="AC91" s="563"/>
      <c r="AD91" s="629">
        <f t="shared" si="24"/>
        <v>35</v>
      </c>
      <c r="AE91" s="629">
        <f t="shared" si="25"/>
        <v>35</v>
      </c>
      <c r="AF91" s="634">
        <f t="shared" si="26"/>
        <v>0</v>
      </c>
      <c r="AG91" s="43"/>
    </row>
    <row r="92" spans="1:57">
      <c r="A92" s="555"/>
      <c r="B92" s="605" t="s">
        <v>174</v>
      </c>
      <c r="C92" s="607"/>
      <c r="D92" s="739">
        <v>5.5</v>
      </c>
      <c r="E92" s="608"/>
      <c r="F92" s="609"/>
      <c r="G92" s="609"/>
      <c r="H92" s="603"/>
      <c r="I92" s="562"/>
      <c r="J92" s="562"/>
      <c r="K92" s="562"/>
      <c r="L92" s="562"/>
      <c r="M92" s="562"/>
      <c r="N92" s="562"/>
      <c r="O92" s="562"/>
      <c r="P92" s="562"/>
      <c r="Q92" s="562"/>
      <c r="R92" s="562"/>
      <c r="S92" s="562"/>
      <c r="T92" s="562"/>
      <c r="U92" s="562"/>
      <c r="V92" s="740">
        <v>5.5</v>
      </c>
      <c r="W92" s="562"/>
      <c r="X92" s="562"/>
      <c r="Y92" s="562"/>
      <c r="Z92" s="562"/>
      <c r="AA92" s="562"/>
      <c r="AB92" s="562"/>
      <c r="AC92" s="563"/>
      <c r="AD92" s="629">
        <f t="shared" si="24"/>
        <v>5.5</v>
      </c>
      <c r="AE92" s="629">
        <f t="shared" si="25"/>
        <v>5.5</v>
      </c>
      <c r="AF92" s="634">
        <f t="shared" si="26"/>
        <v>0</v>
      </c>
      <c r="AG92" s="43"/>
    </row>
    <row r="93" spans="1:57" ht="38.25">
      <c r="A93" s="555"/>
      <c r="B93" s="746" t="s">
        <v>480</v>
      </c>
      <c r="C93" s="607"/>
      <c r="D93" s="609">
        <v>50555.39</v>
      </c>
      <c r="E93" s="608"/>
      <c r="F93" s="608"/>
      <c r="G93" s="609"/>
      <c r="H93" s="603"/>
      <c r="I93" s="562"/>
      <c r="J93" s="562"/>
      <c r="K93" s="562"/>
      <c r="L93" s="562"/>
      <c r="M93" s="562"/>
      <c r="N93" s="562"/>
      <c r="O93" s="562"/>
      <c r="P93" s="562"/>
      <c r="Q93" s="562"/>
      <c r="R93" s="562"/>
      <c r="S93" s="562"/>
      <c r="T93" s="562"/>
      <c r="U93" s="562"/>
      <c r="V93" s="562"/>
      <c r="W93" s="562"/>
      <c r="X93" s="740">
        <v>50555.39</v>
      </c>
      <c r="Y93" s="562"/>
      <c r="Z93" s="562"/>
      <c r="AA93" s="562"/>
      <c r="AB93" s="562"/>
      <c r="AC93" s="563"/>
      <c r="AD93" s="629">
        <f t="shared" si="24"/>
        <v>50555.39</v>
      </c>
      <c r="AE93" s="629">
        <f t="shared" si="25"/>
        <v>50555.39</v>
      </c>
      <c r="AF93" s="634">
        <f t="shared" si="26"/>
        <v>0</v>
      </c>
      <c r="AG93" s="43"/>
    </row>
    <row r="94" spans="1:57">
      <c r="A94" s="555"/>
      <c r="B94" s="605" t="s">
        <v>481</v>
      </c>
      <c r="C94" s="607"/>
      <c r="D94" s="609">
        <v>6969.6</v>
      </c>
      <c r="E94" s="608"/>
      <c r="F94" s="608"/>
      <c r="G94" s="609"/>
      <c r="H94" s="603"/>
      <c r="I94" s="562"/>
      <c r="J94" s="562"/>
      <c r="K94" s="562"/>
      <c r="L94" s="562"/>
      <c r="M94" s="562"/>
      <c r="N94" s="562"/>
      <c r="O94" s="562"/>
      <c r="P94" s="562"/>
      <c r="Q94" s="562"/>
      <c r="R94" s="562"/>
      <c r="S94" s="562"/>
      <c r="T94" s="562"/>
      <c r="U94" s="562"/>
      <c r="V94" s="562"/>
      <c r="W94" s="562"/>
      <c r="X94" s="562"/>
      <c r="Y94" s="562">
        <v>6969.6</v>
      </c>
      <c r="Z94" s="562"/>
      <c r="AA94" s="562"/>
      <c r="AB94" s="562"/>
      <c r="AC94" s="563"/>
      <c r="AD94" s="629">
        <f t="shared" si="24"/>
        <v>6969.6</v>
      </c>
      <c r="AE94" s="629">
        <f t="shared" si="25"/>
        <v>6969.6</v>
      </c>
      <c r="AF94" s="634">
        <f t="shared" si="26"/>
        <v>0</v>
      </c>
      <c r="AG94" s="43"/>
    </row>
    <row r="95" spans="1:57">
      <c r="A95" s="555"/>
      <c r="B95" s="719" t="s">
        <v>60</v>
      </c>
      <c r="C95" s="719"/>
      <c r="D95" s="721">
        <v>901</v>
      </c>
      <c r="E95" s="721">
        <v>-901</v>
      </c>
      <c r="F95" s="608"/>
      <c r="G95" s="609"/>
      <c r="H95" s="603"/>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24"/>
        <v>0</v>
      </c>
      <c r="AE95" s="629">
        <f t="shared" si="25"/>
        <v>0</v>
      </c>
      <c r="AF95" s="634">
        <f t="shared" si="26"/>
        <v>0</v>
      </c>
      <c r="AG95" s="43"/>
    </row>
    <row r="96" spans="1:57">
      <c r="A96" s="555"/>
      <c r="B96" s="604"/>
      <c r="C96" s="607"/>
      <c r="D96" s="609"/>
      <c r="E96" s="608"/>
      <c r="F96" s="608"/>
      <c r="G96" s="609"/>
      <c r="H96" s="603"/>
      <c r="I96" s="562"/>
      <c r="J96" s="562"/>
      <c r="K96" s="562"/>
      <c r="L96" s="562"/>
      <c r="M96" s="562"/>
      <c r="N96" s="562"/>
      <c r="O96" s="562"/>
      <c r="P96" s="562"/>
      <c r="Q96" s="562"/>
      <c r="R96" s="562"/>
      <c r="S96" s="562"/>
      <c r="T96" s="562"/>
      <c r="U96" s="562"/>
      <c r="V96" s="562"/>
      <c r="W96" s="562"/>
      <c r="X96" s="562"/>
      <c r="Y96" s="562"/>
      <c r="Z96" s="562"/>
      <c r="AA96" s="562"/>
      <c r="AB96" s="562"/>
      <c r="AC96" s="563"/>
      <c r="AD96" s="629">
        <f t="shared" si="24"/>
        <v>0</v>
      </c>
      <c r="AE96" s="629">
        <f t="shared" si="25"/>
        <v>0</v>
      </c>
      <c r="AF96" s="634">
        <f t="shared" si="26"/>
        <v>0</v>
      </c>
      <c r="AG96" s="43"/>
    </row>
    <row r="97" spans="1:33">
      <c r="A97" s="555"/>
      <c r="B97" s="604"/>
      <c r="C97" s="607"/>
      <c r="D97" s="609"/>
      <c r="E97" s="608"/>
      <c r="F97" s="608"/>
      <c r="G97" s="609"/>
      <c r="H97" s="603"/>
      <c r="I97" s="562"/>
      <c r="J97" s="562"/>
      <c r="K97" s="562"/>
      <c r="L97" s="562"/>
      <c r="M97" s="562"/>
      <c r="N97" s="562"/>
      <c r="O97" s="562"/>
      <c r="P97" s="562"/>
      <c r="Q97" s="562"/>
      <c r="R97" s="562"/>
      <c r="S97" s="562"/>
      <c r="T97" s="562"/>
      <c r="U97" s="562"/>
      <c r="V97" s="562"/>
      <c r="W97" s="562"/>
      <c r="X97" s="562"/>
      <c r="Y97" s="562"/>
      <c r="Z97" s="562"/>
      <c r="AA97" s="562"/>
      <c r="AB97" s="562"/>
      <c r="AC97" s="563"/>
      <c r="AD97" s="629">
        <f t="shared" si="24"/>
        <v>0</v>
      </c>
      <c r="AE97" s="629">
        <f t="shared" si="25"/>
        <v>0</v>
      </c>
      <c r="AF97" s="634">
        <f t="shared" si="26"/>
        <v>0</v>
      </c>
      <c r="AG97" s="43"/>
    </row>
    <row r="98" spans="1:33">
      <c r="A98" s="555"/>
      <c r="B98" s="604"/>
      <c r="C98" s="607"/>
      <c r="D98" s="609"/>
      <c r="E98" s="608"/>
      <c r="F98" s="608"/>
      <c r="G98" s="609"/>
      <c r="H98" s="603"/>
      <c r="I98" s="562"/>
      <c r="J98" s="562"/>
      <c r="K98" s="562"/>
      <c r="L98" s="562"/>
      <c r="M98" s="562"/>
      <c r="N98" s="562"/>
      <c r="O98" s="562"/>
      <c r="P98" s="562"/>
      <c r="Q98" s="562"/>
      <c r="R98" s="562"/>
      <c r="S98" s="562"/>
      <c r="T98" s="562"/>
      <c r="U98" s="562"/>
      <c r="V98" s="562"/>
      <c r="W98" s="562"/>
      <c r="X98" s="562"/>
      <c r="Y98" s="562"/>
      <c r="Z98" s="562"/>
      <c r="AA98" s="562"/>
      <c r="AB98" s="562"/>
      <c r="AC98" s="563"/>
      <c r="AD98" s="629">
        <f t="shared" si="24"/>
        <v>0</v>
      </c>
      <c r="AE98" s="629">
        <f t="shared" si="25"/>
        <v>0</v>
      </c>
      <c r="AF98" s="634">
        <f t="shared" si="26"/>
        <v>0</v>
      </c>
      <c r="AG98" s="43"/>
    </row>
    <row r="99" spans="1:33">
      <c r="A99" s="555"/>
      <c r="B99" s="604"/>
      <c r="C99" s="607"/>
      <c r="D99" s="609"/>
      <c r="E99" s="608"/>
      <c r="F99" s="608"/>
      <c r="G99" s="609"/>
      <c r="H99" s="603"/>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24"/>
        <v>0</v>
      </c>
      <c r="AE99" s="629">
        <f t="shared" si="25"/>
        <v>0</v>
      </c>
      <c r="AF99" s="634">
        <f t="shared" si="26"/>
        <v>0</v>
      </c>
      <c r="AG99" s="43"/>
    </row>
    <row r="100" spans="1:33">
      <c r="A100" s="555"/>
      <c r="B100" s="604"/>
      <c r="C100" s="607"/>
      <c r="D100" s="609"/>
      <c r="E100" s="608"/>
      <c r="F100" s="608"/>
      <c r="G100" s="609"/>
      <c r="H100" s="603"/>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24"/>
        <v>0</v>
      </c>
      <c r="AE100" s="629">
        <f t="shared" si="25"/>
        <v>0</v>
      </c>
      <c r="AF100" s="634">
        <f t="shared" si="26"/>
        <v>0</v>
      </c>
      <c r="AG100" s="43"/>
    </row>
    <row r="101" spans="1:33">
      <c r="A101" s="555"/>
      <c r="B101" s="604"/>
      <c r="C101" s="607"/>
      <c r="D101" s="609"/>
      <c r="E101" s="608"/>
      <c r="F101" s="608"/>
      <c r="G101" s="609"/>
      <c r="H101" s="603"/>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24"/>
        <v>0</v>
      </c>
      <c r="AE101" s="629">
        <f t="shared" si="25"/>
        <v>0</v>
      </c>
      <c r="AF101" s="634">
        <f t="shared" si="26"/>
        <v>0</v>
      </c>
      <c r="AG101" s="43"/>
    </row>
    <row r="102" spans="1:33">
      <c r="A102" s="555"/>
      <c r="B102" s="604"/>
      <c r="C102" s="607"/>
      <c r="D102" s="609"/>
      <c r="E102" s="608"/>
      <c r="F102" s="608"/>
      <c r="G102" s="609"/>
      <c r="H102" s="603"/>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24"/>
        <v>0</v>
      </c>
      <c r="AE102" s="629">
        <f t="shared" si="25"/>
        <v>0</v>
      </c>
      <c r="AF102" s="634">
        <f t="shared" si="26"/>
        <v>0</v>
      </c>
      <c r="AG102" s="43"/>
    </row>
    <row r="103" spans="1:33">
      <c r="A103" s="555"/>
      <c r="B103" s="604"/>
      <c r="C103" s="607"/>
      <c r="D103" s="609"/>
      <c r="E103" s="608"/>
      <c r="F103" s="608"/>
      <c r="G103" s="609"/>
      <c r="H103" s="603"/>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24"/>
        <v>0</v>
      </c>
      <c r="AE103" s="629">
        <f t="shared" si="25"/>
        <v>0</v>
      </c>
      <c r="AF103" s="634">
        <f t="shared" si="26"/>
        <v>0</v>
      </c>
      <c r="AG103" s="43"/>
    </row>
    <row r="104" spans="1:33">
      <c r="A104" s="555"/>
      <c r="B104" s="604"/>
      <c r="C104" s="607"/>
      <c r="D104" s="609"/>
      <c r="E104" s="608"/>
      <c r="F104" s="608"/>
      <c r="G104" s="609"/>
      <c r="H104" s="603"/>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24"/>
        <v>0</v>
      </c>
      <c r="AE104" s="629">
        <f t="shared" si="25"/>
        <v>0</v>
      </c>
      <c r="AF104" s="634">
        <f t="shared" si="26"/>
        <v>0</v>
      </c>
      <c r="AG104" s="43"/>
    </row>
    <row r="105" spans="1:33">
      <c r="A105" s="555"/>
      <c r="B105" s="604"/>
      <c r="C105" s="607"/>
      <c r="D105" s="609"/>
      <c r="E105" s="608"/>
      <c r="F105" s="608"/>
      <c r="G105" s="609"/>
      <c r="H105" s="603"/>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24"/>
        <v>0</v>
      </c>
      <c r="AE105" s="629">
        <f t="shared" si="25"/>
        <v>0</v>
      </c>
      <c r="AF105" s="634">
        <f t="shared" si="26"/>
        <v>0</v>
      </c>
      <c r="AG105" s="43"/>
    </row>
    <row r="106" spans="1:33">
      <c r="A106" s="555"/>
      <c r="B106" s="604"/>
      <c r="C106" s="607"/>
      <c r="D106" s="609"/>
      <c r="E106" s="608"/>
      <c r="F106" s="608"/>
      <c r="G106" s="609"/>
      <c r="H106" s="603"/>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24"/>
        <v>0</v>
      </c>
      <c r="AE106" s="629">
        <f t="shared" si="25"/>
        <v>0</v>
      </c>
      <c r="AF106" s="634">
        <f t="shared" si="26"/>
        <v>0</v>
      </c>
      <c r="AG106" s="43"/>
    </row>
    <row r="107" spans="1:33" ht="13.5" thickBot="1">
      <c r="A107" s="555"/>
      <c r="B107" s="604"/>
      <c r="C107" s="607"/>
      <c r="D107" s="609"/>
      <c r="E107" s="608"/>
      <c r="F107" s="608"/>
      <c r="G107" s="609"/>
      <c r="H107" s="603"/>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24"/>
        <v>0</v>
      </c>
      <c r="AE107" s="629">
        <f t="shared" si="25"/>
        <v>0</v>
      </c>
      <c r="AF107" s="634">
        <f t="shared" si="26"/>
        <v>0</v>
      </c>
      <c r="AG107" s="43"/>
    </row>
    <row r="108" spans="1:33" hidden="1">
      <c r="A108" s="555"/>
      <c r="B108" s="604"/>
      <c r="C108" s="607"/>
      <c r="D108" s="609"/>
      <c r="E108" s="608"/>
      <c r="F108" s="608"/>
      <c r="G108" s="609"/>
      <c r="H108" s="603"/>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24"/>
        <v>0</v>
      </c>
      <c r="AE108" s="629">
        <f t="shared" si="25"/>
        <v>0</v>
      </c>
      <c r="AF108" s="634">
        <f t="shared" si="26"/>
        <v>0</v>
      </c>
      <c r="AG108" s="43"/>
    </row>
    <row r="109" spans="1:33" hidden="1">
      <c r="A109" s="555"/>
      <c r="B109" s="604"/>
      <c r="C109" s="607"/>
      <c r="D109" s="609"/>
      <c r="E109" s="608"/>
      <c r="F109" s="608"/>
      <c r="G109" s="609"/>
      <c r="H109" s="603"/>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24"/>
        <v>0</v>
      </c>
      <c r="AE109" s="629">
        <f t="shared" si="25"/>
        <v>0</v>
      </c>
      <c r="AF109" s="634">
        <f t="shared" si="26"/>
        <v>0</v>
      </c>
      <c r="AG109" s="43"/>
    </row>
    <row r="110" spans="1:33" hidden="1">
      <c r="A110" s="555"/>
      <c r="B110" s="604"/>
      <c r="C110" s="607"/>
      <c r="D110" s="609"/>
      <c r="E110" s="608"/>
      <c r="F110" s="608"/>
      <c r="G110" s="609"/>
      <c r="H110" s="603"/>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24"/>
        <v>0</v>
      </c>
      <c r="AE110" s="629">
        <f t="shared" si="25"/>
        <v>0</v>
      </c>
      <c r="AF110" s="634">
        <f t="shared" si="26"/>
        <v>0</v>
      </c>
      <c r="AG110" s="43"/>
    </row>
    <row r="111" spans="1:33" hidden="1">
      <c r="A111" s="555"/>
      <c r="B111" s="604"/>
      <c r="C111" s="607"/>
      <c r="D111" s="609"/>
      <c r="E111" s="608"/>
      <c r="F111" s="608"/>
      <c r="G111" s="609"/>
      <c r="H111" s="603"/>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24"/>
        <v>0</v>
      </c>
      <c r="AE111" s="629">
        <f t="shared" si="25"/>
        <v>0</v>
      </c>
      <c r="AF111" s="634">
        <f t="shared" si="26"/>
        <v>0</v>
      </c>
      <c r="AG111" s="43"/>
    </row>
    <row r="112" spans="1:33" hidden="1">
      <c r="A112" s="555"/>
      <c r="B112" s="604"/>
      <c r="C112" s="607"/>
      <c r="D112" s="609"/>
      <c r="E112" s="608"/>
      <c r="F112" s="608"/>
      <c r="G112" s="609"/>
      <c r="H112" s="603"/>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24"/>
        <v>0</v>
      </c>
      <c r="AE112" s="629">
        <f t="shared" si="25"/>
        <v>0</v>
      </c>
      <c r="AF112" s="634">
        <f t="shared" si="26"/>
        <v>0</v>
      </c>
      <c r="AG112" s="43"/>
    </row>
    <row r="113" spans="1:33" hidden="1">
      <c r="A113" s="555"/>
      <c r="B113" s="604"/>
      <c r="C113" s="607"/>
      <c r="D113" s="609"/>
      <c r="E113" s="608"/>
      <c r="F113" s="608"/>
      <c r="G113" s="609"/>
      <c r="H113" s="603"/>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24"/>
        <v>0</v>
      </c>
      <c r="AE113" s="629">
        <f t="shared" si="25"/>
        <v>0</v>
      </c>
      <c r="AF113" s="634">
        <f t="shared" si="26"/>
        <v>0</v>
      </c>
      <c r="AG113" s="43"/>
    </row>
    <row r="114" spans="1:33" hidden="1">
      <c r="A114" s="555"/>
      <c r="B114" s="604"/>
      <c r="C114" s="607"/>
      <c r="D114" s="609"/>
      <c r="E114" s="608"/>
      <c r="F114" s="608"/>
      <c r="G114" s="609"/>
      <c r="H114" s="603"/>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24"/>
        <v>0</v>
      </c>
      <c r="AE114" s="629">
        <f t="shared" si="25"/>
        <v>0</v>
      </c>
      <c r="AF114" s="634">
        <f t="shared" si="26"/>
        <v>0</v>
      </c>
      <c r="AG114" s="43"/>
    </row>
    <row r="115" spans="1:33" hidden="1">
      <c r="A115" s="555"/>
      <c r="B115" s="604"/>
      <c r="C115" s="607"/>
      <c r="D115" s="609"/>
      <c r="E115" s="608"/>
      <c r="F115" s="608"/>
      <c r="G115" s="609"/>
      <c r="H115" s="603"/>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24"/>
        <v>0</v>
      </c>
      <c r="AE115" s="629">
        <f t="shared" si="25"/>
        <v>0</v>
      </c>
      <c r="AF115" s="634">
        <f t="shared" si="26"/>
        <v>0</v>
      </c>
      <c r="AG115" s="43"/>
    </row>
    <row r="116" spans="1:33" hidden="1">
      <c r="A116" s="555"/>
      <c r="B116" s="604"/>
      <c r="C116" s="607"/>
      <c r="D116" s="609"/>
      <c r="E116" s="608"/>
      <c r="F116" s="608"/>
      <c r="G116" s="609"/>
      <c r="H116" s="603"/>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24"/>
        <v>0</v>
      </c>
      <c r="AE116" s="629">
        <f t="shared" si="25"/>
        <v>0</v>
      </c>
      <c r="AF116" s="634">
        <f t="shared" si="26"/>
        <v>0</v>
      </c>
      <c r="AG116" s="43"/>
    </row>
    <row r="117" spans="1:33" hidden="1">
      <c r="A117" s="555"/>
      <c r="B117" s="604"/>
      <c r="C117" s="607"/>
      <c r="D117" s="609"/>
      <c r="E117" s="608"/>
      <c r="F117" s="608"/>
      <c r="G117" s="609"/>
      <c r="H117" s="603"/>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24"/>
        <v>0</v>
      </c>
      <c r="AE117" s="629">
        <f t="shared" si="25"/>
        <v>0</v>
      </c>
      <c r="AF117" s="634">
        <f t="shared" si="26"/>
        <v>0</v>
      </c>
      <c r="AG117" s="43"/>
    </row>
    <row r="118" spans="1:33" hidden="1">
      <c r="A118" s="555"/>
      <c r="B118" s="604"/>
      <c r="C118" s="607"/>
      <c r="D118" s="609"/>
      <c r="E118" s="608"/>
      <c r="F118" s="608"/>
      <c r="G118" s="609"/>
      <c r="H118" s="603"/>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24"/>
        <v>0</v>
      </c>
      <c r="AE118" s="629">
        <f t="shared" si="25"/>
        <v>0</v>
      </c>
      <c r="AF118" s="634">
        <f t="shared" si="26"/>
        <v>0</v>
      </c>
      <c r="AG118" s="43"/>
    </row>
    <row r="119" spans="1:33" hidden="1">
      <c r="A119" s="555"/>
      <c r="B119" s="604"/>
      <c r="C119" s="607"/>
      <c r="D119" s="609"/>
      <c r="E119" s="608"/>
      <c r="F119" s="608"/>
      <c r="G119" s="609"/>
      <c r="H119" s="603"/>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24"/>
        <v>0</v>
      </c>
      <c r="AE119" s="629">
        <f t="shared" si="25"/>
        <v>0</v>
      </c>
      <c r="AF119" s="634">
        <f t="shared" si="26"/>
        <v>0</v>
      </c>
      <c r="AG119" s="43"/>
    </row>
    <row r="120" spans="1:33" hidden="1">
      <c r="A120" s="555"/>
      <c r="B120" s="604"/>
      <c r="C120" s="607"/>
      <c r="D120" s="609"/>
      <c r="E120" s="608"/>
      <c r="F120" s="601"/>
      <c r="G120" s="609"/>
      <c r="H120" s="603"/>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24"/>
        <v>0</v>
      </c>
      <c r="AE120" s="629">
        <f t="shared" si="25"/>
        <v>0</v>
      </c>
      <c r="AF120" s="634">
        <f t="shared" si="26"/>
        <v>0</v>
      </c>
      <c r="AG120" s="43"/>
    </row>
    <row r="121" spans="1:33" hidden="1">
      <c r="A121" s="555"/>
      <c r="B121" s="604"/>
      <c r="C121" s="607"/>
      <c r="D121" s="609"/>
      <c r="E121" s="608"/>
      <c r="F121" s="601"/>
      <c r="G121" s="609"/>
      <c r="H121" s="603"/>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24"/>
        <v>0</v>
      </c>
      <c r="AE121" s="629">
        <f t="shared" si="25"/>
        <v>0</v>
      </c>
      <c r="AF121" s="634">
        <f t="shared" si="26"/>
        <v>0</v>
      </c>
      <c r="AG121" s="43"/>
    </row>
    <row r="122" spans="1:33" hidden="1">
      <c r="A122" s="555"/>
      <c r="B122" s="604"/>
      <c r="C122" s="607"/>
      <c r="D122" s="609"/>
      <c r="E122" s="608"/>
      <c r="F122" s="601"/>
      <c r="G122" s="609"/>
      <c r="H122" s="603"/>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24"/>
        <v>0</v>
      </c>
      <c r="AE122" s="629">
        <f t="shared" si="25"/>
        <v>0</v>
      </c>
      <c r="AF122" s="634">
        <f t="shared" si="26"/>
        <v>0</v>
      </c>
      <c r="AG122" s="43"/>
    </row>
    <row r="123" spans="1:33" hidden="1">
      <c r="A123" s="555"/>
      <c r="B123" s="604"/>
      <c r="C123" s="607"/>
      <c r="D123" s="609"/>
      <c r="E123" s="608"/>
      <c r="F123" s="601"/>
      <c r="G123" s="609"/>
      <c r="H123" s="603"/>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24"/>
        <v>0</v>
      </c>
      <c r="AE123" s="629">
        <f t="shared" si="25"/>
        <v>0</v>
      </c>
      <c r="AF123" s="634">
        <f t="shared" si="26"/>
        <v>0</v>
      </c>
      <c r="AG123" s="43"/>
    </row>
    <row r="124" spans="1:33" hidden="1">
      <c r="A124" s="555"/>
      <c r="B124" s="604"/>
      <c r="C124" s="607"/>
      <c r="D124" s="609"/>
      <c r="E124" s="608"/>
      <c r="F124" s="601"/>
      <c r="G124" s="609"/>
      <c r="H124" s="603"/>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24"/>
        <v>0</v>
      </c>
      <c r="AE124" s="629">
        <f t="shared" si="25"/>
        <v>0</v>
      </c>
      <c r="AF124" s="634">
        <f t="shared" si="26"/>
        <v>0</v>
      </c>
      <c r="AG124" s="43"/>
    </row>
    <row r="125" spans="1:33" hidden="1">
      <c r="A125" s="555"/>
      <c r="B125" s="604"/>
      <c r="C125" s="607"/>
      <c r="D125" s="609"/>
      <c r="E125" s="608"/>
      <c r="F125" s="601"/>
      <c r="G125" s="609"/>
      <c r="H125" s="603"/>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24"/>
        <v>0</v>
      </c>
      <c r="AE125" s="629">
        <f t="shared" si="25"/>
        <v>0</v>
      </c>
      <c r="AF125" s="634">
        <f t="shared" si="26"/>
        <v>0</v>
      </c>
      <c r="AG125" s="43"/>
    </row>
    <row r="126" spans="1:33" hidden="1">
      <c r="A126" s="555"/>
      <c r="B126" s="604"/>
      <c r="C126" s="607"/>
      <c r="D126" s="609"/>
      <c r="E126" s="608"/>
      <c r="F126" s="601"/>
      <c r="G126" s="609"/>
      <c r="H126" s="603"/>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24"/>
        <v>0</v>
      </c>
      <c r="AE126" s="629">
        <f t="shared" si="25"/>
        <v>0</v>
      </c>
      <c r="AF126" s="634">
        <f t="shared" si="26"/>
        <v>0</v>
      </c>
      <c r="AG126" s="43"/>
    </row>
    <row r="127" spans="1:33" hidden="1">
      <c r="A127" s="555"/>
      <c r="B127" s="604"/>
      <c r="C127" s="607"/>
      <c r="D127" s="609"/>
      <c r="E127" s="608"/>
      <c r="F127" s="601"/>
      <c r="G127" s="609"/>
      <c r="H127" s="603"/>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24"/>
        <v>0</v>
      </c>
      <c r="AE127" s="629">
        <f t="shared" si="25"/>
        <v>0</v>
      </c>
      <c r="AF127" s="634">
        <f t="shared" si="26"/>
        <v>0</v>
      </c>
      <c r="AG127" s="43"/>
    </row>
    <row r="128" spans="1:33" hidden="1">
      <c r="A128" s="555"/>
      <c r="B128" s="604"/>
      <c r="C128" s="607"/>
      <c r="D128" s="609"/>
      <c r="E128" s="608"/>
      <c r="F128" s="601"/>
      <c r="G128" s="609"/>
      <c r="H128" s="603"/>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24"/>
        <v>0</v>
      </c>
      <c r="AE128" s="629">
        <f t="shared" si="25"/>
        <v>0</v>
      </c>
      <c r="AF128" s="634">
        <f t="shared" si="26"/>
        <v>0</v>
      </c>
      <c r="AG128" s="43"/>
    </row>
    <row r="129" spans="1:33" hidden="1">
      <c r="A129" s="555"/>
      <c r="B129" s="604"/>
      <c r="C129" s="607"/>
      <c r="D129" s="609"/>
      <c r="E129" s="608"/>
      <c r="F129" s="601"/>
      <c r="G129" s="609"/>
      <c r="H129" s="603"/>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24"/>
        <v>0</v>
      </c>
      <c r="AE129" s="629">
        <f t="shared" si="25"/>
        <v>0</v>
      </c>
      <c r="AF129" s="634">
        <f t="shared" si="26"/>
        <v>0</v>
      </c>
      <c r="AG129" s="43"/>
    </row>
    <row r="130" spans="1:33" hidden="1">
      <c r="A130" s="555"/>
      <c r="B130" s="604"/>
      <c r="C130" s="607"/>
      <c r="D130" s="609"/>
      <c r="E130" s="608"/>
      <c r="F130" s="601"/>
      <c r="G130" s="609"/>
      <c r="H130" s="603"/>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24"/>
        <v>0</v>
      </c>
      <c r="AE130" s="629">
        <f t="shared" si="25"/>
        <v>0</v>
      </c>
      <c r="AF130" s="634">
        <f t="shared" si="26"/>
        <v>0</v>
      </c>
      <c r="AG130" s="43"/>
    </row>
    <row r="131" spans="1:33" hidden="1">
      <c r="A131" s="555"/>
      <c r="B131" s="604"/>
      <c r="C131" s="607"/>
      <c r="D131" s="609"/>
      <c r="E131" s="608"/>
      <c r="F131" s="601"/>
      <c r="G131" s="609"/>
      <c r="H131" s="603"/>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24"/>
        <v>0</v>
      </c>
      <c r="AE131" s="629">
        <f t="shared" si="25"/>
        <v>0</v>
      </c>
      <c r="AF131" s="634">
        <f t="shared" si="26"/>
        <v>0</v>
      </c>
      <c r="AG131" s="43"/>
    </row>
    <row r="132" spans="1:33" hidden="1">
      <c r="A132" s="555"/>
      <c r="B132" s="604"/>
      <c r="C132" s="607"/>
      <c r="D132" s="609"/>
      <c r="E132" s="608"/>
      <c r="F132" s="601"/>
      <c r="G132" s="609"/>
      <c r="H132" s="603"/>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24"/>
        <v>0</v>
      </c>
      <c r="AE132" s="629">
        <f t="shared" si="25"/>
        <v>0</v>
      </c>
      <c r="AF132" s="634">
        <f t="shared" si="26"/>
        <v>0</v>
      </c>
      <c r="AG132" s="43"/>
    </row>
    <row r="133" spans="1:33" hidden="1">
      <c r="A133" s="555"/>
      <c r="B133" s="604"/>
      <c r="C133" s="607"/>
      <c r="D133" s="609"/>
      <c r="E133" s="608"/>
      <c r="F133" s="601"/>
      <c r="G133" s="609"/>
      <c r="H133" s="603"/>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24"/>
        <v>0</v>
      </c>
      <c r="AE133" s="629">
        <f t="shared" si="25"/>
        <v>0</v>
      </c>
      <c r="AF133" s="634">
        <f t="shared" si="26"/>
        <v>0</v>
      </c>
      <c r="AG133" s="43"/>
    </row>
    <row r="134" spans="1:33" hidden="1">
      <c r="A134" s="555"/>
      <c r="B134" s="604"/>
      <c r="C134" s="607"/>
      <c r="D134" s="609"/>
      <c r="E134" s="608"/>
      <c r="F134" s="601"/>
      <c r="G134" s="609"/>
      <c r="H134" s="603"/>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24"/>
        <v>0</v>
      </c>
      <c r="AE134" s="629">
        <f t="shared" si="25"/>
        <v>0</v>
      </c>
      <c r="AF134" s="634">
        <f t="shared" si="26"/>
        <v>0</v>
      </c>
      <c r="AG134" s="43"/>
    </row>
    <row r="135" spans="1:33" hidden="1">
      <c r="A135" s="555"/>
      <c r="B135" s="604"/>
      <c r="C135" s="607"/>
      <c r="D135" s="609"/>
      <c r="E135" s="608"/>
      <c r="F135" s="601"/>
      <c r="G135" s="609"/>
      <c r="H135" s="603"/>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24"/>
        <v>0</v>
      </c>
      <c r="AE135" s="629">
        <f t="shared" si="25"/>
        <v>0</v>
      </c>
      <c r="AF135" s="634">
        <f t="shared" si="26"/>
        <v>0</v>
      </c>
      <c r="AG135" s="43"/>
    </row>
    <row r="136" spans="1:33" hidden="1">
      <c r="A136" s="555"/>
      <c r="B136" s="604"/>
      <c r="C136" s="607"/>
      <c r="D136" s="609"/>
      <c r="E136" s="608"/>
      <c r="F136" s="601"/>
      <c r="G136" s="609"/>
      <c r="H136" s="603"/>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24"/>
        <v>0</v>
      </c>
      <c r="AE136" s="629">
        <f t="shared" si="25"/>
        <v>0</v>
      </c>
      <c r="AF136" s="634">
        <f t="shared" si="26"/>
        <v>0</v>
      </c>
      <c r="AG136" s="43"/>
    </row>
    <row r="137" spans="1:33" hidden="1">
      <c r="A137" s="555"/>
      <c r="B137" s="604"/>
      <c r="C137" s="607"/>
      <c r="D137" s="609"/>
      <c r="E137" s="608"/>
      <c r="F137" s="601"/>
      <c r="G137" s="609"/>
      <c r="H137" s="603"/>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24"/>
        <v>0</v>
      </c>
      <c r="AE137" s="629">
        <f t="shared" si="25"/>
        <v>0</v>
      </c>
      <c r="AF137" s="634">
        <f t="shared" si="26"/>
        <v>0</v>
      </c>
      <c r="AG137" s="43"/>
    </row>
    <row r="138" spans="1:33" hidden="1">
      <c r="A138" s="555"/>
      <c r="B138" s="604"/>
      <c r="C138" s="607"/>
      <c r="D138" s="609"/>
      <c r="E138" s="608"/>
      <c r="F138" s="601"/>
      <c r="G138" s="609"/>
      <c r="H138" s="603"/>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24"/>
        <v>0</v>
      </c>
      <c r="AE138" s="629">
        <f t="shared" si="25"/>
        <v>0</v>
      </c>
      <c r="AF138" s="634">
        <f t="shared" si="26"/>
        <v>0</v>
      </c>
      <c r="AG138" s="43"/>
    </row>
    <row r="139" spans="1:33" hidden="1">
      <c r="A139" s="555"/>
      <c r="B139" s="604"/>
      <c r="C139" s="607"/>
      <c r="D139" s="609"/>
      <c r="E139" s="608"/>
      <c r="F139" s="601"/>
      <c r="G139" s="609"/>
      <c r="H139" s="603"/>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24"/>
        <v>0</v>
      </c>
      <c r="AE139" s="629">
        <f t="shared" si="25"/>
        <v>0</v>
      </c>
      <c r="AF139" s="634">
        <f t="shared" si="26"/>
        <v>0</v>
      </c>
      <c r="AG139" s="43"/>
    </row>
    <row r="140" spans="1:33" hidden="1">
      <c r="A140" s="555"/>
      <c r="B140" s="604"/>
      <c r="C140" s="607"/>
      <c r="D140" s="609"/>
      <c r="E140" s="608"/>
      <c r="F140" s="601"/>
      <c r="G140" s="609"/>
      <c r="H140" s="603"/>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24"/>
        <v>0</v>
      </c>
      <c r="AE140" s="629">
        <f t="shared" si="25"/>
        <v>0</v>
      </c>
      <c r="AF140" s="634">
        <f t="shared" si="26"/>
        <v>0</v>
      </c>
      <c r="AG140" s="43"/>
    </row>
    <row r="141" spans="1:33" hidden="1">
      <c r="A141" s="555"/>
      <c r="B141" s="604"/>
      <c r="C141" s="607"/>
      <c r="D141" s="609"/>
      <c r="E141" s="608"/>
      <c r="F141" s="601"/>
      <c r="G141" s="609"/>
      <c r="H141" s="603"/>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24"/>
        <v>0</v>
      </c>
      <c r="AE141" s="629">
        <f t="shared" si="25"/>
        <v>0</v>
      </c>
      <c r="AF141" s="634">
        <f t="shared" si="26"/>
        <v>0</v>
      </c>
      <c r="AG141" s="43"/>
    </row>
    <row r="142" spans="1:33" hidden="1">
      <c r="A142" s="555"/>
      <c r="B142" s="604"/>
      <c r="C142" s="607"/>
      <c r="D142" s="609"/>
      <c r="E142" s="608"/>
      <c r="F142" s="601"/>
      <c r="G142" s="609"/>
      <c r="H142" s="603"/>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24"/>
        <v>0</v>
      </c>
      <c r="AE142" s="629">
        <f t="shared" si="25"/>
        <v>0</v>
      </c>
      <c r="AF142" s="634">
        <f t="shared" si="26"/>
        <v>0</v>
      </c>
      <c r="AG142" s="43"/>
    </row>
    <row r="143" spans="1:33" hidden="1">
      <c r="A143" s="555"/>
      <c r="B143" s="604"/>
      <c r="C143" s="607"/>
      <c r="D143" s="609"/>
      <c r="E143" s="608"/>
      <c r="F143" s="601"/>
      <c r="G143" s="609"/>
      <c r="H143" s="603"/>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24"/>
        <v>0</v>
      </c>
      <c r="AE143" s="629">
        <f t="shared" si="25"/>
        <v>0</v>
      </c>
      <c r="AF143" s="634">
        <f t="shared" si="26"/>
        <v>0</v>
      </c>
      <c r="AG143" s="43"/>
    </row>
    <row r="144" spans="1:33" hidden="1">
      <c r="A144" s="555"/>
      <c r="B144" s="604"/>
      <c r="C144" s="607"/>
      <c r="D144" s="609"/>
      <c r="E144" s="608"/>
      <c r="F144" s="601"/>
      <c r="G144" s="609"/>
      <c r="H144" s="603"/>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ref="AD144:AD196" si="28">SUM(G144:AC144)</f>
        <v>0</v>
      </c>
      <c r="AE144" s="629">
        <f t="shared" ref="AE144:AE196" si="29">SUM(D144:F144)</f>
        <v>0</v>
      </c>
      <c r="AF144" s="634">
        <f t="shared" ref="AF144:AF196" si="30">AD144-AE144</f>
        <v>0</v>
      </c>
      <c r="AG144" s="43"/>
    </row>
    <row r="145" spans="1:57" hidden="1">
      <c r="A145" s="555"/>
      <c r="B145" s="604"/>
      <c r="C145" s="607"/>
      <c r="D145" s="609"/>
      <c r="E145" s="608"/>
      <c r="F145" s="601"/>
      <c r="G145" s="609"/>
      <c r="H145" s="603"/>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si="28"/>
        <v>0</v>
      </c>
      <c r="AE145" s="629">
        <f t="shared" si="29"/>
        <v>0</v>
      </c>
      <c r="AF145" s="634">
        <f t="shared" si="30"/>
        <v>0</v>
      </c>
      <c r="AG145" s="43"/>
    </row>
    <row r="146" spans="1:57" hidden="1">
      <c r="A146" s="555"/>
      <c r="B146" s="604"/>
      <c r="C146" s="607"/>
      <c r="D146" s="609"/>
      <c r="E146" s="608"/>
      <c r="F146" s="601"/>
      <c r="G146" s="609"/>
      <c r="H146" s="603"/>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28"/>
        <v>0</v>
      </c>
      <c r="AE146" s="629">
        <f t="shared" si="29"/>
        <v>0</v>
      </c>
      <c r="AF146" s="634">
        <f t="shared" si="30"/>
        <v>0</v>
      </c>
      <c r="AG146" s="43"/>
    </row>
    <row r="147" spans="1:57" hidden="1">
      <c r="A147" s="555"/>
      <c r="B147" s="604"/>
      <c r="C147" s="607"/>
      <c r="D147" s="609"/>
      <c r="E147" s="608"/>
      <c r="F147" s="601"/>
      <c r="G147" s="609"/>
      <c r="H147" s="603"/>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28"/>
        <v>0</v>
      </c>
      <c r="AE147" s="629">
        <f t="shared" si="29"/>
        <v>0</v>
      </c>
      <c r="AF147" s="634">
        <f t="shared" si="30"/>
        <v>0</v>
      </c>
      <c r="AG147" s="43"/>
    </row>
    <row r="148" spans="1:57" hidden="1">
      <c r="A148" s="555"/>
      <c r="B148" s="604"/>
      <c r="C148" s="607"/>
      <c r="D148" s="609"/>
      <c r="E148" s="608"/>
      <c r="F148" s="601"/>
      <c r="G148" s="609"/>
      <c r="H148" s="603"/>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28"/>
        <v>0</v>
      </c>
      <c r="AE148" s="629">
        <f t="shared" si="29"/>
        <v>0</v>
      </c>
      <c r="AF148" s="634">
        <f t="shared" si="30"/>
        <v>0</v>
      </c>
      <c r="AG148" s="43">
        <f>IF(AF148=0,0,"ERROR HERE")</f>
        <v>0</v>
      </c>
      <c r="AH148" s="7">
        <f t="shared" ref="AH148:BB148" si="31">IF(OR(ISERROR(+H148/($D148+$E148-$G148)*$G148+H148),LEFT(F148,1)="x"),0,+H148/($D148+$E148-$G148)*$G148+H148)</f>
        <v>0</v>
      </c>
      <c r="AI148" s="7">
        <f t="shared" si="31"/>
        <v>0</v>
      </c>
      <c r="AJ148" s="7">
        <f t="shared" si="31"/>
        <v>0</v>
      </c>
      <c r="AK148" s="7">
        <f t="shared" si="31"/>
        <v>0</v>
      </c>
      <c r="AL148" s="7">
        <f t="shared" si="31"/>
        <v>0</v>
      </c>
      <c r="AM148" s="7">
        <f t="shared" si="31"/>
        <v>0</v>
      </c>
      <c r="AN148" s="7">
        <f t="shared" si="31"/>
        <v>0</v>
      </c>
      <c r="AO148" s="7">
        <f t="shared" si="31"/>
        <v>0</v>
      </c>
      <c r="AP148" s="7">
        <f t="shared" si="31"/>
        <v>0</v>
      </c>
      <c r="AQ148" s="7">
        <f t="shared" si="31"/>
        <v>0</v>
      </c>
      <c r="AR148" s="7">
        <f t="shared" si="31"/>
        <v>0</v>
      </c>
      <c r="AS148" s="7">
        <f t="shared" si="31"/>
        <v>0</v>
      </c>
      <c r="AT148" s="7">
        <f t="shared" si="31"/>
        <v>0</v>
      </c>
      <c r="AU148" s="7">
        <f t="shared" si="31"/>
        <v>0</v>
      </c>
      <c r="AV148" s="7">
        <f t="shared" si="31"/>
        <v>0</v>
      </c>
      <c r="AW148" s="7">
        <f t="shared" si="31"/>
        <v>0</v>
      </c>
      <c r="AX148" s="7">
        <f t="shared" si="31"/>
        <v>0</v>
      </c>
      <c r="AY148" s="7">
        <f t="shared" si="31"/>
        <v>0</v>
      </c>
      <c r="AZ148" s="7">
        <f t="shared" si="31"/>
        <v>0</v>
      </c>
      <c r="BA148" s="7">
        <f t="shared" si="31"/>
        <v>0</v>
      </c>
      <c r="BB148" s="7">
        <f t="shared" si="31"/>
        <v>0</v>
      </c>
      <c r="BC148" s="7">
        <f>IF(OR(ISERROR(+#REF!/($D148+$E148-$G148)*$G148+#REF!),LEFT(AA148,1)="x"),0,+#REF!/($D148+$E148-$G148)*$G148+#REF!)</f>
        <v>0</v>
      </c>
      <c r="BD148" s="7">
        <f>IF(OR(ISERROR(+#REF!/($D148+$E148-$G148)*$G148+#REF!),LEFT(AB148,1)="x"),0,+#REF!/($D148+$E148-$G148)*$G148+#REF!)</f>
        <v>0</v>
      </c>
      <c r="BE148" s="7" t="e">
        <f>IF(OR(ISERROR(+AC148/($D148+$E148-$G148)*$G148+AC148),LEFT(#REF!,1)="x"),0,+AC148/($D148+$E148-$G148)*$G148+AC148)</f>
        <v>#REF!</v>
      </c>
    </row>
    <row r="149" spans="1:57" hidden="1">
      <c r="A149" s="555"/>
      <c r="B149" s="604"/>
      <c r="C149" s="607"/>
      <c r="D149" s="609"/>
      <c r="E149" s="608"/>
      <c r="F149" s="601"/>
      <c r="G149" s="609"/>
      <c r="H149" s="603"/>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28"/>
        <v>0</v>
      </c>
      <c r="AE149" s="629">
        <f t="shared" si="29"/>
        <v>0</v>
      </c>
      <c r="AF149" s="634">
        <f t="shared" si="30"/>
        <v>0</v>
      </c>
      <c r="AG149" s="43"/>
    </row>
    <row r="150" spans="1:57" hidden="1">
      <c r="A150" s="555"/>
      <c r="B150" s="604"/>
      <c r="C150" s="607"/>
      <c r="D150" s="609"/>
      <c r="E150" s="608"/>
      <c r="F150" s="601"/>
      <c r="G150" s="609"/>
      <c r="H150" s="603"/>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28"/>
        <v>0</v>
      </c>
      <c r="AE150" s="629">
        <f t="shared" si="29"/>
        <v>0</v>
      </c>
      <c r="AF150" s="634">
        <f t="shared" si="30"/>
        <v>0</v>
      </c>
      <c r="AG150" s="43"/>
    </row>
    <row r="151" spans="1:57" hidden="1">
      <c r="A151" s="555"/>
      <c r="B151" s="604"/>
      <c r="C151" s="607"/>
      <c r="D151" s="609"/>
      <c r="E151" s="608"/>
      <c r="F151" s="601"/>
      <c r="G151" s="609"/>
      <c r="H151" s="603"/>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28"/>
        <v>0</v>
      </c>
      <c r="AE151" s="629">
        <f t="shared" si="29"/>
        <v>0</v>
      </c>
      <c r="AF151" s="634">
        <f t="shared" si="30"/>
        <v>0</v>
      </c>
      <c r="AG151" s="43"/>
    </row>
    <row r="152" spans="1:57" hidden="1">
      <c r="A152" s="555"/>
      <c r="B152" s="604"/>
      <c r="C152" s="607"/>
      <c r="D152" s="609"/>
      <c r="E152" s="608"/>
      <c r="F152" s="601"/>
      <c r="G152" s="609"/>
      <c r="H152" s="603"/>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28"/>
        <v>0</v>
      </c>
      <c r="AE152" s="629">
        <f t="shared" si="29"/>
        <v>0</v>
      </c>
      <c r="AF152" s="634">
        <f t="shared" si="30"/>
        <v>0</v>
      </c>
      <c r="AG152" s="43"/>
    </row>
    <row r="153" spans="1:57" hidden="1">
      <c r="A153" s="555"/>
      <c r="B153" s="604"/>
      <c r="C153" s="607"/>
      <c r="D153" s="609"/>
      <c r="E153" s="608"/>
      <c r="F153" s="601"/>
      <c r="G153" s="609"/>
      <c r="H153" s="603"/>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28"/>
        <v>0</v>
      </c>
      <c r="AE153" s="629">
        <f t="shared" si="29"/>
        <v>0</v>
      </c>
      <c r="AF153" s="634">
        <f t="shared" si="30"/>
        <v>0</v>
      </c>
      <c r="AG153" s="43"/>
    </row>
    <row r="154" spans="1:57" hidden="1">
      <c r="A154" s="555"/>
      <c r="B154" s="604"/>
      <c r="C154" s="607"/>
      <c r="D154" s="609"/>
      <c r="E154" s="608"/>
      <c r="F154" s="601"/>
      <c r="G154" s="609"/>
      <c r="H154" s="603"/>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28"/>
        <v>0</v>
      </c>
      <c r="AE154" s="629">
        <f t="shared" si="29"/>
        <v>0</v>
      </c>
      <c r="AF154" s="634">
        <f t="shared" si="30"/>
        <v>0</v>
      </c>
      <c r="AG154" s="43"/>
    </row>
    <row r="155" spans="1:57" hidden="1">
      <c r="A155" s="555"/>
      <c r="B155" s="604"/>
      <c r="C155" s="607"/>
      <c r="D155" s="609"/>
      <c r="E155" s="608"/>
      <c r="F155" s="601"/>
      <c r="G155" s="609"/>
      <c r="H155" s="603"/>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28"/>
        <v>0</v>
      </c>
      <c r="AE155" s="629">
        <f t="shared" si="29"/>
        <v>0</v>
      </c>
      <c r="AF155" s="634">
        <f t="shared" si="30"/>
        <v>0</v>
      </c>
      <c r="AG155" s="43"/>
    </row>
    <row r="156" spans="1:57" hidden="1">
      <c r="A156" s="555"/>
      <c r="B156" s="604"/>
      <c r="C156" s="607"/>
      <c r="D156" s="609"/>
      <c r="E156" s="608"/>
      <c r="F156" s="601"/>
      <c r="G156" s="609"/>
      <c r="H156" s="603"/>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28"/>
        <v>0</v>
      </c>
      <c r="AE156" s="629">
        <f t="shared" si="29"/>
        <v>0</v>
      </c>
      <c r="AF156" s="634">
        <f t="shared" si="30"/>
        <v>0</v>
      </c>
      <c r="AG156" s="43"/>
    </row>
    <row r="157" spans="1:57" hidden="1">
      <c r="A157" s="555"/>
      <c r="B157" s="604"/>
      <c r="C157" s="607"/>
      <c r="D157" s="609"/>
      <c r="E157" s="608"/>
      <c r="F157" s="601"/>
      <c r="G157" s="609"/>
      <c r="H157" s="603"/>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28"/>
        <v>0</v>
      </c>
      <c r="AE157" s="629">
        <f t="shared" si="29"/>
        <v>0</v>
      </c>
      <c r="AF157" s="634">
        <f t="shared" si="30"/>
        <v>0</v>
      </c>
      <c r="AG157" s="43"/>
    </row>
    <row r="158" spans="1:57" hidden="1">
      <c r="A158" s="555"/>
      <c r="B158" s="604"/>
      <c r="C158" s="607"/>
      <c r="D158" s="609"/>
      <c r="E158" s="608"/>
      <c r="F158" s="601"/>
      <c r="G158" s="609"/>
      <c r="H158" s="603"/>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28"/>
        <v>0</v>
      </c>
      <c r="AE158" s="629">
        <f t="shared" si="29"/>
        <v>0</v>
      </c>
      <c r="AF158" s="634">
        <f t="shared" si="30"/>
        <v>0</v>
      </c>
      <c r="AG158" s="43"/>
    </row>
    <row r="159" spans="1:57" hidden="1">
      <c r="A159" s="555"/>
      <c r="B159" s="604"/>
      <c r="C159" s="607"/>
      <c r="D159" s="609"/>
      <c r="E159" s="608"/>
      <c r="F159" s="601"/>
      <c r="G159" s="609"/>
      <c r="H159" s="603"/>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28"/>
        <v>0</v>
      </c>
      <c r="AE159" s="629">
        <f t="shared" si="29"/>
        <v>0</v>
      </c>
      <c r="AF159" s="634">
        <f t="shared" si="30"/>
        <v>0</v>
      </c>
      <c r="AG159" s="43"/>
    </row>
    <row r="160" spans="1:57" hidden="1">
      <c r="A160" s="555"/>
      <c r="B160" s="604"/>
      <c r="C160" s="607"/>
      <c r="D160" s="609"/>
      <c r="E160" s="608"/>
      <c r="F160" s="601"/>
      <c r="G160" s="609"/>
      <c r="H160" s="603"/>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28"/>
        <v>0</v>
      </c>
      <c r="AE160" s="629">
        <f t="shared" si="29"/>
        <v>0</v>
      </c>
      <c r="AF160" s="634">
        <f t="shared" si="30"/>
        <v>0</v>
      </c>
      <c r="AG160" s="43"/>
    </row>
    <row r="161" spans="1:33" hidden="1">
      <c r="A161" s="555"/>
      <c r="B161" s="604"/>
      <c r="C161" s="607"/>
      <c r="D161" s="609"/>
      <c r="E161" s="608"/>
      <c r="F161" s="601"/>
      <c r="G161" s="609"/>
      <c r="H161" s="603"/>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28"/>
        <v>0</v>
      </c>
      <c r="AE161" s="629">
        <f t="shared" si="29"/>
        <v>0</v>
      </c>
      <c r="AF161" s="634">
        <f t="shared" si="30"/>
        <v>0</v>
      </c>
      <c r="AG161" s="43"/>
    </row>
    <row r="162" spans="1:33" hidden="1">
      <c r="A162" s="555"/>
      <c r="B162" s="604"/>
      <c r="C162" s="607"/>
      <c r="D162" s="609"/>
      <c r="E162" s="608"/>
      <c r="F162" s="601"/>
      <c r="G162" s="609"/>
      <c r="H162" s="603"/>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28"/>
        <v>0</v>
      </c>
      <c r="AE162" s="629">
        <f t="shared" si="29"/>
        <v>0</v>
      </c>
      <c r="AF162" s="634">
        <f t="shared" si="30"/>
        <v>0</v>
      </c>
      <c r="AG162" s="43"/>
    </row>
    <row r="163" spans="1:33" hidden="1">
      <c r="A163" s="555"/>
      <c r="B163" s="604"/>
      <c r="C163" s="607"/>
      <c r="D163" s="609"/>
      <c r="E163" s="608"/>
      <c r="F163" s="601"/>
      <c r="G163" s="609"/>
      <c r="H163" s="603"/>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28"/>
        <v>0</v>
      </c>
      <c r="AE163" s="629">
        <f t="shared" si="29"/>
        <v>0</v>
      </c>
      <c r="AF163" s="634">
        <f t="shared" si="30"/>
        <v>0</v>
      </c>
      <c r="AG163" s="43"/>
    </row>
    <row r="164" spans="1:33" hidden="1">
      <c r="A164" s="555"/>
      <c r="B164" s="604"/>
      <c r="C164" s="607"/>
      <c r="D164" s="609"/>
      <c r="E164" s="608"/>
      <c r="F164" s="601"/>
      <c r="G164" s="609"/>
      <c r="H164" s="603"/>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28"/>
        <v>0</v>
      </c>
      <c r="AE164" s="629">
        <f t="shared" si="29"/>
        <v>0</v>
      </c>
      <c r="AF164" s="634">
        <f t="shared" si="30"/>
        <v>0</v>
      </c>
      <c r="AG164" s="43"/>
    </row>
    <row r="165" spans="1:33" hidden="1">
      <c r="A165" s="555"/>
      <c r="B165" s="604"/>
      <c r="C165" s="607"/>
      <c r="D165" s="609"/>
      <c r="E165" s="608"/>
      <c r="F165" s="601"/>
      <c r="G165" s="609"/>
      <c r="H165" s="603"/>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28"/>
        <v>0</v>
      </c>
      <c r="AE165" s="629">
        <f t="shared" si="29"/>
        <v>0</v>
      </c>
      <c r="AF165" s="634">
        <f t="shared" si="30"/>
        <v>0</v>
      </c>
      <c r="AG165" s="43"/>
    </row>
    <row r="166" spans="1:33" hidden="1">
      <c r="A166" s="555"/>
      <c r="B166" s="604"/>
      <c r="C166" s="607"/>
      <c r="D166" s="609"/>
      <c r="E166" s="608"/>
      <c r="F166" s="601"/>
      <c r="G166" s="609"/>
      <c r="H166" s="603"/>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28"/>
        <v>0</v>
      </c>
      <c r="AE166" s="629">
        <f t="shared" si="29"/>
        <v>0</v>
      </c>
      <c r="AF166" s="634">
        <f t="shared" si="30"/>
        <v>0</v>
      </c>
      <c r="AG166" s="43"/>
    </row>
    <row r="167" spans="1:33" hidden="1">
      <c r="A167" s="555"/>
      <c r="B167" s="604"/>
      <c r="C167" s="607"/>
      <c r="D167" s="609"/>
      <c r="E167" s="608"/>
      <c r="F167" s="601"/>
      <c r="G167" s="609"/>
      <c r="H167" s="603"/>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28"/>
        <v>0</v>
      </c>
      <c r="AE167" s="629">
        <f t="shared" si="29"/>
        <v>0</v>
      </c>
      <c r="AF167" s="634">
        <f t="shared" si="30"/>
        <v>0</v>
      </c>
      <c r="AG167" s="43"/>
    </row>
    <row r="168" spans="1:33" hidden="1">
      <c r="A168" s="555"/>
      <c r="B168" s="604"/>
      <c r="C168" s="607"/>
      <c r="D168" s="609"/>
      <c r="E168" s="608"/>
      <c r="F168" s="601"/>
      <c r="G168" s="609"/>
      <c r="H168" s="603"/>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28"/>
        <v>0</v>
      </c>
      <c r="AE168" s="629">
        <f t="shared" si="29"/>
        <v>0</v>
      </c>
      <c r="AF168" s="634">
        <f t="shared" si="30"/>
        <v>0</v>
      </c>
      <c r="AG168" s="43"/>
    </row>
    <row r="169" spans="1:33" hidden="1">
      <c r="A169" s="555"/>
      <c r="B169" s="604"/>
      <c r="C169" s="607"/>
      <c r="D169" s="609"/>
      <c r="E169" s="608"/>
      <c r="F169" s="601"/>
      <c r="G169" s="609"/>
      <c r="H169" s="603"/>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28"/>
        <v>0</v>
      </c>
      <c r="AE169" s="629">
        <f t="shared" si="29"/>
        <v>0</v>
      </c>
      <c r="AF169" s="634">
        <f t="shared" si="30"/>
        <v>0</v>
      </c>
      <c r="AG169" s="43"/>
    </row>
    <row r="170" spans="1:33" hidden="1">
      <c r="A170" s="555"/>
      <c r="B170" s="604"/>
      <c r="C170" s="607"/>
      <c r="D170" s="609"/>
      <c r="E170" s="608"/>
      <c r="F170" s="601"/>
      <c r="G170" s="609"/>
      <c r="H170" s="603"/>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28"/>
        <v>0</v>
      </c>
      <c r="AE170" s="629">
        <f t="shared" si="29"/>
        <v>0</v>
      </c>
      <c r="AF170" s="634">
        <f t="shared" si="30"/>
        <v>0</v>
      </c>
      <c r="AG170" s="43"/>
    </row>
    <row r="171" spans="1:33" hidden="1">
      <c r="A171" s="555"/>
      <c r="B171" s="604"/>
      <c r="C171" s="607"/>
      <c r="D171" s="609"/>
      <c r="E171" s="608"/>
      <c r="F171" s="601"/>
      <c r="G171" s="609"/>
      <c r="H171" s="603"/>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28"/>
        <v>0</v>
      </c>
      <c r="AE171" s="629">
        <f t="shared" si="29"/>
        <v>0</v>
      </c>
      <c r="AF171" s="634">
        <f t="shared" si="30"/>
        <v>0</v>
      </c>
      <c r="AG171" s="43"/>
    </row>
    <row r="172" spans="1:33" hidden="1">
      <c r="A172" s="555"/>
      <c r="B172" s="604"/>
      <c r="C172" s="607"/>
      <c r="D172" s="609"/>
      <c r="E172" s="608"/>
      <c r="F172" s="601"/>
      <c r="G172" s="609"/>
      <c r="H172" s="603"/>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28"/>
        <v>0</v>
      </c>
      <c r="AE172" s="629">
        <f t="shared" si="29"/>
        <v>0</v>
      </c>
      <c r="AF172" s="634">
        <f t="shared" si="30"/>
        <v>0</v>
      </c>
      <c r="AG172" s="43"/>
    </row>
    <row r="173" spans="1:33" hidden="1">
      <c r="A173" s="555"/>
      <c r="B173" s="604"/>
      <c r="C173" s="607"/>
      <c r="D173" s="609"/>
      <c r="E173" s="608"/>
      <c r="F173" s="601"/>
      <c r="G173" s="609"/>
      <c r="H173" s="603"/>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28"/>
        <v>0</v>
      </c>
      <c r="AE173" s="629">
        <f t="shared" si="29"/>
        <v>0</v>
      </c>
      <c r="AF173" s="634">
        <f t="shared" si="30"/>
        <v>0</v>
      </c>
      <c r="AG173" s="43"/>
    </row>
    <row r="174" spans="1:33" hidden="1">
      <c r="A174" s="555"/>
      <c r="B174" s="604"/>
      <c r="C174" s="607"/>
      <c r="D174" s="609"/>
      <c r="E174" s="608"/>
      <c r="F174" s="601"/>
      <c r="G174" s="609"/>
      <c r="H174" s="603"/>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28"/>
        <v>0</v>
      </c>
      <c r="AE174" s="629">
        <f t="shared" si="29"/>
        <v>0</v>
      </c>
      <c r="AF174" s="634">
        <f t="shared" si="30"/>
        <v>0</v>
      </c>
      <c r="AG174" s="43"/>
    </row>
    <row r="175" spans="1:33" hidden="1">
      <c r="A175" s="555"/>
      <c r="B175" s="604"/>
      <c r="C175" s="607"/>
      <c r="D175" s="609"/>
      <c r="E175" s="608"/>
      <c r="F175" s="601"/>
      <c r="G175" s="609"/>
      <c r="H175" s="603"/>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28"/>
        <v>0</v>
      </c>
      <c r="AE175" s="629">
        <f t="shared" si="29"/>
        <v>0</v>
      </c>
      <c r="AF175" s="634">
        <f t="shared" si="30"/>
        <v>0</v>
      </c>
      <c r="AG175" s="43"/>
    </row>
    <row r="176" spans="1:33" hidden="1">
      <c r="A176" s="555"/>
      <c r="B176" s="604"/>
      <c r="C176" s="607"/>
      <c r="D176" s="609"/>
      <c r="E176" s="608"/>
      <c r="F176" s="601"/>
      <c r="G176" s="609"/>
      <c r="H176" s="603"/>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28"/>
        <v>0</v>
      </c>
      <c r="AE176" s="629">
        <f t="shared" si="29"/>
        <v>0</v>
      </c>
      <c r="AF176" s="634">
        <f t="shared" si="30"/>
        <v>0</v>
      </c>
      <c r="AG176" s="43"/>
    </row>
    <row r="177" spans="1:57" hidden="1">
      <c r="A177" s="555"/>
      <c r="B177" s="604"/>
      <c r="C177" s="607"/>
      <c r="D177" s="609"/>
      <c r="E177" s="608"/>
      <c r="F177" s="601"/>
      <c r="G177" s="609"/>
      <c r="H177" s="603"/>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28"/>
        <v>0</v>
      </c>
      <c r="AE177" s="629">
        <f t="shared" si="29"/>
        <v>0</v>
      </c>
      <c r="AF177" s="634">
        <f t="shared" si="30"/>
        <v>0</v>
      </c>
      <c r="AG177" s="43">
        <f t="shared" ref="AG177:AG194" si="32">IF(AF177=0,0,"ERROR HERE")</f>
        <v>0</v>
      </c>
      <c r="AH177" s="7">
        <f t="shared" ref="AH177:AQ178" si="33">IF(OR(ISERROR(+H177/($D177+$E177-$G177)*$G177+H177),LEFT(F177,1)="x"),0,+H177/($D177+$E177-$G177)*$G177+H177)</f>
        <v>0</v>
      </c>
      <c r="AI177" s="7">
        <f t="shared" si="33"/>
        <v>0</v>
      </c>
      <c r="AJ177" s="7">
        <f t="shared" si="33"/>
        <v>0</v>
      </c>
      <c r="AK177" s="7">
        <f t="shared" si="33"/>
        <v>0</v>
      </c>
      <c r="AL177" s="7">
        <f t="shared" si="33"/>
        <v>0</v>
      </c>
      <c r="AM177" s="7">
        <f t="shared" si="33"/>
        <v>0</v>
      </c>
      <c r="AN177" s="7">
        <f t="shared" si="33"/>
        <v>0</v>
      </c>
      <c r="AO177" s="7">
        <f t="shared" si="33"/>
        <v>0</v>
      </c>
      <c r="AP177" s="7">
        <f t="shared" si="33"/>
        <v>0</v>
      </c>
      <c r="AQ177" s="7">
        <f t="shared" si="33"/>
        <v>0</v>
      </c>
      <c r="AR177" s="7">
        <f t="shared" ref="AR177:BA178" si="34">IF(OR(ISERROR(+R177/($D177+$E177-$G177)*$G177+R177),LEFT(P177,1)="x"),0,+R177/($D177+$E177-$G177)*$G177+R177)</f>
        <v>0</v>
      </c>
      <c r="AS177" s="7">
        <f t="shared" si="34"/>
        <v>0</v>
      </c>
      <c r="AT177" s="7">
        <f t="shared" si="34"/>
        <v>0</v>
      </c>
      <c r="AU177" s="7">
        <f t="shared" si="34"/>
        <v>0</v>
      </c>
      <c r="AV177" s="7">
        <f t="shared" si="34"/>
        <v>0</v>
      </c>
      <c r="AW177" s="7">
        <f t="shared" si="34"/>
        <v>0</v>
      </c>
      <c r="AX177" s="7">
        <f t="shared" si="34"/>
        <v>0</v>
      </c>
      <c r="AY177" s="7">
        <f t="shared" si="34"/>
        <v>0</v>
      </c>
      <c r="AZ177" s="7">
        <f t="shared" si="34"/>
        <v>0</v>
      </c>
      <c r="BA177" s="7">
        <f t="shared" si="34"/>
        <v>0</v>
      </c>
      <c r="BB177" s="7">
        <f>IF(OR(ISERROR(+AB177/($D177+$E177-$G177)*$G177+AB177),LEFT(Z177,1)="x"),0,+AB177/($D177+$E177-$G177)*$G177+AB177)</f>
        <v>0</v>
      </c>
      <c r="BC177" s="7">
        <f>IF(OR(ISERROR(+#REF!/($D177+$E177-$G177)*$G177+#REF!),LEFT(AA177,1)="x"),0,+#REF!/($D177+$E177-$G177)*$G177+#REF!)</f>
        <v>0</v>
      </c>
      <c r="BD177" s="7">
        <f>IF(OR(ISERROR(+#REF!/($D177+$E177-$G177)*$G177+#REF!),LEFT(AB177,1)="x"),0,+#REF!/($D177+$E177-$G177)*$G177+#REF!)</f>
        <v>0</v>
      </c>
      <c r="BE177" s="7" t="e">
        <f>IF(OR(ISERROR(+AC177/($D177+$E177-$G177)*$G177+AC177),LEFT(#REF!,1)="x"),0,+AC177/($D177+$E177-$G177)*$G177+AC177)</f>
        <v>#REF!</v>
      </c>
    </row>
    <row r="178" spans="1:57" hidden="1">
      <c r="A178" s="555"/>
      <c r="B178" s="604"/>
      <c r="C178" s="607"/>
      <c r="D178" s="609"/>
      <c r="E178" s="608"/>
      <c r="F178" s="601"/>
      <c r="G178" s="609"/>
      <c r="H178" s="603"/>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28"/>
        <v>0</v>
      </c>
      <c r="AE178" s="629">
        <f t="shared" si="29"/>
        <v>0</v>
      </c>
      <c r="AF178" s="634">
        <f t="shared" si="30"/>
        <v>0</v>
      </c>
      <c r="AG178" s="43">
        <f t="shared" si="32"/>
        <v>0</v>
      </c>
      <c r="AH178" s="7">
        <f t="shared" si="33"/>
        <v>0</v>
      </c>
      <c r="AI178" s="7">
        <f t="shared" si="33"/>
        <v>0</v>
      </c>
      <c r="AJ178" s="7">
        <f t="shared" si="33"/>
        <v>0</v>
      </c>
      <c r="AK178" s="7">
        <f t="shared" si="33"/>
        <v>0</v>
      </c>
      <c r="AL178" s="7">
        <f t="shared" si="33"/>
        <v>0</v>
      </c>
      <c r="AM178" s="7">
        <f t="shared" si="33"/>
        <v>0</v>
      </c>
      <c r="AN178" s="7">
        <f t="shared" si="33"/>
        <v>0</v>
      </c>
      <c r="AO178" s="7">
        <f t="shared" si="33"/>
        <v>0</v>
      </c>
      <c r="AP178" s="7">
        <f t="shared" si="33"/>
        <v>0</v>
      </c>
      <c r="AQ178" s="7">
        <f t="shared" si="33"/>
        <v>0</v>
      </c>
      <c r="AR178" s="7">
        <f t="shared" si="34"/>
        <v>0</v>
      </c>
      <c r="AS178" s="7">
        <f t="shared" si="34"/>
        <v>0</v>
      </c>
      <c r="AT178" s="7">
        <f t="shared" si="34"/>
        <v>0</v>
      </c>
      <c r="AU178" s="7">
        <f t="shared" si="34"/>
        <v>0</v>
      </c>
      <c r="AV178" s="7">
        <f t="shared" si="34"/>
        <v>0</v>
      </c>
      <c r="AW178" s="7">
        <f t="shared" si="34"/>
        <v>0</v>
      </c>
      <c r="AX178" s="7">
        <f t="shared" si="34"/>
        <v>0</v>
      </c>
      <c r="AY178" s="7">
        <f t="shared" si="34"/>
        <v>0</v>
      </c>
      <c r="AZ178" s="7">
        <f t="shared" si="34"/>
        <v>0</v>
      </c>
      <c r="BA178" s="7">
        <f t="shared" si="34"/>
        <v>0</v>
      </c>
      <c r="BB178" s="7">
        <f>IF(OR(ISERROR(+AB178/($D178+$E178-$G178)*$G178+AB178),LEFT(Z178,1)="x"),0,+AB178/($D178+$E178-$G178)*$G178+AB178)</f>
        <v>0</v>
      </c>
      <c r="BC178" s="7">
        <f>IF(OR(ISERROR(+#REF!/($D178+$E178-$G178)*$G178+#REF!),LEFT(AA178,1)="x"),0,+#REF!/($D178+$E178-$G178)*$G178+#REF!)</f>
        <v>0</v>
      </c>
      <c r="BD178" s="7">
        <f>IF(OR(ISERROR(+#REF!/($D178+$E178-$G178)*$G178+#REF!),LEFT(AB178,1)="x"),0,+#REF!/($D178+$E178-$G178)*$G178+#REF!)</f>
        <v>0</v>
      </c>
      <c r="BE178" s="7" t="e">
        <f>IF(OR(ISERROR(+AC178/($D178+$E178-$G178)*$G178+AC178),LEFT(#REF!,1)="x"),0,+AC178/($D178+$E178-$G178)*$G178+AC178)</f>
        <v>#REF!</v>
      </c>
    </row>
    <row r="179" spans="1:57" hidden="1">
      <c r="A179" s="555"/>
      <c r="B179" s="604"/>
      <c r="C179" s="607"/>
      <c r="D179" s="609"/>
      <c r="E179" s="608"/>
      <c r="F179" s="601"/>
      <c r="G179" s="609"/>
      <c r="H179" s="585"/>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28"/>
        <v>0</v>
      </c>
      <c r="AE179" s="629">
        <f t="shared" si="29"/>
        <v>0</v>
      </c>
      <c r="AF179" s="634">
        <f t="shared" si="30"/>
        <v>0</v>
      </c>
      <c r="AG179" s="43">
        <f t="shared" si="32"/>
        <v>0</v>
      </c>
      <c r="AH179" s="7">
        <f t="shared" ref="AH179:AV179" si="35">IF(OR(ISERROR(+H179/($D179+$E179-$G179)*$G179+H179),LEFT(F179,1)="x"),0,+H179/($D179+$E179-$G179)*$G179+H179)</f>
        <v>0</v>
      </c>
      <c r="AI179" s="7">
        <f t="shared" si="35"/>
        <v>0</v>
      </c>
      <c r="AJ179" s="7">
        <f t="shared" si="35"/>
        <v>0</v>
      </c>
      <c r="AK179" s="7">
        <f t="shared" si="35"/>
        <v>0</v>
      </c>
      <c r="AL179" s="7">
        <f t="shared" si="35"/>
        <v>0</v>
      </c>
      <c r="AM179" s="7">
        <f t="shared" si="35"/>
        <v>0</v>
      </c>
      <c r="AN179" s="7">
        <f t="shared" si="35"/>
        <v>0</v>
      </c>
      <c r="AO179" s="7">
        <f t="shared" si="35"/>
        <v>0</v>
      </c>
      <c r="AP179" s="7">
        <f t="shared" si="35"/>
        <v>0</v>
      </c>
      <c r="AQ179" s="7">
        <f t="shared" si="35"/>
        <v>0</v>
      </c>
      <c r="AR179" s="7">
        <f t="shared" si="35"/>
        <v>0</v>
      </c>
      <c r="AS179" s="7">
        <f t="shared" si="35"/>
        <v>0</v>
      </c>
      <c r="AT179" s="7">
        <f t="shared" si="35"/>
        <v>0</v>
      </c>
      <c r="AU179" s="7">
        <f t="shared" si="35"/>
        <v>0</v>
      </c>
      <c r="AV179" s="7">
        <f t="shared" si="35"/>
        <v>0</v>
      </c>
      <c r="AW179" s="7">
        <f t="shared" ref="AW179:AW201" si="36">IF(OR(ISERROR(+W179/($D179+$E179-$G179)*$G179+W179),LEFT(U179,1)="x"),0,+W179/($D179+$E179-$G179)*$G179+W179)</f>
        <v>0</v>
      </c>
      <c r="AX179" s="7">
        <f t="shared" ref="AX179:AX194" si="37">IF(OR(ISERROR(+X179/($D179+$E179-$G179)*$G179+X179),LEFT(V179,1)="x"),0,+X179/($D179+$E179-$G179)*$G179+X179)</f>
        <v>0</v>
      </c>
      <c r="AY179" s="7">
        <f t="shared" ref="AY179:AY194" si="38">IF(OR(ISERROR(+Y179/($D179+$E179-$G179)*$G179+Y179),LEFT(W179,1)="x"),0,+Y179/($D179+$E179-$G179)*$G179+Y179)</f>
        <v>0</v>
      </c>
      <c r="AZ179" s="7">
        <f t="shared" ref="AZ179:AZ194" si="39">IF(OR(ISERROR(+Z179/($D179+$E179-$G179)*$G179+Z179),LEFT(X179,1)="x"),0,+Z179/($D179+$E179-$G179)*$G179+Z179)</f>
        <v>0</v>
      </c>
      <c r="BA179" s="7">
        <f t="shared" ref="BA179:BA194" si="40">IF(OR(ISERROR(+AA179/($D179+$E179-$G179)*$G179+AA179),LEFT(Y179,1)="x"),0,+AA179/($D179+$E179-$G179)*$G179+AA179)</f>
        <v>0</v>
      </c>
      <c r="BB179" s="7">
        <f t="shared" ref="BB179:BB194" si="41">IF(OR(ISERROR(+AB179/($D179+$E179-$G179)*$G179+AB179),LEFT(Z179,1)="x"),0,+AB179/($D179+$E179-$G179)*$G179+AB179)</f>
        <v>0</v>
      </c>
      <c r="BC179" s="7">
        <f>IF(OR(ISERROR(+#REF!/($D179+$E179-$G179)*$G179+#REF!),LEFT(AA179,1)="x"),0,+#REF!/($D179+$E179-$G179)*$G179+#REF!)</f>
        <v>0</v>
      </c>
      <c r="BD179" s="7">
        <f>IF(OR(ISERROR(+#REF!/($D179+$E179-$G179)*$G179+#REF!),LEFT(AB179,1)="x"),0,+#REF!/($D179+$E179-$G179)*$G179+#REF!)</f>
        <v>0</v>
      </c>
      <c r="BE179" s="7" t="e">
        <f>IF(OR(ISERROR(+AC179/($D179+$E179-$G179)*$G179+AC179),LEFT(#REF!,1)="x"),0,+AC179/($D179+$E179-$G179)*$G179+AC179)</f>
        <v>#REF!</v>
      </c>
    </row>
    <row r="180" spans="1:57" hidden="1">
      <c r="A180" s="555"/>
      <c r="B180" s="604"/>
      <c r="C180" s="607"/>
      <c r="D180" s="609"/>
      <c r="E180" s="608"/>
      <c r="F180" s="601"/>
      <c r="G180" s="609"/>
      <c r="H180" s="585"/>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28"/>
        <v>0</v>
      </c>
      <c r="AE180" s="629">
        <f t="shared" si="29"/>
        <v>0</v>
      </c>
      <c r="AF180" s="634">
        <f t="shared" si="30"/>
        <v>0</v>
      </c>
      <c r="AG180" s="43">
        <f t="shared" si="32"/>
        <v>0</v>
      </c>
      <c r="AH180" s="7">
        <f t="shared" ref="AH180:AV197" si="42">IF(OR(ISERROR(+H180/($D180+$E180-$G180)*$G180+H180),LEFT(F180,1)="x"),0,+H180/($D180+$E180-$G180)*$G180+H180)</f>
        <v>0</v>
      </c>
      <c r="AI180" s="7">
        <f t="shared" si="42"/>
        <v>0</v>
      </c>
      <c r="AJ180" s="7">
        <f t="shared" si="42"/>
        <v>0</v>
      </c>
      <c r="AK180" s="7">
        <f t="shared" si="42"/>
        <v>0</v>
      </c>
      <c r="AL180" s="7">
        <f t="shared" si="42"/>
        <v>0</v>
      </c>
      <c r="AM180" s="7">
        <f t="shared" si="42"/>
        <v>0</v>
      </c>
      <c r="AN180" s="7">
        <f t="shared" si="42"/>
        <v>0</v>
      </c>
      <c r="AO180" s="7">
        <f t="shared" si="42"/>
        <v>0</v>
      </c>
      <c r="AP180" s="7">
        <f t="shared" si="42"/>
        <v>0</v>
      </c>
      <c r="AQ180" s="7">
        <f t="shared" si="42"/>
        <v>0</v>
      </c>
      <c r="AR180" s="7">
        <f t="shared" si="42"/>
        <v>0</v>
      </c>
      <c r="AS180" s="7">
        <f t="shared" si="42"/>
        <v>0</v>
      </c>
      <c r="AT180" s="7">
        <f t="shared" si="42"/>
        <v>0</v>
      </c>
      <c r="AU180" s="7">
        <f t="shared" si="42"/>
        <v>0</v>
      </c>
      <c r="AV180" s="7">
        <f t="shared" si="42"/>
        <v>0</v>
      </c>
      <c r="AW180" s="7">
        <f t="shared" si="36"/>
        <v>0</v>
      </c>
      <c r="AX180" s="7">
        <f t="shared" si="37"/>
        <v>0</v>
      </c>
      <c r="AY180" s="7">
        <f t="shared" si="38"/>
        <v>0</v>
      </c>
      <c r="AZ180" s="7">
        <f t="shared" si="39"/>
        <v>0</v>
      </c>
      <c r="BA180" s="7">
        <f t="shared" si="40"/>
        <v>0</v>
      </c>
      <c r="BB180" s="7">
        <f t="shared" si="41"/>
        <v>0</v>
      </c>
      <c r="BC180" s="7">
        <f>IF(OR(ISERROR(+#REF!/($D180+$E180-$G180)*$G180+#REF!),LEFT(AA180,1)="x"),0,+#REF!/($D180+$E180-$G180)*$G180+#REF!)</f>
        <v>0</v>
      </c>
      <c r="BD180" s="7">
        <f>IF(OR(ISERROR(+#REF!/($D180+$E180-$G180)*$G180+#REF!),LEFT(AB180,1)="x"),0,+#REF!/($D180+$E180-$G180)*$G180+#REF!)</f>
        <v>0</v>
      </c>
      <c r="BE180" s="7" t="e">
        <f>IF(OR(ISERROR(+AC180/($D180+$E180-$G180)*$G180+AC180),LEFT(#REF!,1)="x"),0,+AC180/($D180+$E180-$G180)*$G180+AC180)</f>
        <v>#REF!</v>
      </c>
    </row>
    <row r="181" spans="1:57" hidden="1">
      <c r="A181" s="555"/>
      <c r="B181" s="604"/>
      <c r="C181" s="607"/>
      <c r="D181" s="609"/>
      <c r="E181" s="608"/>
      <c r="F181" s="601"/>
      <c r="G181" s="609"/>
      <c r="H181" s="585"/>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28"/>
        <v>0</v>
      </c>
      <c r="AE181" s="629">
        <f t="shared" si="29"/>
        <v>0</v>
      </c>
      <c r="AF181" s="634">
        <f t="shared" si="30"/>
        <v>0</v>
      </c>
      <c r="AG181" s="43">
        <f t="shared" si="32"/>
        <v>0</v>
      </c>
      <c r="AH181" s="7">
        <f t="shared" si="42"/>
        <v>0</v>
      </c>
      <c r="AI181" s="7">
        <f t="shared" si="42"/>
        <v>0</v>
      </c>
      <c r="AJ181" s="7">
        <f t="shared" si="42"/>
        <v>0</v>
      </c>
      <c r="AK181" s="7">
        <f t="shared" si="42"/>
        <v>0</v>
      </c>
      <c r="AL181" s="7">
        <f t="shared" si="42"/>
        <v>0</v>
      </c>
      <c r="AM181" s="7">
        <f t="shared" si="42"/>
        <v>0</v>
      </c>
      <c r="AN181" s="7">
        <f t="shared" si="42"/>
        <v>0</v>
      </c>
      <c r="AO181" s="7">
        <f t="shared" si="42"/>
        <v>0</v>
      </c>
      <c r="AP181" s="7">
        <f t="shared" si="42"/>
        <v>0</v>
      </c>
      <c r="AQ181" s="7">
        <f t="shared" si="42"/>
        <v>0</v>
      </c>
      <c r="AR181" s="7">
        <f t="shared" si="42"/>
        <v>0</v>
      </c>
      <c r="AS181" s="7">
        <f t="shared" si="42"/>
        <v>0</v>
      </c>
      <c r="AT181" s="7">
        <f t="shared" si="42"/>
        <v>0</v>
      </c>
      <c r="AU181" s="7">
        <f t="shared" si="42"/>
        <v>0</v>
      </c>
      <c r="AV181" s="7">
        <f t="shared" si="42"/>
        <v>0</v>
      </c>
      <c r="AW181" s="7">
        <f t="shared" si="36"/>
        <v>0</v>
      </c>
      <c r="AX181" s="7">
        <f t="shared" si="37"/>
        <v>0</v>
      </c>
      <c r="AY181" s="7">
        <f t="shared" si="38"/>
        <v>0</v>
      </c>
      <c r="AZ181" s="7">
        <f t="shared" si="39"/>
        <v>0</v>
      </c>
      <c r="BA181" s="7">
        <f t="shared" si="40"/>
        <v>0</v>
      </c>
      <c r="BB181" s="7">
        <f t="shared" si="41"/>
        <v>0</v>
      </c>
      <c r="BC181" s="7">
        <f>IF(OR(ISERROR(+#REF!/($D181+$E181-$G181)*$G181+#REF!),LEFT(AA181,1)="x"),0,+#REF!/($D181+$E181-$G181)*$G181+#REF!)</f>
        <v>0</v>
      </c>
      <c r="BD181" s="7">
        <f>IF(OR(ISERROR(+#REF!/($D181+$E181-$G181)*$G181+#REF!),LEFT(AB181,1)="x"),0,+#REF!/($D181+$E181-$G181)*$G181+#REF!)</f>
        <v>0</v>
      </c>
      <c r="BE181" s="7" t="e">
        <f>IF(OR(ISERROR(+AC181/($D181+$E181-$G181)*$G181+AC181),LEFT(#REF!,1)="x"),0,+AC181/($D181+$E181-$G181)*$G181+AC181)</f>
        <v>#REF!</v>
      </c>
    </row>
    <row r="182" spans="1:57" hidden="1">
      <c r="A182" s="555"/>
      <c r="B182" s="604"/>
      <c r="C182" s="607"/>
      <c r="D182" s="609"/>
      <c r="E182" s="608"/>
      <c r="F182" s="601"/>
      <c r="G182" s="609"/>
      <c r="H182" s="585"/>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28"/>
        <v>0</v>
      </c>
      <c r="AE182" s="629">
        <f t="shared" si="29"/>
        <v>0</v>
      </c>
      <c r="AF182" s="634">
        <f t="shared" si="30"/>
        <v>0</v>
      </c>
      <c r="AG182" s="43">
        <f t="shared" si="32"/>
        <v>0</v>
      </c>
      <c r="AH182" s="7">
        <f t="shared" si="42"/>
        <v>0</v>
      </c>
      <c r="AI182" s="7">
        <f t="shared" si="42"/>
        <v>0</v>
      </c>
      <c r="AJ182" s="7">
        <f t="shared" si="42"/>
        <v>0</v>
      </c>
      <c r="AK182" s="7">
        <f t="shared" si="42"/>
        <v>0</v>
      </c>
      <c r="AL182" s="7">
        <f t="shared" si="42"/>
        <v>0</v>
      </c>
      <c r="AM182" s="7">
        <f t="shared" si="42"/>
        <v>0</v>
      </c>
      <c r="AN182" s="7">
        <f t="shared" si="42"/>
        <v>0</v>
      </c>
      <c r="AO182" s="7">
        <f t="shared" si="42"/>
        <v>0</v>
      </c>
      <c r="AP182" s="7">
        <f t="shared" si="42"/>
        <v>0</v>
      </c>
      <c r="AQ182" s="7">
        <f t="shared" si="42"/>
        <v>0</v>
      </c>
      <c r="AR182" s="7">
        <f t="shared" si="42"/>
        <v>0</v>
      </c>
      <c r="AS182" s="7">
        <f t="shared" si="42"/>
        <v>0</v>
      </c>
      <c r="AT182" s="7">
        <f t="shared" si="42"/>
        <v>0</v>
      </c>
      <c r="AU182" s="7">
        <f t="shared" si="42"/>
        <v>0</v>
      </c>
      <c r="AV182" s="7">
        <f t="shared" si="42"/>
        <v>0</v>
      </c>
      <c r="AW182" s="7">
        <f t="shared" si="36"/>
        <v>0</v>
      </c>
      <c r="AX182" s="7">
        <f t="shared" si="37"/>
        <v>0</v>
      </c>
      <c r="AY182" s="7">
        <f t="shared" si="38"/>
        <v>0</v>
      </c>
      <c r="AZ182" s="7">
        <f t="shared" si="39"/>
        <v>0</v>
      </c>
      <c r="BA182" s="7">
        <f t="shared" si="40"/>
        <v>0</v>
      </c>
      <c r="BB182" s="7">
        <f t="shared" si="41"/>
        <v>0</v>
      </c>
      <c r="BC182" s="7">
        <f>IF(OR(ISERROR(+#REF!/($D182+$E182-$G182)*$G182+#REF!),LEFT(AA182,1)="x"),0,+#REF!/($D182+$E182-$G182)*$G182+#REF!)</f>
        <v>0</v>
      </c>
      <c r="BD182" s="7">
        <f>IF(OR(ISERROR(+#REF!/($D182+$E182-$G182)*$G182+#REF!),LEFT(AB182,1)="x"),0,+#REF!/($D182+$E182-$G182)*$G182+#REF!)</f>
        <v>0</v>
      </c>
      <c r="BE182" s="7" t="e">
        <f>IF(OR(ISERROR(+AC182/($D182+$E182-$G182)*$G182+AC182),LEFT(#REF!,1)="x"),0,+AC182/($D182+$E182-$G182)*$G182+AC182)</f>
        <v>#REF!</v>
      </c>
    </row>
    <row r="183" spans="1:57" hidden="1">
      <c r="A183" s="555"/>
      <c r="B183" s="604"/>
      <c r="C183" s="607"/>
      <c r="D183" s="609"/>
      <c r="E183" s="608"/>
      <c r="F183" s="601"/>
      <c r="G183" s="609"/>
      <c r="H183" s="585"/>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28"/>
        <v>0</v>
      </c>
      <c r="AE183" s="629">
        <f t="shared" si="29"/>
        <v>0</v>
      </c>
      <c r="AF183" s="634">
        <f t="shared" si="30"/>
        <v>0</v>
      </c>
      <c r="AG183" s="43">
        <f t="shared" si="32"/>
        <v>0</v>
      </c>
      <c r="AH183" s="7">
        <f t="shared" si="42"/>
        <v>0</v>
      </c>
      <c r="AI183" s="7">
        <f t="shared" si="42"/>
        <v>0</v>
      </c>
      <c r="AJ183" s="7">
        <f t="shared" si="42"/>
        <v>0</v>
      </c>
      <c r="AK183" s="7">
        <f t="shared" si="42"/>
        <v>0</v>
      </c>
      <c r="AL183" s="7">
        <f t="shared" si="42"/>
        <v>0</v>
      </c>
      <c r="AM183" s="7">
        <f t="shared" si="42"/>
        <v>0</v>
      </c>
      <c r="AN183" s="7">
        <f t="shared" si="42"/>
        <v>0</v>
      </c>
      <c r="AO183" s="7">
        <f t="shared" si="42"/>
        <v>0</v>
      </c>
      <c r="AP183" s="7">
        <f t="shared" si="42"/>
        <v>0</v>
      </c>
      <c r="AQ183" s="7">
        <f t="shared" si="42"/>
        <v>0</v>
      </c>
      <c r="AR183" s="7">
        <f t="shared" si="42"/>
        <v>0</v>
      </c>
      <c r="AS183" s="7">
        <f t="shared" si="42"/>
        <v>0</v>
      </c>
      <c r="AT183" s="7">
        <f t="shared" si="42"/>
        <v>0</v>
      </c>
      <c r="AU183" s="7">
        <f t="shared" si="42"/>
        <v>0</v>
      </c>
      <c r="AV183" s="7">
        <f t="shared" si="42"/>
        <v>0</v>
      </c>
      <c r="AW183" s="7">
        <f t="shared" si="36"/>
        <v>0</v>
      </c>
      <c r="AX183" s="7">
        <f t="shared" si="37"/>
        <v>0</v>
      </c>
      <c r="AY183" s="7">
        <f t="shared" si="38"/>
        <v>0</v>
      </c>
      <c r="AZ183" s="7">
        <f t="shared" si="39"/>
        <v>0</v>
      </c>
      <c r="BA183" s="7">
        <f t="shared" si="40"/>
        <v>0</v>
      </c>
      <c r="BB183" s="7">
        <f t="shared" si="41"/>
        <v>0</v>
      </c>
      <c r="BC183" s="7">
        <f>IF(OR(ISERROR(+#REF!/($D183+$E183-$G183)*$G183+#REF!),LEFT(AA183,1)="x"),0,+#REF!/($D183+$E183-$G183)*$G183+#REF!)</f>
        <v>0</v>
      </c>
      <c r="BD183" s="7">
        <f>IF(OR(ISERROR(+#REF!/($D183+$E183-$G183)*$G183+#REF!),LEFT(AB183,1)="x"),0,+#REF!/($D183+$E183-$G183)*$G183+#REF!)</f>
        <v>0</v>
      </c>
      <c r="BE183" s="7" t="e">
        <f>IF(OR(ISERROR(+AC183/($D183+$E183-$G183)*$G183+AC183),LEFT(#REF!,1)="x"),0,+AC183/($D183+$E183-$G183)*$G183+AC183)</f>
        <v>#REF!</v>
      </c>
    </row>
    <row r="184" spans="1:57" hidden="1">
      <c r="A184" s="555"/>
      <c r="B184" s="604"/>
      <c r="C184" s="607"/>
      <c r="D184" s="609"/>
      <c r="E184" s="608"/>
      <c r="F184" s="601"/>
      <c r="G184" s="609"/>
      <c r="H184" s="585"/>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28"/>
        <v>0</v>
      </c>
      <c r="AE184" s="629">
        <f t="shared" si="29"/>
        <v>0</v>
      </c>
      <c r="AF184" s="634">
        <f t="shared" si="30"/>
        <v>0</v>
      </c>
      <c r="AG184" s="43">
        <f t="shared" si="32"/>
        <v>0</v>
      </c>
      <c r="AH184" s="7">
        <f t="shared" si="42"/>
        <v>0</v>
      </c>
      <c r="AI184" s="7">
        <f t="shared" si="42"/>
        <v>0</v>
      </c>
      <c r="AJ184" s="7">
        <f t="shared" si="42"/>
        <v>0</v>
      </c>
      <c r="AK184" s="7">
        <f t="shared" si="42"/>
        <v>0</v>
      </c>
      <c r="AL184" s="7">
        <f t="shared" si="42"/>
        <v>0</v>
      </c>
      <c r="AM184" s="7">
        <f t="shared" si="42"/>
        <v>0</v>
      </c>
      <c r="AN184" s="7">
        <f t="shared" si="42"/>
        <v>0</v>
      </c>
      <c r="AO184" s="7">
        <f t="shared" si="42"/>
        <v>0</v>
      </c>
      <c r="AP184" s="7">
        <f t="shared" si="42"/>
        <v>0</v>
      </c>
      <c r="AQ184" s="7">
        <f t="shared" si="42"/>
        <v>0</v>
      </c>
      <c r="AR184" s="7">
        <f t="shared" si="42"/>
        <v>0</v>
      </c>
      <c r="AS184" s="7">
        <f t="shared" si="42"/>
        <v>0</v>
      </c>
      <c r="AT184" s="7">
        <f t="shared" si="42"/>
        <v>0</v>
      </c>
      <c r="AU184" s="7">
        <f t="shared" si="42"/>
        <v>0</v>
      </c>
      <c r="AV184" s="7">
        <f t="shared" si="42"/>
        <v>0</v>
      </c>
      <c r="AW184" s="7">
        <f t="shared" si="36"/>
        <v>0</v>
      </c>
      <c r="AX184" s="7">
        <f t="shared" si="37"/>
        <v>0</v>
      </c>
      <c r="AY184" s="7">
        <f t="shared" si="38"/>
        <v>0</v>
      </c>
      <c r="AZ184" s="7">
        <f t="shared" si="39"/>
        <v>0</v>
      </c>
      <c r="BA184" s="7">
        <f t="shared" si="40"/>
        <v>0</v>
      </c>
      <c r="BB184" s="7">
        <f t="shared" si="41"/>
        <v>0</v>
      </c>
      <c r="BC184" s="7">
        <f>IF(OR(ISERROR(+#REF!/($D184+$E184-$G184)*$G184+#REF!),LEFT(AA184,1)="x"),0,+#REF!/($D184+$E184-$G184)*$G184+#REF!)</f>
        <v>0</v>
      </c>
      <c r="BD184" s="7">
        <f>IF(OR(ISERROR(+#REF!/($D184+$E184-$G184)*$G184+#REF!),LEFT(AB184,1)="x"),0,+#REF!/($D184+$E184-$G184)*$G184+#REF!)</f>
        <v>0</v>
      </c>
      <c r="BE184" s="7" t="e">
        <f>IF(OR(ISERROR(+AC184/($D184+$E184-$G184)*$G184+AC184),LEFT(#REF!,1)="x"),0,+AC184/($D184+$E184-$G184)*$G184+AC184)</f>
        <v>#REF!</v>
      </c>
    </row>
    <row r="185" spans="1:57" hidden="1">
      <c r="A185" s="555"/>
      <c r="B185" s="604"/>
      <c r="C185" s="607"/>
      <c r="D185" s="609"/>
      <c r="E185" s="608"/>
      <c r="F185" s="601"/>
      <c r="G185" s="609"/>
      <c r="H185" s="585"/>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28"/>
        <v>0</v>
      </c>
      <c r="AE185" s="629">
        <f t="shared" si="29"/>
        <v>0</v>
      </c>
      <c r="AF185" s="634">
        <f t="shared" si="30"/>
        <v>0</v>
      </c>
      <c r="AG185" s="43">
        <f t="shared" si="32"/>
        <v>0</v>
      </c>
      <c r="AH185" s="7">
        <f t="shared" si="42"/>
        <v>0</v>
      </c>
      <c r="AI185" s="7">
        <f t="shared" si="42"/>
        <v>0</v>
      </c>
      <c r="AJ185" s="7">
        <f t="shared" si="42"/>
        <v>0</v>
      </c>
      <c r="AK185" s="7">
        <f t="shared" si="42"/>
        <v>0</v>
      </c>
      <c r="AL185" s="7">
        <f t="shared" si="42"/>
        <v>0</v>
      </c>
      <c r="AM185" s="7">
        <f t="shared" si="42"/>
        <v>0</v>
      </c>
      <c r="AN185" s="7">
        <f t="shared" si="42"/>
        <v>0</v>
      </c>
      <c r="AO185" s="7">
        <f t="shared" si="42"/>
        <v>0</v>
      </c>
      <c r="AP185" s="7">
        <f t="shared" si="42"/>
        <v>0</v>
      </c>
      <c r="AQ185" s="7">
        <f t="shared" si="42"/>
        <v>0</v>
      </c>
      <c r="AR185" s="7">
        <f t="shared" si="42"/>
        <v>0</v>
      </c>
      <c r="AS185" s="7">
        <f t="shared" si="42"/>
        <v>0</v>
      </c>
      <c r="AT185" s="7">
        <f t="shared" si="42"/>
        <v>0</v>
      </c>
      <c r="AU185" s="7">
        <f t="shared" si="42"/>
        <v>0</v>
      </c>
      <c r="AV185" s="7">
        <f t="shared" si="42"/>
        <v>0</v>
      </c>
      <c r="AW185" s="7">
        <f t="shared" si="36"/>
        <v>0</v>
      </c>
      <c r="AX185" s="7">
        <f t="shared" si="37"/>
        <v>0</v>
      </c>
      <c r="AY185" s="7">
        <f t="shared" si="38"/>
        <v>0</v>
      </c>
      <c r="AZ185" s="7">
        <f t="shared" si="39"/>
        <v>0</v>
      </c>
      <c r="BA185" s="7">
        <f t="shared" si="40"/>
        <v>0</v>
      </c>
      <c r="BB185" s="7">
        <f t="shared" si="41"/>
        <v>0</v>
      </c>
      <c r="BC185" s="7">
        <f>IF(OR(ISERROR(+#REF!/($D185+$E185-$G185)*$G185+#REF!),LEFT(AA185,1)="x"),0,+#REF!/($D185+$E185-$G185)*$G185+#REF!)</f>
        <v>0</v>
      </c>
      <c r="BD185" s="7">
        <f>IF(OR(ISERROR(+#REF!/($D185+$E185-$G185)*$G185+#REF!),LEFT(AB185,1)="x"),0,+#REF!/($D185+$E185-$G185)*$G185+#REF!)</f>
        <v>0</v>
      </c>
      <c r="BE185" s="7" t="e">
        <f>IF(OR(ISERROR(+AC185/($D185+$E185-$G185)*$G185+AC185),LEFT(#REF!,1)="x"),0,+AC185/($D185+$E185-$G185)*$G185+AC185)</f>
        <v>#REF!</v>
      </c>
    </row>
    <row r="186" spans="1:57" hidden="1">
      <c r="A186" s="555"/>
      <c r="B186" s="604"/>
      <c r="C186" s="607"/>
      <c r="D186" s="609"/>
      <c r="E186" s="608"/>
      <c r="F186" s="601"/>
      <c r="G186" s="609"/>
      <c r="H186" s="585"/>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28"/>
        <v>0</v>
      </c>
      <c r="AE186" s="629">
        <f t="shared" si="29"/>
        <v>0</v>
      </c>
      <c r="AF186" s="634">
        <f t="shared" si="30"/>
        <v>0</v>
      </c>
      <c r="AG186" s="43">
        <f t="shared" si="32"/>
        <v>0</v>
      </c>
      <c r="AH186" s="7">
        <f t="shared" si="42"/>
        <v>0</v>
      </c>
      <c r="AI186" s="7">
        <f t="shared" si="42"/>
        <v>0</v>
      </c>
      <c r="AJ186" s="7">
        <f t="shared" si="42"/>
        <v>0</v>
      </c>
      <c r="AK186" s="7">
        <f t="shared" si="42"/>
        <v>0</v>
      </c>
      <c r="AL186" s="7">
        <f t="shared" si="42"/>
        <v>0</v>
      </c>
      <c r="AM186" s="7">
        <f t="shared" si="42"/>
        <v>0</v>
      </c>
      <c r="AN186" s="7">
        <f t="shared" si="42"/>
        <v>0</v>
      </c>
      <c r="AO186" s="7">
        <f t="shared" si="42"/>
        <v>0</v>
      </c>
      <c r="AP186" s="7">
        <f t="shared" si="42"/>
        <v>0</v>
      </c>
      <c r="AQ186" s="7">
        <f t="shared" si="42"/>
        <v>0</v>
      </c>
      <c r="AR186" s="7">
        <f t="shared" si="42"/>
        <v>0</v>
      </c>
      <c r="AS186" s="7">
        <f t="shared" si="42"/>
        <v>0</v>
      </c>
      <c r="AT186" s="7">
        <f t="shared" si="42"/>
        <v>0</v>
      </c>
      <c r="AU186" s="7">
        <f t="shared" si="42"/>
        <v>0</v>
      </c>
      <c r="AV186" s="7">
        <f t="shared" si="42"/>
        <v>0</v>
      </c>
      <c r="AW186" s="7">
        <f t="shared" si="36"/>
        <v>0</v>
      </c>
      <c r="AX186" s="7">
        <f t="shared" si="37"/>
        <v>0</v>
      </c>
      <c r="AY186" s="7">
        <f t="shared" si="38"/>
        <v>0</v>
      </c>
      <c r="AZ186" s="7">
        <f t="shared" si="39"/>
        <v>0</v>
      </c>
      <c r="BA186" s="7">
        <f t="shared" si="40"/>
        <v>0</v>
      </c>
      <c r="BB186" s="7">
        <f t="shared" si="41"/>
        <v>0</v>
      </c>
      <c r="BC186" s="7">
        <f>IF(OR(ISERROR(+#REF!/($D186+$E186-$G186)*$G186+#REF!),LEFT(AA186,1)="x"),0,+#REF!/($D186+$E186-$G186)*$G186+#REF!)</f>
        <v>0</v>
      </c>
      <c r="BD186" s="7">
        <f>IF(OR(ISERROR(+#REF!/($D186+$E186-$G186)*$G186+#REF!),LEFT(AB186,1)="x"),0,+#REF!/($D186+$E186-$G186)*$G186+#REF!)</f>
        <v>0</v>
      </c>
      <c r="BE186" s="7" t="e">
        <f>IF(OR(ISERROR(+AC186/($D186+$E186-$G186)*$G186+AC186),LEFT(#REF!,1)="x"),0,+AC186/($D186+$E186-$G186)*$G186+AC186)</f>
        <v>#REF!</v>
      </c>
    </row>
    <row r="187" spans="1:57" hidden="1">
      <c r="A187" s="555"/>
      <c r="B187" s="604"/>
      <c r="C187" s="607"/>
      <c r="D187" s="609"/>
      <c r="E187" s="608"/>
      <c r="F187" s="601"/>
      <c r="G187" s="609"/>
      <c r="H187" s="585"/>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28"/>
        <v>0</v>
      </c>
      <c r="AE187" s="629">
        <f t="shared" si="29"/>
        <v>0</v>
      </c>
      <c r="AF187" s="634">
        <f t="shared" si="30"/>
        <v>0</v>
      </c>
      <c r="AG187" s="43">
        <f t="shared" si="32"/>
        <v>0</v>
      </c>
      <c r="AH187" s="7">
        <f t="shared" si="42"/>
        <v>0</v>
      </c>
      <c r="AI187" s="7">
        <f t="shared" si="42"/>
        <v>0</v>
      </c>
      <c r="AJ187" s="7">
        <f t="shared" si="42"/>
        <v>0</v>
      </c>
      <c r="AK187" s="7">
        <f t="shared" si="42"/>
        <v>0</v>
      </c>
      <c r="AL187" s="7">
        <f t="shared" si="42"/>
        <v>0</v>
      </c>
      <c r="AM187" s="7">
        <f t="shared" si="42"/>
        <v>0</v>
      </c>
      <c r="AN187" s="7">
        <f t="shared" si="42"/>
        <v>0</v>
      </c>
      <c r="AO187" s="7">
        <f t="shared" si="42"/>
        <v>0</v>
      </c>
      <c r="AP187" s="7">
        <f t="shared" si="42"/>
        <v>0</v>
      </c>
      <c r="AQ187" s="7">
        <f t="shared" si="42"/>
        <v>0</v>
      </c>
      <c r="AR187" s="7">
        <f t="shared" si="42"/>
        <v>0</v>
      </c>
      <c r="AS187" s="7">
        <f t="shared" si="42"/>
        <v>0</v>
      </c>
      <c r="AT187" s="7">
        <f t="shared" si="42"/>
        <v>0</v>
      </c>
      <c r="AU187" s="7">
        <f t="shared" si="42"/>
        <v>0</v>
      </c>
      <c r="AV187" s="7">
        <f t="shared" si="42"/>
        <v>0</v>
      </c>
      <c r="AW187" s="7">
        <f t="shared" si="36"/>
        <v>0</v>
      </c>
      <c r="AX187" s="7">
        <f t="shared" si="37"/>
        <v>0</v>
      </c>
      <c r="AY187" s="7">
        <f t="shared" si="38"/>
        <v>0</v>
      </c>
      <c r="AZ187" s="7">
        <f t="shared" si="39"/>
        <v>0</v>
      </c>
      <c r="BA187" s="7">
        <f t="shared" si="40"/>
        <v>0</v>
      </c>
      <c r="BB187" s="7">
        <f t="shared" si="41"/>
        <v>0</v>
      </c>
      <c r="BC187" s="7">
        <f>IF(OR(ISERROR(+#REF!/($D187+$E187-$G187)*$G187+#REF!),LEFT(AA187,1)="x"),0,+#REF!/($D187+$E187-$G187)*$G187+#REF!)</f>
        <v>0</v>
      </c>
      <c r="BD187" s="7">
        <f>IF(OR(ISERROR(+#REF!/($D187+$E187-$G187)*$G187+#REF!),LEFT(AB187,1)="x"),0,+#REF!/($D187+$E187-$G187)*$G187+#REF!)</f>
        <v>0</v>
      </c>
      <c r="BE187" s="7" t="e">
        <f>IF(OR(ISERROR(+AC187/($D187+$E187-$G187)*$G187+AC187),LEFT(#REF!,1)="x"),0,+AC187/($D187+$E187-$G187)*$G187+AC187)</f>
        <v>#REF!</v>
      </c>
    </row>
    <row r="188" spans="1:57" hidden="1">
      <c r="A188" s="555"/>
      <c r="B188" s="604"/>
      <c r="C188" s="607"/>
      <c r="D188" s="609"/>
      <c r="E188" s="608"/>
      <c r="F188" s="601"/>
      <c r="G188" s="609"/>
      <c r="H188" s="585"/>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28"/>
        <v>0</v>
      </c>
      <c r="AE188" s="629">
        <f t="shared" si="29"/>
        <v>0</v>
      </c>
      <c r="AF188" s="634">
        <f t="shared" si="30"/>
        <v>0</v>
      </c>
      <c r="AG188" s="43">
        <f t="shared" si="32"/>
        <v>0</v>
      </c>
      <c r="AH188" s="7">
        <f t="shared" si="42"/>
        <v>0</v>
      </c>
      <c r="AI188" s="7">
        <f t="shared" si="42"/>
        <v>0</v>
      </c>
      <c r="AJ188" s="7">
        <f t="shared" si="42"/>
        <v>0</v>
      </c>
      <c r="AK188" s="7">
        <f t="shared" si="42"/>
        <v>0</v>
      </c>
      <c r="AL188" s="7">
        <f t="shared" si="42"/>
        <v>0</v>
      </c>
      <c r="AM188" s="7">
        <f t="shared" si="42"/>
        <v>0</v>
      </c>
      <c r="AN188" s="7">
        <f t="shared" si="42"/>
        <v>0</v>
      </c>
      <c r="AO188" s="7">
        <f t="shared" si="42"/>
        <v>0</v>
      </c>
      <c r="AP188" s="7">
        <f t="shared" si="42"/>
        <v>0</v>
      </c>
      <c r="AQ188" s="7">
        <f t="shared" si="42"/>
        <v>0</v>
      </c>
      <c r="AR188" s="7">
        <f t="shared" si="42"/>
        <v>0</v>
      </c>
      <c r="AS188" s="7">
        <f t="shared" si="42"/>
        <v>0</v>
      </c>
      <c r="AT188" s="7">
        <f t="shared" si="42"/>
        <v>0</v>
      </c>
      <c r="AU188" s="7">
        <f t="shared" si="42"/>
        <v>0</v>
      </c>
      <c r="AV188" s="7">
        <f t="shared" si="42"/>
        <v>0</v>
      </c>
      <c r="AW188" s="7">
        <f t="shared" si="36"/>
        <v>0</v>
      </c>
      <c r="AX188" s="7">
        <f t="shared" si="37"/>
        <v>0</v>
      </c>
      <c r="AY188" s="7">
        <f t="shared" si="38"/>
        <v>0</v>
      </c>
      <c r="AZ188" s="7">
        <f t="shared" si="39"/>
        <v>0</v>
      </c>
      <c r="BA188" s="7">
        <f t="shared" si="40"/>
        <v>0</v>
      </c>
      <c r="BB188" s="7">
        <f t="shared" si="41"/>
        <v>0</v>
      </c>
      <c r="BC188" s="7">
        <f>IF(OR(ISERROR(+#REF!/($D188+$E188-$G188)*$G188+#REF!),LEFT(AA188,1)="x"),0,+#REF!/($D188+$E188-$G188)*$G188+#REF!)</f>
        <v>0</v>
      </c>
      <c r="BD188" s="7">
        <f>IF(OR(ISERROR(+#REF!/($D188+$E188-$G188)*$G188+#REF!),LEFT(AB188,1)="x"),0,+#REF!/($D188+$E188-$G188)*$G188+#REF!)</f>
        <v>0</v>
      </c>
      <c r="BE188" s="7" t="e">
        <f>IF(OR(ISERROR(+AC188/($D188+$E188-$G188)*$G188+AC188),LEFT(#REF!,1)="x"),0,+AC188/($D188+$E188-$G188)*$G188+AC188)</f>
        <v>#REF!</v>
      </c>
    </row>
    <row r="189" spans="1:57" hidden="1">
      <c r="A189" s="555"/>
      <c r="B189" s="604"/>
      <c r="C189" s="607"/>
      <c r="D189" s="609"/>
      <c r="E189" s="608"/>
      <c r="F189" s="601"/>
      <c r="G189" s="609"/>
      <c r="H189" s="585"/>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28"/>
        <v>0</v>
      </c>
      <c r="AE189" s="629">
        <f t="shared" si="29"/>
        <v>0</v>
      </c>
      <c r="AF189" s="634">
        <f t="shared" si="30"/>
        <v>0</v>
      </c>
      <c r="AG189" s="43">
        <f t="shared" si="32"/>
        <v>0</v>
      </c>
      <c r="AH189" s="7">
        <f t="shared" si="42"/>
        <v>0</v>
      </c>
      <c r="AI189" s="7">
        <f t="shared" si="42"/>
        <v>0</v>
      </c>
      <c r="AJ189" s="7">
        <f t="shared" si="42"/>
        <v>0</v>
      </c>
      <c r="AK189" s="7">
        <f t="shared" si="42"/>
        <v>0</v>
      </c>
      <c r="AL189" s="7">
        <f t="shared" si="42"/>
        <v>0</v>
      </c>
      <c r="AM189" s="7">
        <f t="shared" si="42"/>
        <v>0</v>
      </c>
      <c r="AN189" s="7">
        <f t="shared" si="42"/>
        <v>0</v>
      </c>
      <c r="AO189" s="7">
        <f t="shared" si="42"/>
        <v>0</v>
      </c>
      <c r="AP189" s="7">
        <f t="shared" si="42"/>
        <v>0</v>
      </c>
      <c r="AQ189" s="7">
        <f t="shared" si="42"/>
        <v>0</v>
      </c>
      <c r="AR189" s="7">
        <f t="shared" si="42"/>
        <v>0</v>
      </c>
      <c r="AS189" s="7">
        <f t="shared" si="42"/>
        <v>0</v>
      </c>
      <c r="AT189" s="7">
        <f t="shared" si="42"/>
        <v>0</v>
      </c>
      <c r="AU189" s="7">
        <f t="shared" si="42"/>
        <v>0</v>
      </c>
      <c r="AV189" s="7">
        <f t="shared" si="42"/>
        <v>0</v>
      </c>
      <c r="AW189" s="7">
        <f t="shared" si="36"/>
        <v>0</v>
      </c>
      <c r="AX189" s="7">
        <f t="shared" si="37"/>
        <v>0</v>
      </c>
      <c r="AY189" s="7">
        <f t="shared" si="38"/>
        <v>0</v>
      </c>
      <c r="AZ189" s="7">
        <f t="shared" si="39"/>
        <v>0</v>
      </c>
      <c r="BA189" s="7">
        <f t="shared" si="40"/>
        <v>0</v>
      </c>
      <c r="BB189" s="7">
        <f t="shared" si="41"/>
        <v>0</v>
      </c>
      <c r="BC189" s="7">
        <f>IF(OR(ISERROR(+#REF!/($D189+$E189-$G189)*$G189+#REF!),LEFT(AA189,1)="x"),0,+#REF!/($D189+$E189-$G189)*$G189+#REF!)</f>
        <v>0</v>
      </c>
      <c r="BD189" s="7">
        <f>IF(OR(ISERROR(+#REF!/($D189+$E189-$G189)*$G189+#REF!),LEFT(AB189,1)="x"),0,+#REF!/($D189+$E189-$G189)*$G189+#REF!)</f>
        <v>0</v>
      </c>
      <c r="BE189" s="7" t="e">
        <f>IF(OR(ISERROR(+AC189/($D189+$E189-$G189)*$G189+AC189),LEFT(#REF!,1)="x"),0,+AC189/($D189+$E189-$G189)*$G189+AC189)</f>
        <v>#REF!</v>
      </c>
    </row>
    <row r="190" spans="1:57" hidden="1">
      <c r="A190" s="555"/>
      <c r="B190" s="604"/>
      <c r="C190" s="607"/>
      <c r="D190" s="609"/>
      <c r="E190" s="608"/>
      <c r="F190" s="601"/>
      <c r="G190" s="609"/>
      <c r="H190" s="585"/>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28"/>
        <v>0</v>
      </c>
      <c r="AE190" s="629">
        <f t="shared" si="29"/>
        <v>0</v>
      </c>
      <c r="AF190" s="634">
        <f t="shared" si="30"/>
        <v>0</v>
      </c>
      <c r="AG190" s="43">
        <f t="shared" si="32"/>
        <v>0</v>
      </c>
      <c r="AH190" s="7">
        <f t="shared" si="42"/>
        <v>0</v>
      </c>
      <c r="AI190" s="7">
        <f t="shared" si="42"/>
        <v>0</v>
      </c>
      <c r="AJ190" s="7">
        <f t="shared" si="42"/>
        <v>0</v>
      </c>
      <c r="AK190" s="7">
        <f t="shared" si="42"/>
        <v>0</v>
      </c>
      <c r="AL190" s="7">
        <f t="shared" si="42"/>
        <v>0</v>
      </c>
      <c r="AM190" s="7">
        <f t="shared" si="42"/>
        <v>0</v>
      </c>
      <c r="AN190" s="7">
        <f t="shared" si="42"/>
        <v>0</v>
      </c>
      <c r="AO190" s="7">
        <f t="shared" si="42"/>
        <v>0</v>
      </c>
      <c r="AP190" s="7">
        <f t="shared" si="42"/>
        <v>0</v>
      </c>
      <c r="AQ190" s="7">
        <f t="shared" si="42"/>
        <v>0</v>
      </c>
      <c r="AR190" s="7">
        <f t="shared" si="42"/>
        <v>0</v>
      </c>
      <c r="AS190" s="7">
        <f t="shared" si="42"/>
        <v>0</v>
      </c>
      <c r="AT190" s="7">
        <f t="shared" si="42"/>
        <v>0</v>
      </c>
      <c r="AU190" s="7">
        <f t="shared" si="42"/>
        <v>0</v>
      </c>
      <c r="AV190" s="7">
        <f t="shared" si="42"/>
        <v>0</v>
      </c>
      <c r="AW190" s="7">
        <f t="shared" si="36"/>
        <v>0</v>
      </c>
      <c r="AX190" s="7">
        <f t="shared" si="37"/>
        <v>0</v>
      </c>
      <c r="AY190" s="7">
        <f t="shared" si="38"/>
        <v>0</v>
      </c>
      <c r="AZ190" s="7">
        <f t="shared" si="39"/>
        <v>0</v>
      </c>
      <c r="BA190" s="7">
        <f t="shared" si="40"/>
        <v>0</v>
      </c>
      <c r="BB190" s="7">
        <f t="shared" si="41"/>
        <v>0</v>
      </c>
      <c r="BC190" s="7">
        <f>IF(OR(ISERROR(+#REF!/($D190+$E190-$G190)*$G190+#REF!),LEFT(AA190,1)="x"),0,+#REF!/($D190+$E190-$G190)*$G190+#REF!)</f>
        <v>0</v>
      </c>
      <c r="BD190" s="7">
        <f>IF(OR(ISERROR(+#REF!/($D190+$E190-$G190)*$G190+#REF!),LEFT(AB190,1)="x"),0,+#REF!/($D190+$E190-$G190)*$G190+#REF!)</f>
        <v>0</v>
      </c>
      <c r="BE190" s="7" t="e">
        <f>IF(OR(ISERROR(+AC190/($D190+$E190-$G190)*$G190+AC190),LEFT(#REF!,1)="x"),0,+AC190/($D190+$E190-$G190)*$G190+AC190)</f>
        <v>#REF!</v>
      </c>
    </row>
    <row r="191" spans="1:57" hidden="1">
      <c r="A191" s="555"/>
      <c r="B191" s="604"/>
      <c r="C191" s="607"/>
      <c r="D191" s="609"/>
      <c r="E191" s="608"/>
      <c r="F191" s="601"/>
      <c r="G191" s="609"/>
      <c r="H191" s="585"/>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28"/>
        <v>0</v>
      </c>
      <c r="AE191" s="629">
        <f t="shared" si="29"/>
        <v>0</v>
      </c>
      <c r="AF191" s="634">
        <f t="shared" si="30"/>
        <v>0</v>
      </c>
      <c r="AG191" s="43">
        <f t="shared" si="32"/>
        <v>0</v>
      </c>
      <c r="AH191" s="7">
        <f t="shared" si="42"/>
        <v>0</v>
      </c>
      <c r="AI191" s="7">
        <f t="shared" si="42"/>
        <v>0</v>
      </c>
      <c r="AJ191" s="7">
        <f t="shared" si="42"/>
        <v>0</v>
      </c>
      <c r="AK191" s="7">
        <f t="shared" si="42"/>
        <v>0</v>
      </c>
      <c r="AL191" s="7">
        <f t="shared" si="42"/>
        <v>0</v>
      </c>
      <c r="AM191" s="7">
        <f t="shared" si="42"/>
        <v>0</v>
      </c>
      <c r="AN191" s="7">
        <f t="shared" si="42"/>
        <v>0</v>
      </c>
      <c r="AO191" s="7">
        <f t="shared" si="42"/>
        <v>0</v>
      </c>
      <c r="AP191" s="7">
        <f t="shared" si="42"/>
        <v>0</v>
      </c>
      <c r="AQ191" s="7">
        <f t="shared" si="42"/>
        <v>0</v>
      </c>
      <c r="AR191" s="7">
        <f t="shared" si="42"/>
        <v>0</v>
      </c>
      <c r="AS191" s="7">
        <f t="shared" si="42"/>
        <v>0</v>
      </c>
      <c r="AT191" s="7">
        <f t="shared" si="42"/>
        <v>0</v>
      </c>
      <c r="AU191" s="7">
        <f t="shared" si="42"/>
        <v>0</v>
      </c>
      <c r="AV191" s="7">
        <f t="shared" si="42"/>
        <v>0</v>
      </c>
      <c r="AW191" s="7">
        <f t="shared" si="36"/>
        <v>0</v>
      </c>
      <c r="AX191" s="7">
        <f t="shared" si="37"/>
        <v>0</v>
      </c>
      <c r="AY191" s="7">
        <f t="shared" si="38"/>
        <v>0</v>
      </c>
      <c r="AZ191" s="7">
        <f t="shared" si="39"/>
        <v>0</v>
      </c>
      <c r="BA191" s="7">
        <f t="shared" si="40"/>
        <v>0</v>
      </c>
      <c r="BB191" s="7">
        <f t="shared" si="41"/>
        <v>0</v>
      </c>
      <c r="BC191" s="7">
        <f>IF(OR(ISERROR(+#REF!/($D191+$E191-$G191)*$G191+#REF!),LEFT(AA191,1)="x"),0,+#REF!/($D191+$E191-$G191)*$G191+#REF!)</f>
        <v>0</v>
      </c>
      <c r="BD191" s="7">
        <f>IF(OR(ISERROR(+#REF!/($D191+$E191-$G191)*$G191+#REF!),LEFT(AB191,1)="x"),0,+#REF!/($D191+$E191-$G191)*$G191+#REF!)</f>
        <v>0</v>
      </c>
      <c r="BE191" s="7" t="e">
        <f>IF(OR(ISERROR(+AC191/($D191+$E191-$G191)*$G191+AC191),LEFT(#REF!,1)="x"),0,+AC191/($D191+$E191-$G191)*$G191+AC191)</f>
        <v>#REF!</v>
      </c>
    </row>
    <row r="192" spans="1:57" hidden="1">
      <c r="A192" s="555"/>
      <c r="B192" s="604"/>
      <c r="C192" s="607"/>
      <c r="D192" s="609"/>
      <c r="E192" s="608"/>
      <c r="F192" s="601"/>
      <c r="G192" s="609"/>
      <c r="H192" s="585"/>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28"/>
        <v>0</v>
      </c>
      <c r="AE192" s="629">
        <f t="shared" si="29"/>
        <v>0</v>
      </c>
      <c r="AF192" s="634">
        <f t="shared" si="30"/>
        <v>0</v>
      </c>
      <c r="AG192" s="43">
        <f t="shared" si="32"/>
        <v>0</v>
      </c>
      <c r="AH192" s="7">
        <f t="shared" si="42"/>
        <v>0</v>
      </c>
      <c r="AI192" s="7">
        <f t="shared" si="42"/>
        <v>0</v>
      </c>
      <c r="AJ192" s="7">
        <f t="shared" si="42"/>
        <v>0</v>
      </c>
      <c r="AK192" s="7">
        <f t="shared" si="42"/>
        <v>0</v>
      </c>
      <c r="AL192" s="7">
        <f t="shared" si="42"/>
        <v>0</v>
      </c>
      <c r="AM192" s="7">
        <f t="shared" si="42"/>
        <v>0</v>
      </c>
      <c r="AN192" s="7">
        <f t="shared" si="42"/>
        <v>0</v>
      </c>
      <c r="AO192" s="7">
        <f t="shared" si="42"/>
        <v>0</v>
      </c>
      <c r="AP192" s="7">
        <f t="shared" si="42"/>
        <v>0</v>
      </c>
      <c r="AQ192" s="7">
        <f t="shared" si="42"/>
        <v>0</v>
      </c>
      <c r="AR192" s="7">
        <f t="shared" si="42"/>
        <v>0</v>
      </c>
      <c r="AS192" s="7">
        <f t="shared" si="42"/>
        <v>0</v>
      </c>
      <c r="AT192" s="7">
        <f t="shared" si="42"/>
        <v>0</v>
      </c>
      <c r="AU192" s="7">
        <f t="shared" si="42"/>
        <v>0</v>
      </c>
      <c r="AV192" s="7">
        <f t="shared" si="42"/>
        <v>0</v>
      </c>
      <c r="AW192" s="7">
        <f t="shared" si="36"/>
        <v>0</v>
      </c>
      <c r="AX192" s="7">
        <f t="shared" si="37"/>
        <v>0</v>
      </c>
      <c r="AY192" s="7">
        <f t="shared" si="38"/>
        <v>0</v>
      </c>
      <c r="AZ192" s="7">
        <f t="shared" si="39"/>
        <v>0</v>
      </c>
      <c r="BA192" s="7">
        <f t="shared" si="40"/>
        <v>0</v>
      </c>
      <c r="BB192" s="7">
        <f t="shared" si="41"/>
        <v>0</v>
      </c>
      <c r="BC192" s="7">
        <f>IF(OR(ISERROR(+#REF!/($D192+$E192-$G192)*$G192+#REF!),LEFT(AA192,1)="x"),0,+#REF!/($D192+$E192-$G192)*$G192+#REF!)</f>
        <v>0</v>
      </c>
      <c r="BD192" s="7">
        <f>IF(OR(ISERROR(+#REF!/($D192+$E192-$G192)*$G192+#REF!),LEFT(AB192,1)="x"),0,+#REF!/($D192+$E192-$G192)*$G192+#REF!)</f>
        <v>0</v>
      </c>
      <c r="BE192" s="7" t="e">
        <f>IF(OR(ISERROR(+AC192/($D192+$E192-$G192)*$G192+AC192),LEFT(#REF!,1)="x"),0,+AC192/($D192+$E192-$G192)*$G192+AC192)</f>
        <v>#REF!</v>
      </c>
    </row>
    <row r="193" spans="1:57" hidden="1">
      <c r="A193" s="555"/>
      <c r="B193" s="604"/>
      <c r="C193" s="607"/>
      <c r="D193" s="609"/>
      <c r="E193" s="608"/>
      <c r="F193" s="601"/>
      <c r="G193" s="60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28"/>
        <v>0</v>
      </c>
      <c r="AE193" s="629">
        <f t="shared" si="29"/>
        <v>0</v>
      </c>
      <c r="AF193" s="634">
        <f t="shared" si="30"/>
        <v>0</v>
      </c>
      <c r="AG193" s="43">
        <f t="shared" si="32"/>
        <v>0</v>
      </c>
      <c r="AH193" s="7">
        <f t="shared" si="42"/>
        <v>0</v>
      </c>
      <c r="AI193" s="7">
        <f t="shared" si="42"/>
        <v>0</v>
      </c>
      <c r="AJ193" s="7">
        <f t="shared" si="42"/>
        <v>0</v>
      </c>
      <c r="AK193" s="7">
        <f t="shared" si="42"/>
        <v>0</v>
      </c>
      <c r="AL193" s="7">
        <f t="shared" si="42"/>
        <v>0</v>
      </c>
      <c r="AM193" s="7">
        <f t="shared" si="42"/>
        <v>0</v>
      </c>
      <c r="AN193" s="7">
        <f t="shared" si="42"/>
        <v>0</v>
      </c>
      <c r="AO193" s="7">
        <f t="shared" si="42"/>
        <v>0</v>
      </c>
      <c r="AP193" s="7">
        <f t="shared" si="42"/>
        <v>0</v>
      </c>
      <c r="AQ193" s="7">
        <f t="shared" si="42"/>
        <v>0</v>
      </c>
      <c r="AR193" s="7">
        <f t="shared" si="42"/>
        <v>0</v>
      </c>
      <c r="AS193" s="7">
        <f t="shared" si="42"/>
        <v>0</v>
      </c>
      <c r="AT193" s="7">
        <f t="shared" si="42"/>
        <v>0</v>
      </c>
      <c r="AU193" s="7">
        <f t="shared" si="42"/>
        <v>0</v>
      </c>
      <c r="AV193" s="7">
        <f t="shared" si="42"/>
        <v>0</v>
      </c>
      <c r="AW193" s="7">
        <f t="shared" si="36"/>
        <v>0</v>
      </c>
      <c r="AX193" s="7">
        <f t="shared" si="37"/>
        <v>0</v>
      </c>
      <c r="AY193" s="7">
        <f t="shared" si="38"/>
        <v>0</v>
      </c>
      <c r="AZ193" s="7">
        <f t="shared" si="39"/>
        <v>0</v>
      </c>
      <c r="BA193" s="7">
        <f t="shared" si="40"/>
        <v>0</v>
      </c>
      <c r="BB193" s="7">
        <f t="shared" si="41"/>
        <v>0</v>
      </c>
      <c r="BC193" s="7">
        <f>IF(OR(ISERROR(+#REF!/($D193+$E193-$G193)*$G193+#REF!),LEFT(AA193,1)="x"),0,+#REF!/($D193+$E193-$G193)*$G193+#REF!)</f>
        <v>0</v>
      </c>
      <c r="BD193" s="7">
        <f>IF(OR(ISERROR(+#REF!/($D193+$E193-$G193)*$G193+#REF!),LEFT(AB193,1)="x"),0,+#REF!/($D193+$E193-$G193)*$G193+#REF!)</f>
        <v>0</v>
      </c>
      <c r="BE193" s="7" t="e">
        <f>IF(OR(ISERROR(+AC193/($D193+$E193-$G193)*$G193+AC193),LEFT(#REF!,1)="x"),0,+AC193/($D193+$E193-$G193)*$G193+AC193)</f>
        <v>#REF!</v>
      </c>
    </row>
    <row r="194" spans="1:57" hidden="1">
      <c r="A194" s="555"/>
      <c r="B194" s="604"/>
      <c r="C194" s="607"/>
      <c r="D194" s="609"/>
      <c r="E194" s="608"/>
      <c r="F194" s="601"/>
      <c r="G194" s="60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28"/>
        <v>0</v>
      </c>
      <c r="AE194" s="629">
        <f t="shared" si="29"/>
        <v>0</v>
      </c>
      <c r="AF194" s="634">
        <f t="shared" si="30"/>
        <v>0</v>
      </c>
      <c r="AG194" s="43">
        <f t="shared" si="32"/>
        <v>0</v>
      </c>
      <c r="AH194" s="7">
        <f t="shared" si="42"/>
        <v>0</v>
      </c>
      <c r="AI194" s="7">
        <f t="shared" si="42"/>
        <v>0</v>
      </c>
      <c r="AJ194" s="7">
        <f t="shared" si="42"/>
        <v>0</v>
      </c>
      <c r="AK194" s="7">
        <f t="shared" si="42"/>
        <v>0</v>
      </c>
      <c r="AL194" s="7">
        <f t="shared" si="42"/>
        <v>0</v>
      </c>
      <c r="AM194" s="7">
        <f t="shared" si="42"/>
        <v>0</v>
      </c>
      <c r="AN194" s="7">
        <f t="shared" si="42"/>
        <v>0</v>
      </c>
      <c r="AO194" s="7">
        <f t="shared" si="42"/>
        <v>0</v>
      </c>
      <c r="AP194" s="7">
        <f t="shared" si="42"/>
        <v>0</v>
      </c>
      <c r="AQ194" s="7">
        <f t="shared" si="42"/>
        <v>0</v>
      </c>
      <c r="AR194" s="7">
        <f t="shared" si="42"/>
        <v>0</v>
      </c>
      <c r="AS194" s="7">
        <f t="shared" si="42"/>
        <v>0</v>
      </c>
      <c r="AT194" s="7">
        <f t="shared" si="42"/>
        <v>0</v>
      </c>
      <c r="AU194" s="7">
        <f t="shared" si="42"/>
        <v>0</v>
      </c>
      <c r="AV194" s="7">
        <f t="shared" si="42"/>
        <v>0</v>
      </c>
      <c r="AW194" s="7">
        <f t="shared" si="36"/>
        <v>0</v>
      </c>
      <c r="AX194" s="7">
        <f t="shared" si="37"/>
        <v>0</v>
      </c>
      <c r="AY194" s="7">
        <f t="shared" si="38"/>
        <v>0</v>
      </c>
      <c r="AZ194" s="7">
        <f t="shared" si="39"/>
        <v>0</v>
      </c>
      <c r="BA194" s="7">
        <f t="shared" si="40"/>
        <v>0</v>
      </c>
      <c r="BB194" s="7">
        <f t="shared" si="41"/>
        <v>0</v>
      </c>
      <c r="BC194" s="7">
        <f>IF(OR(ISERROR(+#REF!/($D194+$E194-$G194)*$G194+#REF!),LEFT(AA194,1)="x"),0,+#REF!/($D194+$E194-$G194)*$G194+#REF!)</f>
        <v>0</v>
      </c>
      <c r="BD194" s="7">
        <f>IF(OR(ISERROR(+#REF!/($D194+$E194-$G194)*$G194+#REF!),LEFT(AB194,1)="x"),0,+#REF!/($D194+$E194-$G194)*$G194+#REF!)</f>
        <v>0</v>
      </c>
      <c r="BE194" s="7" t="e">
        <f>IF(OR(ISERROR(+AC194/($D194+$E194-$G194)*$G194+AC194),LEFT(#REF!,1)="x"),0,+AC194/($D194+$E194-$G194)*$G194+AC194)</f>
        <v>#REF!</v>
      </c>
    </row>
    <row r="195" spans="1:57" hidden="1">
      <c r="A195" s="555"/>
      <c r="B195" s="604"/>
      <c r="C195" s="607"/>
      <c r="D195" s="609"/>
      <c r="E195" s="608"/>
      <c r="F195" s="601"/>
      <c r="G195" s="60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28"/>
        <v>0</v>
      </c>
      <c r="AE195" s="629">
        <f t="shared" si="29"/>
        <v>0</v>
      </c>
      <c r="AF195" s="634">
        <f t="shared" si="30"/>
        <v>0</v>
      </c>
      <c r="AG195" s="43"/>
    </row>
    <row r="196" spans="1:57" ht="13.5" hidden="1" thickBot="1">
      <c r="A196" s="556"/>
      <c r="B196" s="606"/>
      <c r="C196" s="611"/>
      <c r="D196" s="610"/>
      <c r="E196" s="612"/>
      <c r="F196" s="618"/>
      <c r="G196" s="610"/>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28"/>
        <v>0</v>
      </c>
      <c r="AE196" s="629">
        <f t="shared" si="29"/>
        <v>0</v>
      </c>
      <c r="AF196" s="634">
        <f t="shared" si="30"/>
        <v>0</v>
      </c>
      <c r="AG196" s="43">
        <f>IF(AF196=0,0,"ERROR HERE")</f>
        <v>0</v>
      </c>
      <c r="AH196" s="7">
        <f t="shared" si="42"/>
        <v>0</v>
      </c>
      <c r="AI196" s="7">
        <f t="shared" si="42"/>
        <v>0</v>
      </c>
      <c r="AJ196" s="7">
        <f t="shared" si="42"/>
        <v>0</v>
      </c>
      <c r="AK196" s="7">
        <f t="shared" si="42"/>
        <v>0</v>
      </c>
      <c r="AL196" s="7">
        <f t="shared" si="42"/>
        <v>0</v>
      </c>
      <c r="AM196" s="7">
        <f t="shared" si="42"/>
        <v>0</v>
      </c>
      <c r="AN196" s="7">
        <f t="shared" si="42"/>
        <v>0</v>
      </c>
      <c r="AO196" s="7">
        <f t="shared" si="42"/>
        <v>0</v>
      </c>
      <c r="AP196" s="7">
        <f t="shared" si="42"/>
        <v>0</v>
      </c>
      <c r="AQ196" s="7">
        <f t="shared" si="42"/>
        <v>0</v>
      </c>
      <c r="AR196" s="7">
        <f t="shared" si="42"/>
        <v>0</v>
      </c>
      <c r="AS196" s="7">
        <f t="shared" si="42"/>
        <v>0</v>
      </c>
      <c r="AT196" s="7">
        <f t="shared" si="42"/>
        <v>0</v>
      </c>
      <c r="AU196" s="7">
        <f t="shared" si="42"/>
        <v>0</v>
      </c>
      <c r="AV196" s="7">
        <f t="shared" si="42"/>
        <v>0</v>
      </c>
      <c r="AW196" s="7">
        <f t="shared" si="36"/>
        <v>0</v>
      </c>
      <c r="AX196" s="7">
        <f t="shared" ref="AX196:BB201" si="43">IF(OR(ISERROR(+X196/($D196+$E196-$G196)*$G196+X196),LEFT(V196,1)="x"),0,+X196/($D196+$E196-$G196)*$G196+X196)</f>
        <v>0</v>
      </c>
      <c r="AY196" s="7">
        <f t="shared" si="43"/>
        <v>0</v>
      </c>
      <c r="AZ196" s="7">
        <f t="shared" si="43"/>
        <v>0</v>
      </c>
      <c r="BA196" s="7">
        <f t="shared" si="43"/>
        <v>0</v>
      </c>
      <c r="BB196" s="7">
        <f t="shared" si="43"/>
        <v>0</v>
      </c>
      <c r="BC196" s="7">
        <f>IF(OR(ISERROR(+#REF!/($D196+$E196-$G196)*$G196+#REF!),LEFT(AA196,1)="x"),0,+#REF!/($D196+$E196-$G196)*$G196+#REF!)</f>
        <v>0</v>
      </c>
      <c r="BD196" s="7">
        <f>IF(OR(ISERROR(+#REF!/($D196+$E196-$G196)*$G196+#REF!),LEFT(AB196,1)="x"),0,+#REF!/($D196+$E196-$G196)*$G196+#REF!)</f>
        <v>0</v>
      </c>
      <c r="BE196" s="7" t="e">
        <f>IF(OR(ISERROR(+AC196/($D196+$E196-$G196)*$G196+AC196),LEFT(#REF!,1)="x"),0,+AC196/($D196+$E196-$G196)*$G196+AC196)</f>
        <v>#REF!</v>
      </c>
    </row>
    <row r="197" spans="1:57" ht="14.25">
      <c r="A197" s="99" t="s">
        <v>20</v>
      </c>
      <c r="B197" s="100"/>
      <c r="C197" s="97" t="s">
        <v>26</v>
      </c>
      <c r="D197" s="92">
        <f>SUM(D80:D196)</f>
        <v>60393.49</v>
      </c>
      <c r="E197" s="92">
        <f>SUM(E80:E196)</f>
        <v>0</v>
      </c>
      <c r="F197" s="208">
        <f>SUM(F80:F196)</f>
        <v>0</v>
      </c>
      <c r="G197" s="92">
        <f>SUM(G80:G196)</f>
        <v>0</v>
      </c>
      <c r="H197" s="92">
        <f t="shared" ref="H197:AC197" si="44">SUM(H80:H196)</f>
        <v>225</v>
      </c>
      <c r="I197" s="92">
        <f t="shared" si="44"/>
        <v>164</v>
      </c>
      <c r="J197" s="92">
        <f t="shared" si="44"/>
        <v>35</v>
      </c>
      <c r="K197" s="92">
        <f t="shared" si="44"/>
        <v>0</v>
      </c>
      <c r="L197" s="92">
        <f t="shared" si="44"/>
        <v>1824</v>
      </c>
      <c r="M197" s="92">
        <f t="shared" si="44"/>
        <v>0</v>
      </c>
      <c r="N197" s="92">
        <f t="shared" si="44"/>
        <v>0</v>
      </c>
      <c r="O197" s="92">
        <f t="shared" si="44"/>
        <v>0</v>
      </c>
      <c r="P197" s="92">
        <f t="shared" si="44"/>
        <v>20</v>
      </c>
      <c r="Q197" s="92">
        <f t="shared" si="44"/>
        <v>0</v>
      </c>
      <c r="R197" s="92">
        <f t="shared" si="44"/>
        <v>65</v>
      </c>
      <c r="S197" s="92">
        <f t="shared" si="44"/>
        <v>55</v>
      </c>
      <c r="T197" s="92">
        <f t="shared" si="44"/>
        <v>85</v>
      </c>
      <c r="U197" s="92">
        <f t="shared" si="44"/>
        <v>138</v>
      </c>
      <c r="V197" s="92">
        <f t="shared" si="44"/>
        <v>5.5</v>
      </c>
      <c r="W197" s="92">
        <f t="shared" si="44"/>
        <v>95</v>
      </c>
      <c r="X197" s="92">
        <f t="shared" si="44"/>
        <v>50555.39</v>
      </c>
      <c r="Y197" s="92">
        <f t="shared" si="44"/>
        <v>6969.6</v>
      </c>
      <c r="Z197" s="92">
        <f t="shared" si="44"/>
        <v>0</v>
      </c>
      <c r="AA197" s="92">
        <f t="shared" si="44"/>
        <v>0</v>
      </c>
      <c r="AB197" s="92">
        <f t="shared" si="44"/>
        <v>157</v>
      </c>
      <c r="AC197" s="208">
        <f t="shared" si="44"/>
        <v>0</v>
      </c>
      <c r="AH197" s="7">
        <f t="shared" si="42"/>
        <v>225</v>
      </c>
      <c r="AI197" s="7">
        <f t="shared" si="42"/>
        <v>164</v>
      </c>
      <c r="AJ197" s="7">
        <f t="shared" si="42"/>
        <v>35</v>
      </c>
      <c r="AK197" s="7">
        <f t="shared" si="42"/>
        <v>0</v>
      </c>
      <c r="AL197" s="7">
        <f t="shared" si="42"/>
        <v>1824</v>
      </c>
      <c r="AM197" s="7">
        <f t="shared" si="42"/>
        <v>0</v>
      </c>
      <c r="AN197" s="7">
        <f t="shared" si="42"/>
        <v>0</v>
      </c>
      <c r="AO197" s="7">
        <f t="shared" si="42"/>
        <v>0</v>
      </c>
      <c r="AP197" s="7">
        <f t="shared" si="42"/>
        <v>20</v>
      </c>
      <c r="AQ197" s="7">
        <f t="shared" si="42"/>
        <v>0</v>
      </c>
      <c r="AR197" s="7">
        <f t="shared" si="42"/>
        <v>65</v>
      </c>
      <c r="AS197" s="7">
        <f t="shared" si="42"/>
        <v>55</v>
      </c>
      <c r="AT197" s="7">
        <f t="shared" si="42"/>
        <v>85</v>
      </c>
      <c r="AU197" s="7">
        <f t="shared" si="42"/>
        <v>138</v>
      </c>
      <c r="AV197" s="7">
        <f t="shared" si="42"/>
        <v>5.5</v>
      </c>
      <c r="AW197" s="7">
        <f t="shared" si="36"/>
        <v>95</v>
      </c>
      <c r="AX197" s="7">
        <f t="shared" si="43"/>
        <v>50555.39</v>
      </c>
      <c r="AY197" s="7">
        <f t="shared" si="43"/>
        <v>6969.6</v>
      </c>
      <c r="AZ197" s="7">
        <f t="shared" si="43"/>
        <v>0</v>
      </c>
      <c r="BA197" s="7">
        <f t="shared" si="43"/>
        <v>0</v>
      </c>
      <c r="BB197" s="7">
        <f t="shared" si="43"/>
        <v>157</v>
      </c>
      <c r="BC197" s="7">
        <f>IF(OR(ISERROR(+#REF!/($D197+$E197-$G197)*$G197+#REF!),LEFT(AA197,1)="x"),0,+#REF!/($D197+$E197-$G197)*$G197+#REF!)</f>
        <v>0</v>
      </c>
      <c r="BD197" s="7">
        <f>IF(OR(ISERROR(+AC197/($D197+$E197-$G197)*$G197+AC197),LEFT(Z197,1)="x"),0,+AC197/($D197+$E197-$G197)*$G197+AC197)</f>
        <v>0</v>
      </c>
    </row>
    <row r="198" spans="1:57" ht="13.5" thickBot="1">
      <c r="A198" s="50"/>
      <c r="B198" s="51"/>
      <c r="C198" s="39" t="s">
        <v>27</v>
      </c>
      <c r="D198" s="643">
        <f>SUM(D79:D196)</f>
        <v>65986.989999999991</v>
      </c>
      <c r="E198" s="643">
        <f>SUM(E79:E196)</f>
        <v>-901</v>
      </c>
      <c r="F198" s="644">
        <f>SUM(F79:F196)</f>
        <v>0</v>
      </c>
      <c r="G198" s="643">
        <f t="shared" ref="G198:T198" si="45">SUM(G79:G196)</f>
        <v>0</v>
      </c>
      <c r="H198" s="643">
        <f t="shared" si="45"/>
        <v>450</v>
      </c>
      <c r="I198" s="643">
        <f t="shared" si="45"/>
        <v>328</v>
      </c>
      <c r="J198" s="643">
        <f t="shared" si="45"/>
        <v>70</v>
      </c>
      <c r="K198" s="643">
        <f t="shared" si="45"/>
        <v>0</v>
      </c>
      <c r="L198" s="643">
        <f t="shared" si="45"/>
        <v>5472</v>
      </c>
      <c r="M198" s="643">
        <f t="shared" si="45"/>
        <v>0</v>
      </c>
      <c r="N198" s="643">
        <f t="shared" si="45"/>
        <v>0</v>
      </c>
      <c r="O198" s="643">
        <f t="shared" si="45"/>
        <v>0</v>
      </c>
      <c r="P198" s="643">
        <f t="shared" si="45"/>
        <v>40</v>
      </c>
      <c r="Q198" s="643">
        <f t="shared" si="45"/>
        <v>0</v>
      </c>
      <c r="R198" s="643">
        <f t="shared" si="45"/>
        <v>130</v>
      </c>
      <c r="S198" s="643">
        <f t="shared" si="45"/>
        <v>110</v>
      </c>
      <c r="T198" s="643">
        <f t="shared" si="45"/>
        <v>170</v>
      </c>
      <c r="U198" s="643">
        <f>SUM(U79:U196)</f>
        <v>276</v>
      </c>
      <c r="V198" s="643">
        <f t="shared" ref="V198:AC198" si="46">SUM(V79:V196)</f>
        <v>11</v>
      </c>
      <c r="W198" s="643">
        <f t="shared" si="46"/>
        <v>190</v>
      </c>
      <c r="X198" s="643">
        <f t="shared" si="46"/>
        <v>50555.39</v>
      </c>
      <c r="Y198" s="643">
        <f t="shared" si="46"/>
        <v>6969.6</v>
      </c>
      <c r="Z198" s="643">
        <f t="shared" si="46"/>
        <v>0</v>
      </c>
      <c r="AA198" s="643">
        <f t="shared" si="46"/>
        <v>0</v>
      </c>
      <c r="AB198" s="643">
        <f t="shared" si="46"/>
        <v>314</v>
      </c>
      <c r="AC198" s="645">
        <f t="shared" si="46"/>
        <v>0</v>
      </c>
      <c r="AG198" s="57"/>
      <c r="AH198" s="7">
        <f t="shared" ref="AH198:AV201" si="47">IF(OR(ISERROR(+H198/($D198+$E198-$G198)*$G198+H198),LEFT(F198,1)="x"),0,+H198/($D198+$E198-$G198)*$G198+H198)</f>
        <v>450</v>
      </c>
      <c r="AI198" s="7">
        <f t="shared" si="47"/>
        <v>328</v>
      </c>
      <c r="AJ198" s="7">
        <f t="shared" si="47"/>
        <v>70</v>
      </c>
      <c r="AK198" s="7">
        <f t="shared" si="47"/>
        <v>0</v>
      </c>
      <c r="AL198" s="7">
        <f t="shared" si="47"/>
        <v>5472</v>
      </c>
      <c r="AM198" s="7">
        <f t="shared" si="47"/>
        <v>0</v>
      </c>
      <c r="AN198" s="7">
        <f t="shared" si="47"/>
        <v>0</v>
      </c>
      <c r="AO198" s="7">
        <f t="shared" si="47"/>
        <v>0</v>
      </c>
      <c r="AP198" s="7">
        <f t="shared" si="47"/>
        <v>40</v>
      </c>
      <c r="AQ198" s="7">
        <f t="shared" si="47"/>
        <v>0</v>
      </c>
      <c r="AR198" s="7">
        <f t="shared" si="47"/>
        <v>130</v>
      </c>
      <c r="AS198" s="7">
        <f t="shared" si="47"/>
        <v>110</v>
      </c>
      <c r="AT198" s="7">
        <f t="shared" si="47"/>
        <v>170</v>
      </c>
      <c r="AU198" s="7">
        <f t="shared" si="47"/>
        <v>276</v>
      </c>
      <c r="AV198" s="7">
        <f t="shared" si="47"/>
        <v>11</v>
      </c>
      <c r="AW198" s="7">
        <f t="shared" si="36"/>
        <v>190</v>
      </c>
      <c r="AX198" s="7">
        <f t="shared" si="43"/>
        <v>50555.39</v>
      </c>
      <c r="AY198" s="7">
        <f t="shared" si="43"/>
        <v>6969.6</v>
      </c>
      <c r="AZ198" s="7">
        <f t="shared" si="43"/>
        <v>0</v>
      </c>
      <c r="BA198" s="7">
        <f t="shared" si="43"/>
        <v>0</v>
      </c>
      <c r="BB198" s="7">
        <f t="shared" si="43"/>
        <v>314</v>
      </c>
      <c r="BC198" s="7">
        <f>IF(OR(ISERROR(+#REF!/($D198+$E198-$G198)*$G198+#REF!),LEFT(AA198,1)="x"),0,+#REF!/($D198+$E198-$G198)*$G198+#REF!)</f>
        <v>0</v>
      </c>
      <c r="BD198" s="7">
        <f>IF(OR(ISERROR(+AC198/($D198+$E198-$G198)*$G198+AC198),LEFT(Z198,1)="x"),0,+AC198/($D198+$E198-$G198)*$G198+AC198)</f>
        <v>0</v>
      </c>
    </row>
    <row r="199" spans="1:5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H199" s="7">
        <f t="shared" si="47"/>
        <v>0</v>
      </c>
      <c r="AI199" s="7">
        <f t="shared" si="47"/>
        <v>0</v>
      </c>
      <c r="AJ199" s="7">
        <f t="shared" si="47"/>
        <v>0</v>
      </c>
      <c r="AK199" s="7">
        <f t="shared" si="47"/>
        <v>0</v>
      </c>
      <c r="AL199" s="7">
        <f t="shared" si="47"/>
        <v>0</v>
      </c>
      <c r="AM199" s="7">
        <f t="shared" si="47"/>
        <v>0</v>
      </c>
      <c r="AN199" s="7">
        <f t="shared" si="47"/>
        <v>0</v>
      </c>
      <c r="AO199" s="7">
        <f t="shared" si="47"/>
        <v>0</v>
      </c>
      <c r="AP199" s="7">
        <f t="shared" si="47"/>
        <v>0</v>
      </c>
      <c r="AQ199" s="7">
        <f t="shared" si="47"/>
        <v>0</v>
      </c>
      <c r="AR199" s="7">
        <f t="shared" si="47"/>
        <v>0</v>
      </c>
      <c r="AS199" s="7">
        <f t="shared" si="47"/>
        <v>0</v>
      </c>
      <c r="AT199" s="7">
        <f t="shared" si="47"/>
        <v>0</v>
      </c>
      <c r="AU199" s="7">
        <f t="shared" si="47"/>
        <v>0</v>
      </c>
      <c r="AV199" s="7">
        <f t="shared" si="47"/>
        <v>0</v>
      </c>
      <c r="AW199" s="7">
        <f t="shared" si="36"/>
        <v>0</v>
      </c>
      <c r="AX199" s="7">
        <f t="shared" si="43"/>
        <v>0</v>
      </c>
      <c r="AY199" s="7">
        <f t="shared" si="43"/>
        <v>0</v>
      </c>
      <c r="AZ199" s="7">
        <f t="shared" si="43"/>
        <v>0</v>
      </c>
      <c r="BA199" s="7">
        <f t="shared" si="43"/>
        <v>0</v>
      </c>
      <c r="BB199" s="7">
        <f t="shared" si="43"/>
        <v>0</v>
      </c>
      <c r="BC199" s="7">
        <f>IF(OR(ISERROR(+#REF!/($D199+$E199-$G199)*$G199+#REF!),LEFT(AA199,1)="x"),0,+#REF!/($D199+$E199-$G199)*$G199+#REF!)</f>
        <v>0</v>
      </c>
      <c r="BD199" s="7">
        <f>IF(OR(ISERROR(+AC199/($D199+$E199-$G199)*$G199+AC199),LEFT(Z199,1)="x"),0,+AC199/($D199+$E199-$G199)*$G199+AC199)</f>
        <v>0</v>
      </c>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H200" s="7">
        <f t="shared" si="47"/>
        <v>0</v>
      </c>
      <c r="AI200" s="7">
        <f t="shared" si="47"/>
        <v>0</v>
      </c>
      <c r="AJ200" s="7">
        <f t="shared" si="47"/>
        <v>0</v>
      </c>
      <c r="AK200" s="7">
        <f t="shared" si="47"/>
        <v>0</v>
      </c>
      <c r="AL200" s="7">
        <f t="shared" si="47"/>
        <v>0</v>
      </c>
      <c r="AM200" s="7">
        <f t="shared" si="47"/>
        <v>0</v>
      </c>
      <c r="AN200" s="7">
        <f t="shared" si="47"/>
        <v>0</v>
      </c>
      <c r="AO200" s="7">
        <f t="shared" si="47"/>
        <v>0</v>
      </c>
      <c r="AP200" s="7">
        <f t="shared" si="47"/>
        <v>0</v>
      </c>
      <c r="AQ200" s="7">
        <f t="shared" si="47"/>
        <v>0</v>
      </c>
      <c r="AR200" s="7">
        <f t="shared" si="47"/>
        <v>0</v>
      </c>
      <c r="AS200" s="7">
        <f t="shared" si="47"/>
        <v>0</v>
      </c>
      <c r="AT200" s="7">
        <f t="shared" si="47"/>
        <v>0</v>
      </c>
      <c r="AU200" s="7">
        <f t="shared" si="47"/>
        <v>0</v>
      </c>
      <c r="AV200" s="7">
        <f t="shared" si="47"/>
        <v>0</v>
      </c>
      <c r="AW200" s="7">
        <f t="shared" si="36"/>
        <v>0</v>
      </c>
      <c r="AX200" s="7">
        <f t="shared" si="43"/>
        <v>0</v>
      </c>
      <c r="AY200" s="7">
        <f t="shared" si="43"/>
        <v>0</v>
      </c>
      <c r="AZ200" s="7">
        <f t="shared" si="43"/>
        <v>0</v>
      </c>
      <c r="BA200" s="7">
        <f t="shared" si="43"/>
        <v>0</v>
      </c>
      <c r="BB200" s="7">
        <f t="shared" si="43"/>
        <v>0</v>
      </c>
      <c r="BC200" s="7">
        <f>IF(OR(ISERROR(+#REF!/($D200+$E200-$G200)*$G200+#REF!),LEFT(AA200,1)="x"),0,+#REF!/($D200+$E200-$G200)*$G200+#REF!)</f>
        <v>0</v>
      </c>
      <c r="BD200" s="7">
        <f>IF(OR(ISERROR(+AC200/($D200+$E200-$G200)*$G200+AC200),LEFT(Z200,1)="x"),0,+AC200/($D200+$E200-$G200)*$G200+AC200)</f>
        <v>0</v>
      </c>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H201" s="7">
        <f t="shared" si="47"/>
        <v>0</v>
      </c>
      <c r="AI201" s="7">
        <f t="shared" si="47"/>
        <v>0</v>
      </c>
      <c r="AJ201" s="7">
        <f t="shared" si="47"/>
        <v>0</v>
      </c>
      <c r="AK201" s="7">
        <f t="shared" si="47"/>
        <v>0</v>
      </c>
      <c r="AL201" s="7">
        <f t="shared" si="47"/>
        <v>0</v>
      </c>
      <c r="AM201" s="7">
        <f t="shared" si="47"/>
        <v>0</v>
      </c>
      <c r="AN201" s="7">
        <f t="shared" si="47"/>
        <v>0</v>
      </c>
      <c r="AO201" s="7">
        <f t="shared" si="47"/>
        <v>0</v>
      </c>
      <c r="AP201" s="7">
        <f t="shared" si="47"/>
        <v>0</v>
      </c>
      <c r="AQ201" s="7">
        <f t="shared" si="47"/>
        <v>0</v>
      </c>
      <c r="AR201" s="7">
        <f t="shared" si="47"/>
        <v>0</v>
      </c>
      <c r="AS201" s="7">
        <f t="shared" si="47"/>
        <v>0</v>
      </c>
      <c r="AT201" s="7">
        <f t="shared" si="47"/>
        <v>0</v>
      </c>
      <c r="AU201" s="7">
        <f t="shared" si="47"/>
        <v>0</v>
      </c>
      <c r="AV201" s="7">
        <f t="shared" si="47"/>
        <v>0</v>
      </c>
      <c r="AW201" s="7">
        <f t="shared" si="36"/>
        <v>0</v>
      </c>
      <c r="AX201" s="7">
        <f t="shared" si="43"/>
        <v>0</v>
      </c>
      <c r="AY201" s="7">
        <f t="shared" si="43"/>
        <v>0</v>
      </c>
      <c r="AZ201" s="7">
        <f t="shared" si="43"/>
        <v>0</v>
      </c>
      <c r="BA201" s="7">
        <f t="shared" si="43"/>
        <v>0</v>
      </c>
      <c r="BB201" s="7">
        <f t="shared" si="43"/>
        <v>0</v>
      </c>
      <c r="BC201" s="7">
        <f>IF(OR(ISERROR(+#REF!/($D201+$E201-$G201)*$G201+#REF!),LEFT(AA201,1)="x"),0,+#REF!/($D201+$E201-$G201)*$G201+#REF!)</f>
        <v>0</v>
      </c>
      <c r="BD201" s="7">
        <f>IF(OR(ISERROR(+AC201/($D201+$E201-$G201)*$G201+AC201),LEFT(Z201,1)="x"),0,+AC201/($D201+$E201-$G201)*$G201+AC201)</f>
        <v>0</v>
      </c>
    </row>
    <row r="202" spans="1:57" ht="15.75">
      <c r="A202" s="52" t="s">
        <v>226</v>
      </c>
      <c r="B202" s="52"/>
      <c r="C202" s="52"/>
      <c r="D202" s="19">
        <f>E202-H202</f>
        <v>0</v>
      </c>
      <c r="E202" s="53">
        <f>D197+E197+F197</f>
        <v>60393.49</v>
      </c>
      <c r="F202" s="53" t="s">
        <v>20</v>
      </c>
      <c r="G202" s="17"/>
      <c r="H202" s="53">
        <f>SUM(G197:AC197)</f>
        <v>60393.49</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
      <c r="A203" s="17"/>
      <c r="B203" s="17"/>
      <c r="C203" s="17"/>
      <c r="D203" s="54">
        <f>IF(D202=0,0,"Error - check totals do not balance, please see column AF - at the right side of the expenditure table for corrections to be made")</f>
        <v>0</v>
      </c>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c r="A209" s="161" t="s">
        <v>166</v>
      </c>
      <c r="B209" s="17"/>
      <c r="C209" s="73"/>
      <c r="D209" s="73"/>
      <c r="E209" s="639">
        <f>'Nov 17'!K10+L54+M54+N54+O54-D198</f>
        <v>56343.710000000006</v>
      </c>
      <c r="F209" s="639">
        <f>'Nov 17'!K11+P54+X198-O54</f>
        <v>87014.64</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c r="A210" s="161"/>
      <c r="B210" s="17"/>
      <c r="C210" s="73"/>
      <c r="D210" s="73"/>
      <c r="E210" s="637"/>
      <c r="F210" s="637"/>
      <c r="G210" s="40"/>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c r="A211" s="161" t="s">
        <v>63</v>
      </c>
      <c r="B211" s="17"/>
      <c r="C211" s="642"/>
      <c r="D211" s="642"/>
      <c r="E211" s="637"/>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c r="B212" s="162" t="s">
        <v>187</v>
      </c>
      <c r="C212" s="642"/>
      <c r="D212" s="642"/>
      <c r="E212" s="637"/>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c r="A213" s="17"/>
      <c r="B213" s="162" t="s">
        <v>164</v>
      </c>
      <c r="C213" s="642"/>
      <c r="D213" s="642"/>
      <c r="E213" s="637" t="s">
        <v>20</v>
      </c>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c r="A215" s="17"/>
      <c r="B215" s="17"/>
      <c r="C215" s="642"/>
      <c r="D215" s="642"/>
      <c r="E215" s="637"/>
      <c r="F215" s="6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13.5" thickBot="1">
      <c r="A216" s="56" t="s">
        <v>165</v>
      </c>
      <c r="B216" s="56"/>
      <c r="C216" s="56"/>
      <c r="D216" s="56"/>
      <c r="E216" s="641">
        <f>E209+SUM(E211:E215)</f>
        <v>56343.710000000006</v>
      </c>
      <c r="F216" s="641">
        <f>F209+SUM(F211:F215)</f>
        <v>87014.64</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13.5" thickTop="1">
      <c r="B217" s="17"/>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c r="A218" s="56"/>
      <c r="B218" s="17"/>
      <c r="C218" s="17"/>
      <c r="D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t="15" hidden="1">
      <c r="A220" s="211"/>
      <c r="B220" s="17"/>
      <c r="D220" s="212"/>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idden="1">
      <c r="B221" s="18"/>
      <c r="C221" s="18"/>
      <c r="D221" s="18"/>
      <c r="E221" s="18"/>
      <c r="F221" s="18"/>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t="15" hidden="1">
      <c r="B222" s="213"/>
      <c r="C222" s="18"/>
      <c r="D222" s="18"/>
      <c r="E222" s="18"/>
      <c r="F222" s="215"/>
      <c r="G222" s="18"/>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5" hidden="1">
      <c r="B246" s="213"/>
      <c r="C246" s="18"/>
      <c r="D246" s="18"/>
      <c r="E246" s="18"/>
      <c r="F246" s="215"/>
      <c r="G246" s="18"/>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5" hidden="1">
      <c r="B247" s="213" t="s">
        <v>196</v>
      </c>
      <c r="C247" s="214"/>
      <c r="D247" s="214">
        <f>$C$58+$C$59-D249</f>
        <v>0</v>
      </c>
      <c r="E247" s="18"/>
      <c r="F247" s="215" t="s">
        <v>197</v>
      </c>
      <c r="G247" s="18"/>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spans="1:29" hidden="1">
      <c r="B248" s="216" t="s">
        <v>64</v>
      </c>
      <c r="C248" s="18">
        <f>($C$58+$C$59-663)/113.8*13.8</f>
        <v>-80.398945518453431</v>
      </c>
      <c r="D248" s="18"/>
      <c r="E248" s="7"/>
      <c r="F248" s="393" t="s">
        <v>397</v>
      </c>
      <c r="G248" s="18"/>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spans="1:29" ht="15" hidden="1">
      <c r="B262" s="216"/>
      <c r="C262" s="214">
        <v>0</v>
      </c>
      <c r="D262" s="214">
        <f>MAX(C261:C262)</f>
        <v>0</v>
      </c>
      <c r="E262" s="220"/>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spans="1:29" ht="15" hidden="1">
      <c r="B263" s="216" t="s">
        <v>203</v>
      </c>
      <c r="C263" s="329">
        <v>0</v>
      </c>
      <c r="D263" s="329">
        <v>0</v>
      </c>
      <c r="E263" s="220"/>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spans="1:29" ht="15" hidden="1">
      <c r="B264" s="330" t="s">
        <v>204</v>
      </c>
      <c r="C264" s="20"/>
      <c r="E264" s="219">
        <f>D263+D262+D260+D258+D256</f>
        <v>0</v>
      </c>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spans="1:29" ht="15.75" hidden="1" thickBot="1">
      <c r="B265" s="330" t="s">
        <v>69</v>
      </c>
      <c r="C265" s="20"/>
      <c r="E265" s="331">
        <f>E254+E264</f>
        <v>0</v>
      </c>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spans="1:29" ht="13.5" hidden="1" thickTop="1">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spans="1:29" hidden="1">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spans="1:29" ht="15" hidden="1">
      <c r="A268" s="211" t="s">
        <v>318</v>
      </c>
      <c r="B268" s="17"/>
      <c r="D268" s="212"/>
      <c r="E268" s="17"/>
      <c r="F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spans="1:29" hidden="1">
      <c r="B269" s="18"/>
      <c r="C269" s="18"/>
      <c r="D269" s="18"/>
      <c r="E269" s="18"/>
      <c r="F269" s="18"/>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spans="1:29" ht="12.6" hidden="1" customHeight="1">
      <c r="B270" s="213" t="s">
        <v>196</v>
      </c>
      <c r="C270" s="214"/>
      <c r="D270" s="214">
        <f>$C$58+$C$59-D272</f>
        <v>0</v>
      </c>
      <c r="E270" s="18"/>
      <c r="F270" s="215" t="s">
        <v>197</v>
      </c>
      <c r="H270" s="18"/>
      <c r="I270" s="18"/>
      <c r="J270" s="18"/>
      <c r="K270" s="18"/>
      <c r="L270" s="18"/>
      <c r="M270" s="18"/>
      <c r="N270" s="17"/>
      <c r="O270" s="17"/>
      <c r="P270" s="17"/>
      <c r="Q270" s="17"/>
      <c r="R270" s="17"/>
      <c r="S270" s="17"/>
      <c r="T270" s="17"/>
      <c r="U270" s="17"/>
      <c r="V270" s="17"/>
      <c r="W270" s="17"/>
      <c r="X270" s="17"/>
      <c r="Y270" s="17"/>
      <c r="Z270" s="17"/>
      <c r="AA270" s="17"/>
      <c r="AB270" s="17"/>
      <c r="AC270" s="17"/>
    </row>
    <row r="271" spans="1:29" ht="14.25" hidden="1" customHeight="1">
      <c r="B271" s="216" t="s">
        <v>64</v>
      </c>
      <c r="C271" s="18">
        <f>($C$58+$C$59-641)/113.8*13.8</f>
        <v>-77.7311072056239</v>
      </c>
      <c r="D271" s="18"/>
      <c r="E271" s="7"/>
      <c r="F271" s="393" t="s">
        <v>324</v>
      </c>
      <c r="H271" s="18"/>
      <c r="I271" s="18"/>
      <c r="J271" s="18"/>
      <c r="K271" s="18"/>
      <c r="L271" s="18"/>
      <c r="M271" s="18"/>
      <c r="N271" s="17"/>
      <c r="O271" s="17"/>
      <c r="P271" s="17"/>
      <c r="Q271" s="17"/>
      <c r="R271" s="17"/>
      <c r="S271" s="17"/>
      <c r="T271" s="17"/>
      <c r="U271" s="17"/>
      <c r="V271" s="17"/>
      <c r="W271" s="17"/>
      <c r="X271" s="17"/>
      <c r="Y271" s="17"/>
      <c r="Z271" s="17"/>
      <c r="AA271" s="17"/>
      <c r="AB271" s="17"/>
      <c r="AC271" s="17"/>
    </row>
    <row r="272" spans="1:29" hidden="1">
      <c r="B272" s="216"/>
      <c r="C272" s="214">
        <v>0</v>
      </c>
      <c r="D272" s="214">
        <f>MAX(C271:C272)</f>
        <v>0</v>
      </c>
      <c r="E272" s="7"/>
      <c r="F272" s="216"/>
      <c r="H272" s="18"/>
      <c r="I272" s="18"/>
      <c r="J272" s="18"/>
      <c r="K272" s="18"/>
      <c r="L272" s="18"/>
      <c r="M272" s="18"/>
      <c r="N272" s="17"/>
      <c r="O272" s="17"/>
      <c r="P272" s="17"/>
      <c r="Q272" s="17"/>
      <c r="R272" s="17"/>
      <c r="S272" s="17"/>
      <c r="T272" s="17"/>
      <c r="U272" s="17"/>
      <c r="V272" s="17"/>
      <c r="W272" s="17"/>
      <c r="X272" s="17"/>
      <c r="Y272" s="17"/>
      <c r="Z272" s="17"/>
      <c r="AA272" s="17"/>
      <c r="AB272" s="17"/>
      <c r="AC272" s="17"/>
    </row>
    <row r="273" spans="2:29" hidden="1">
      <c r="B273" s="216" t="s">
        <v>65</v>
      </c>
      <c r="C273" s="18">
        <f>IF((D248&lt;3454.17), ((D248-645)*0.12),((3539.58-645)*0.12))</f>
        <v>-77.399999999999991</v>
      </c>
      <c r="D273" s="18"/>
      <c r="E273" s="7"/>
      <c r="F273" s="393" t="s">
        <v>323</v>
      </c>
      <c r="H273" s="18"/>
      <c r="I273" s="18"/>
      <c r="J273" s="18"/>
      <c r="K273" s="18"/>
      <c r="L273" s="18"/>
      <c r="M273" s="18"/>
      <c r="N273" s="17"/>
      <c r="O273" s="17"/>
      <c r="P273" s="17"/>
      <c r="Q273" s="17"/>
      <c r="R273" s="17"/>
      <c r="S273" s="17"/>
      <c r="T273" s="17"/>
      <c r="U273" s="17"/>
      <c r="V273" s="17"/>
      <c r="W273" s="17"/>
      <c r="X273" s="17"/>
      <c r="Y273" s="17"/>
      <c r="Z273" s="17"/>
      <c r="AA273" s="17"/>
      <c r="AB273" s="17"/>
      <c r="AC273" s="17"/>
    </row>
    <row r="274" spans="2:29" hidden="1">
      <c r="B274" s="216"/>
      <c r="C274" s="214">
        <v>0</v>
      </c>
      <c r="D274" s="214">
        <f>MAX(C273:C274)</f>
        <v>0</v>
      </c>
      <c r="E274" s="7"/>
      <c r="F274" s="216"/>
      <c r="H274" s="18"/>
      <c r="I274" s="18"/>
      <c r="J274" s="18"/>
      <c r="K274" s="18"/>
      <c r="L274" s="18"/>
      <c r="M274" s="18"/>
      <c r="N274" s="17"/>
      <c r="O274" s="17"/>
      <c r="P274" s="17"/>
      <c r="Q274" s="17"/>
      <c r="R274" s="17"/>
      <c r="S274" s="17"/>
      <c r="T274" s="17"/>
      <c r="U274" s="17"/>
      <c r="V274" s="17"/>
      <c r="W274" s="17"/>
      <c r="X274" s="17"/>
      <c r="Y274" s="17"/>
      <c r="Z274" s="17"/>
      <c r="AA274" s="17"/>
      <c r="AB274" s="17"/>
      <c r="AC274" s="17"/>
    </row>
    <row r="275" spans="2:29" hidden="1">
      <c r="B275" s="216" t="s">
        <v>120</v>
      </c>
      <c r="C275" s="18">
        <f>(D248-3454.17)*0.02</f>
        <v>-69.083399999999997</v>
      </c>
      <c r="D275" s="18"/>
      <c r="E275" s="7"/>
      <c r="F275" s="393" t="s">
        <v>322</v>
      </c>
      <c r="H275" s="18"/>
      <c r="I275" s="18"/>
      <c r="J275" s="18"/>
      <c r="K275" s="18"/>
      <c r="L275" s="18"/>
      <c r="M275" s="18"/>
      <c r="N275" s="17"/>
      <c r="O275" s="17"/>
      <c r="P275" s="17"/>
      <c r="Q275" s="17"/>
      <c r="R275" s="17"/>
      <c r="S275" s="17"/>
      <c r="T275" s="17"/>
      <c r="U275" s="17"/>
      <c r="V275" s="17"/>
      <c r="W275" s="17"/>
      <c r="X275" s="17"/>
      <c r="Y275" s="17"/>
      <c r="Z275" s="17"/>
      <c r="AA275" s="17"/>
      <c r="AB275" s="17"/>
      <c r="AC275" s="17"/>
    </row>
    <row r="276" spans="2:29" hidden="1">
      <c r="B276" s="217"/>
      <c r="C276" s="214">
        <v>0</v>
      </c>
      <c r="D276" s="214">
        <f>MAX(C275:C276)</f>
        <v>0</v>
      </c>
      <c r="E276" s="7"/>
      <c r="F276" s="216"/>
      <c r="H276" s="18"/>
      <c r="I276" s="18"/>
      <c r="J276" s="18"/>
      <c r="K276" s="18"/>
      <c r="L276" s="18"/>
      <c r="M276" s="18"/>
      <c r="N276" s="17"/>
      <c r="O276" s="17"/>
      <c r="P276" s="17"/>
      <c r="Q276" s="17"/>
      <c r="R276" s="17"/>
      <c r="S276" s="17"/>
      <c r="T276" s="17"/>
      <c r="U276" s="17"/>
      <c r="V276" s="17"/>
      <c r="W276" s="17"/>
      <c r="X276" s="17"/>
      <c r="Y276" s="17"/>
      <c r="Z276" s="17"/>
      <c r="AA276" s="17"/>
      <c r="AB276" s="17"/>
      <c r="AC276" s="17"/>
    </row>
    <row r="277" spans="2:29" ht="15" hidden="1">
      <c r="B277" s="218" t="s">
        <v>198</v>
      </c>
      <c r="C277" s="71"/>
      <c r="D277" s="71"/>
      <c r="E277" s="219">
        <f>D276+D274+D272</f>
        <v>0</v>
      </c>
      <c r="F277" s="216"/>
      <c r="H277" s="18"/>
      <c r="I277" s="18"/>
      <c r="J277" s="18"/>
      <c r="K277" s="18"/>
      <c r="L277" s="18"/>
      <c r="M277" s="18"/>
      <c r="N277" s="17"/>
      <c r="O277" s="17"/>
      <c r="P277" s="17"/>
      <c r="Q277" s="17"/>
      <c r="R277" s="17"/>
      <c r="S277" s="17"/>
      <c r="T277" s="17"/>
      <c r="U277" s="17"/>
      <c r="V277" s="17"/>
      <c r="W277" s="17"/>
      <c r="X277" s="17"/>
      <c r="Y277" s="17"/>
      <c r="Z277" s="17"/>
      <c r="AA277" s="17"/>
      <c r="AB277" s="17"/>
      <c r="AC277" s="17"/>
    </row>
    <row r="278" spans="2:29" ht="15" hidden="1">
      <c r="D278" s="18"/>
      <c r="E278" s="220"/>
      <c r="F278" s="327" t="s">
        <v>210</v>
      </c>
      <c r="H278" s="18"/>
      <c r="I278" s="18"/>
      <c r="J278" s="18"/>
      <c r="K278" s="18"/>
      <c r="L278" s="18"/>
      <c r="M278" s="18"/>
      <c r="N278" s="17"/>
      <c r="O278" s="17"/>
      <c r="P278" s="17"/>
      <c r="Q278" s="17"/>
      <c r="R278" s="17"/>
      <c r="S278" s="17"/>
      <c r="T278" s="17"/>
      <c r="U278" s="17"/>
      <c r="V278" s="17"/>
      <c r="W278" s="17"/>
      <c r="X278" s="17"/>
      <c r="Y278" s="17"/>
      <c r="Z278" s="17"/>
      <c r="AA278" s="17"/>
      <c r="AB278" s="17"/>
      <c r="AC278" s="17"/>
    </row>
    <row r="279" spans="2:29" ht="15" hidden="1">
      <c r="B279" s="217" t="s">
        <v>199</v>
      </c>
      <c r="C279" s="328">
        <f>IF((D248&lt;12500),0,((D248-12500)*0.45))</f>
        <v>0</v>
      </c>
      <c r="D279" s="214">
        <f>C279</f>
        <v>0</v>
      </c>
      <c r="E279" s="220"/>
      <c r="F279" s="216"/>
      <c r="H279" s="18"/>
      <c r="I279" s="18"/>
      <c r="J279" s="18"/>
      <c r="K279" s="18"/>
      <c r="L279" s="18"/>
      <c r="M279" s="18"/>
      <c r="N279" s="17"/>
      <c r="O279" s="17"/>
      <c r="P279" s="17"/>
      <c r="Q279" s="17"/>
      <c r="R279" s="17"/>
      <c r="S279" s="17"/>
      <c r="T279" s="17"/>
      <c r="U279" s="17"/>
      <c r="V279" s="17"/>
      <c r="W279" s="17"/>
      <c r="X279" s="17"/>
      <c r="Y279" s="17"/>
      <c r="Z279" s="17"/>
      <c r="AA279" s="17"/>
      <c r="AB279" s="17"/>
      <c r="AC279" s="17"/>
    </row>
    <row r="280" spans="2:29" ht="15" hidden="1">
      <c r="B280" s="217" t="s">
        <v>200</v>
      </c>
      <c r="C280" s="20">
        <f>IF((D248&lt;12500),(((D248-8333.33)*0.4)+(786.67*0.4)),(((12500-8333.33)*0.4)+(786.67*0.4)))</f>
        <v>-3018.6640000000002</v>
      </c>
      <c r="D280" s="18"/>
      <c r="E280" s="220"/>
      <c r="F280" s="327" t="s">
        <v>209</v>
      </c>
      <c r="H280" s="18"/>
      <c r="I280" s="18"/>
      <c r="J280" s="18"/>
      <c r="K280" s="18"/>
      <c r="L280" s="18"/>
      <c r="M280" s="18"/>
      <c r="N280" s="17"/>
      <c r="O280" s="17"/>
      <c r="P280" s="17"/>
      <c r="Q280" s="17"/>
      <c r="R280" s="17"/>
      <c r="S280" s="17"/>
      <c r="T280" s="17"/>
      <c r="U280" s="17"/>
      <c r="V280" s="17"/>
      <c r="W280" s="17"/>
      <c r="X280" s="17"/>
      <c r="Y280" s="17"/>
      <c r="Z280" s="17"/>
      <c r="AA280" s="17"/>
      <c r="AB280" s="17"/>
      <c r="AC280" s="17"/>
    </row>
    <row r="281" spans="2:29" ht="15" hidden="1">
      <c r="B281" s="217"/>
      <c r="C281" s="214">
        <v>0</v>
      </c>
      <c r="D281" s="214">
        <f>MAX(C280:C281)</f>
        <v>0</v>
      </c>
      <c r="E281" s="220"/>
      <c r="F281" s="217"/>
      <c r="H281" s="18"/>
      <c r="I281" s="18"/>
      <c r="J281" s="18"/>
      <c r="K281" s="18"/>
      <c r="L281" s="18"/>
      <c r="M281" s="18"/>
      <c r="N281" s="17"/>
      <c r="O281" s="17"/>
      <c r="P281" s="17"/>
      <c r="Q281" s="17"/>
      <c r="R281" s="17"/>
      <c r="S281" s="17"/>
      <c r="T281" s="17"/>
      <c r="U281" s="17"/>
      <c r="V281" s="17"/>
      <c r="W281" s="17"/>
      <c r="X281" s="17"/>
      <c r="Y281" s="17"/>
      <c r="Z281" s="17"/>
      <c r="AA281" s="17"/>
      <c r="AB281" s="17"/>
      <c r="AC281" s="17"/>
    </row>
    <row r="282" spans="2:29" ht="15" hidden="1">
      <c r="B282" s="216" t="s">
        <v>201</v>
      </c>
      <c r="C282" s="20">
        <f>IF((D248&lt;8333.33),((D248-3454.17)*0.4),((8333.33-3454.17)*0.4))</f>
        <v>-1381.6680000000001</v>
      </c>
      <c r="D282" s="18"/>
      <c r="E282" s="220"/>
      <c r="F282" s="393" t="s">
        <v>321</v>
      </c>
      <c r="H282" s="18"/>
      <c r="I282" s="18"/>
      <c r="J282" s="18"/>
      <c r="K282" s="18"/>
      <c r="L282" s="18"/>
      <c r="M282" s="18"/>
      <c r="N282" s="17"/>
      <c r="O282" s="17"/>
      <c r="P282" s="17"/>
      <c r="Q282" s="17"/>
      <c r="R282" s="17"/>
      <c r="S282" s="17"/>
      <c r="T282" s="17"/>
      <c r="U282" s="17"/>
      <c r="V282" s="17"/>
      <c r="W282" s="17"/>
      <c r="X282" s="17"/>
      <c r="Y282" s="17"/>
      <c r="Z282" s="17"/>
      <c r="AA282" s="17"/>
      <c r="AB282" s="17"/>
      <c r="AC282" s="17"/>
    </row>
    <row r="283" spans="2:29" ht="15" hidden="1">
      <c r="B283" s="216"/>
      <c r="C283" s="214">
        <v>0</v>
      </c>
      <c r="D283" s="214">
        <f>MAX(C282:C283)</f>
        <v>0</v>
      </c>
      <c r="E283" s="220"/>
      <c r="F283" s="393" t="s">
        <v>320</v>
      </c>
      <c r="H283" s="18"/>
      <c r="I283" s="18"/>
      <c r="J283" s="18"/>
      <c r="K283" s="18"/>
      <c r="L283" s="18"/>
      <c r="M283" s="18"/>
      <c r="N283" s="17"/>
      <c r="O283" s="17"/>
      <c r="P283" s="17"/>
      <c r="Q283" s="17"/>
      <c r="R283" s="17"/>
      <c r="S283" s="17"/>
      <c r="T283" s="17"/>
      <c r="U283" s="17"/>
      <c r="V283" s="17"/>
      <c r="W283" s="17"/>
      <c r="X283" s="17"/>
      <c r="Y283" s="17"/>
      <c r="Z283" s="17"/>
      <c r="AA283" s="17"/>
      <c r="AB283" s="17"/>
      <c r="AC283" s="17"/>
    </row>
    <row r="284" spans="2:29" ht="15" hidden="1">
      <c r="B284" s="216" t="s">
        <v>202</v>
      </c>
      <c r="C284" s="20">
        <f>IF((D248&lt;3454.17),((D248-786.67)*0.2),(2667.5*0.2))</f>
        <v>-157.334</v>
      </c>
      <c r="D284" s="18"/>
      <c r="E284" s="221"/>
      <c r="F284" s="393" t="s">
        <v>319</v>
      </c>
      <c r="H284" s="18"/>
      <c r="I284" s="18"/>
      <c r="J284" s="18"/>
      <c r="K284" s="18"/>
      <c r="L284" s="18"/>
      <c r="M284" s="18"/>
      <c r="N284" s="17"/>
      <c r="O284" s="17"/>
      <c r="P284" s="17"/>
      <c r="Q284" s="17"/>
      <c r="R284" s="17"/>
      <c r="S284" s="17"/>
      <c r="T284" s="17"/>
      <c r="U284" s="17"/>
      <c r="V284" s="17"/>
      <c r="W284" s="17"/>
      <c r="X284" s="17"/>
      <c r="Y284" s="17"/>
      <c r="Z284" s="17"/>
      <c r="AA284" s="17"/>
      <c r="AB284" s="17"/>
      <c r="AC284" s="17"/>
    </row>
    <row r="285" spans="2:29" ht="15" hidden="1">
      <c r="B285" s="216"/>
      <c r="C285" s="214">
        <v>0</v>
      </c>
      <c r="D285" s="214">
        <f>MAX(C284:C285)</f>
        <v>0</v>
      </c>
      <c r="E285" s="220"/>
      <c r="H285" s="18"/>
      <c r="I285" s="18"/>
      <c r="J285" s="18"/>
      <c r="K285" s="18"/>
      <c r="L285" s="18"/>
      <c r="M285" s="18"/>
      <c r="N285" s="17"/>
      <c r="O285" s="17"/>
      <c r="P285" s="17"/>
      <c r="Q285" s="17"/>
      <c r="R285" s="17"/>
      <c r="S285" s="17"/>
      <c r="T285" s="17"/>
      <c r="U285" s="17"/>
      <c r="V285" s="17"/>
      <c r="W285" s="17"/>
      <c r="X285" s="17"/>
      <c r="Y285" s="17"/>
      <c r="Z285" s="17"/>
      <c r="AA285" s="17"/>
      <c r="AB285" s="17"/>
      <c r="AC285" s="17"/>
    </row>
    <row r="286" spans="2:29" ht="15" hidden="1">
      <c r="B286" s="216" t="s">
        <v>203</v>
      </c>
      <c r="C286" s="329">
        <v>0</v>
      </c>
      <c r="D286" s="329">
        <v>0</v>
      </c>
      <c r="E286" s="220"/>
    </row>
    <row r="287" spans="2:29" ht="15" hidden="1">
      <c r="B287" s="330" t="s">
        <v>204</v>
      </c>
      <c r="C287" s="20"/>
      <c r="E287" s="219">
        <f>D286+D285+D283+D281+D279</f>
        <v>0</v>
      </c>
    </row>
    <row r="288" spans="2:29"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sheetData>
  <phoneticPr fontId="0" type="noConversion"/>
  <conditionalFormatting sqref="G79 G93:G196">
    <cfRule type="expression" dxfId="381" priority="31" stopIfTrue="1">
      <formula>$E$12&gt;0</formula>
    </cfRule>
  </conditionalFormatting>
  <conditionalFormatting sqref="G79 G93:G196">
    <cfRule type="expression" dxfId="380" priority="32" stopIfTrue="1">
      <formula>$E$12&gt;0</formula>
    </cfRule>
    <cfRule type="expression" priority="33" stopIfTrue="1">
      <formula>$E$12 &gt;0</formula>
    </cfRule>
  </conditionalFormatting>
  <conditionalFormatting sqref="G79 G93:G196">
    <cfRule type="expression" dxfId="379" priority="30" stopIfTrue="1">
      <formula>"e12&gt;0"</formula>
    </cfRule>
  </conditionalFormatting>
  <conditionalFormatting sqref="G91">
    <cfRule type="expression" dxfId="378" priority="28" stopIfTrue="1">
      <formula>$E$12&gt;0</formula>
    </cfRule>
    <cfRule type="expression" priority="29" stopIfTrue="1">
      <formula>$E$12 &gt;0</formula>
    </cfRule>
  </conditionalFormatting>
  <conditionalFormatting sqref="G91">
    <cfRule type="expression" dxfId="377" priority="27" stopIfTrue="1">
      <formula>$E$12&gt;0</formula>
    </cfRule>
  </conditionalFormatting>
  <conditionalFormatting sqref="G91">
    <cfRule type="expression" dxfId="376" priority="26" stopIfTrue="1">
      <formula>"e12&gt;0"</formula>
    </cfRule>
  </conditionalFormatting>
  <conditionalFormatting sqref="G90">
    <cfRule type="expression" dxfId="375" priority="24" stopIfTrue="1">
      <formula>$E$12&gt;0</formula>
    </cfRule>
    <cfRule type="expression" priority="25" stopIfTrue="1">
      <formula>$E$12 &gt;0</formula>
    </cfRule>
  </conditionalFormatting>
  <conditionalFormatting sqref="G90">
    <cfRule type="expression" dxfId="374" priority="23" stopIfTrue="1">
      <formula>$E$12&gt;0</formula>
    </cfRule>
  </conditionalFormatting>
  <conditionalFormatting sqref="G90">
    <cfRule type="expression" dxfId="373" priority="22" stopIfTrue="1">
      <formula>"e12&gt;0"</formula>
    </cfRule>
  </conditionalFormatting>
  <conditionalFormatting sqref="G80:G82 G87:G88">
    <cfRule type="expression" dxfId="372" priority="15">
      <formula>$E$12&gt;0</formula>
    </cfRule>
  </conditionalFormatting>
  <conditionalFormatting sqref="G80:G82 G87:G88">
    <cfRule type="expression" dxfId="371" priority="16">
      <formula>$E$12&gt;0</formula>
    </cfRule>
  </conditionalFormatting>
  <conditionalFormatting sqref="G80:G82 G87:G88">
    <cfRule type="expression" dxfId="370" priority="17">
      <formula>"e12&gt;0"</formula>
    </cfRule>
  </conditionalFormatting>
  <conditionalFormatting sqref="G80:G82 G87:G88">
    <cfRule type="expression" dxfId="369" priority="18">
      <formula>$E$12&gt;0</formula>
    </cfRule>
  </conditionalFormatting>
  <conditionalFormatting sqref="G80:G82 G87:G88">
    <cfRule type="expression" dxfId="368" priority="19">
      <formula>$E$12</formula>
    </cfRule>
  </conditionalFormatting>
  <conditionalFormatting sqref="G80:G82 G87:G88">
    <cfRule type="expression" dxfId="367" priority="20">
      <formula>$E$12</formula>
    </cfRule>
  </conditionalFormatting>
  <conditionalFormatting sqref="G80:G82 G87:G88">
    <cfRule type="expression" dxfId="366" priority="21">
      <formula>"e12&gt;0"</formula>
    </cfRule>
  </conditionalFormatting>
  <conditionalFormatting sqref="G89">
    <cfRule type="expression" dxfId="365" priority="12">
      <formula>$E$12&gt;0</formula>
    </cfRule>
  </conditionalFormatting>
  <conditionalFormatting sqref="G89">
    <cfRule type="expression" dxfId="364" priority="13">
      <formula>$E$12&gt;0</formula>
    </cfRule>
  </conditionalFormatting>
  <conditionalFormatting sqref="G89">
    <cfRule type="expression" dxfId="363" priority="14">
      <formula>"e12&gt;0"</formula>
    </cfRule>
  </conditionalFormatting>
  <conditionalFormatting sqref="G83:G86">
    <cfRule type="expression" dxfId="362" priority="5">
      <formula>$E$12&gt;0</formula>
    </cfRule>
  </conditionalFormatting>
  <conditionalFormatting sqref="G83:G86">
    <cfRule type="expression" dxfId="361" priority="6">
      <formula>$E$12&gt;0</formula>
    </cfRule>
  </conditionalFormatting>
  <conditionalFormatting sqref="G83:G86">
    <cfRule type="expression" dxfId="360" priority="7">
      <formula>"e12&gt;0"</formula>
    </cfRule>
  </conditionalFormatting>
  <conditionalFormatting sqref="G83:G86">
    <cfRule type="expression" dxfId="359" priority="8">
      <formula>$E$12&gt;0</formula>
    </cfRule>
  </conditionalFormatting>
  <conditionalFormatting sqref="G83:G86">
    <cfRule type="expression" dxfId="358" priority="9">
      <formula>$E$12</formula>
    </cfRule>
  </conditionalFormatting>
  <conditionalFormatting sqref="G83:G86">
    <cfRule type="expression" dxfId="357" priority="10">
      <formula>$E$12</formula>
    </cfRule>
  </conditionalFormatting>
  <conditionalFormatting sqref="G83:G86">
    <cfRule type="expression" dxfId="356" priority="11">
      <formula>"e12&gt;0"</formula>
    </cfRule>
  </conditionalFormatting>
  <conditionalFormatting sqref="G92">
    <cfRule type="expression" dxfId="355" priority="2" stopIfTrue="1">
      <formula>$E$12&gt;0</formula>
    </cfRule>
  </conditionalFormatting>
  <conditionalFormatting sqref="G92">
    <cfRule type="expression" dxfId="354" priority="3" stopIfTrue="1">
      <formula>$E$12&gt;0</formula>
    </cfRule>
    <cfRule type="expression" priority="4" stopIfTrue="1">
      <formula>$E$12 &gt;0</formula>
    </cfRule>
  </conditionalFormatting>
  <conditionalFormatting sqref="G92">
    <cfRule type="expression" dxfId="353" priority="1" stopIfTrue="1">
      <formula>"e12&gt;0"</formula>
    </cfRule>
  </conditionalFormatting>
  <pageMargins left="0.74803149606299213" right="0.74803149606299213" top="0.98425196850393704" bottom="0.98425196850393704" header="0.51181102362204722" footer="0.51181102362204722"/>
  <pageSetup paperSize="9" scale="26" fitToHeight="4" orientation="landscape" horizontalDpi="300" verticalDpi="300" r:id="rId1"/>
  <headerFooter alignWithMargins="0">
    <oddFooter>&amp;C&amp;"Bodoni Bd BT,Bold Italic"&amp;9Page &amp;P of &amp;N</oddFooter>
  </headerFooter>
  <ignoredErrors>
    <ignoredError sqref="E216:F216 D41:D52 E41:E52 B41 E9 E11:E1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9232" r:id="rId4" name="Check Box 16">
              <controlPr defaultSize="0" autoFill="0" autoLine="0" autoPict="0">
                <anchor moveWithCells="1">
                  <from>
                    <xdr:col>6</xdr:col>
                    <xdr:colOff>342900</xdr:colOff>
                    <xdr:row>214</xdr:row>
                    <xdr:rowOff>152400</xdr:rowOff>
                  </from>
                  <to>
                    <xdr:col>7</xdr:col>
                    <xdr:colOff>838200</xdr:colOff>
                    <xdr:row>216</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BE294"/>
  <sheetViews>
    <sheetView showZeros="0" topLeftCell="A72" zoomScale="70" zoomScaleNormal="70" workbookViewId="0">
      <pane xSplit="7" topLeftCell="H1" activePane="topRight" state="frozen"/>
      <selection activeCell="L49" sqref="L49"/>
      <selection pane="topRight" activeCell="F94" sqref="F94"/>
    </sheetView>
  </sheetViews>
  <sheetFormatPr defaultColWidth="0" defaultRowHeight="12.75"/>
  <cols>
    <col min="1" max="1" width="10.7109375" style="7" customWidth="1"/>
    <col min="2" max="2" width="25.7109375" style="7" customWidth="1"/>
    <col min="3" max="3" width="17.7109375" style="7" customWidth="1"/>
    <col min="4"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1" width="10.42578125" style="629" hidden="1" customWidth="1"/>
    <col min="32" max="32" width="12.7109375" style="634" customWidth="1"/>
    <col min="33" max="33" width="17.140625" style="7" hidden="1" customWidth="1"/>
    <col min="34" max="16384" width="0" style="7" hidden="1"/>
  </cols>
  <sheetData>
    <row r="1" spans="1:29" ht="13.5" thickBot="1">
      <c r="A1" s="7">
        <v>0</v>
      </c>
    </row>
    <row r="2" spans="1:29" ht="29.45" customHeight="1" thickBot="1">
      <c r="A2" s="81" t="str">
        <f>'Nov 17'!A2</f>
        <v>Design-spectrum Limited</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86" t="s">
        <v>84</v>
      </c>
      <c r="B4" s="87"/>
      <c r="C4" s="85">
        <f>'Dec 17'!C4+31</f>
        <v>43102</v>
      </c>
      <c r="F4" s="21"/>
      <c r="G4" s="21"/>
      <c r="H4" s="21"/>
      <c r="I4" s="21"/>
      <c r="J4" s="21"/>
      <c r="K4" s="21"/>
      <c r="L4" s="21"/>
      <c r="M4" s="21"/>
      <c r="N4" s="21"/>
      <c r="O4" s="21"/>
      <c r="P4" s="21"/>
      <c r="Q4" s="22"/>
      <c r="R4" s="22"/>
      <c r="S4" s="22"/>
      <c r="T4" s="22"/>
      <c r="U4" s="22"/>
      <c r="V4" s="22"/>
      <c r="W4" s="22"/>
      <c r="X4" s="22"/>
      <c r="Y4" s="22"/>
      <c r="Z4" s="22"/>
      <c r="AA4" s="22"/>
      <c r="AB4" s="22"/>
      <c r="AC4" s="22"/>
    </row>
    <row r="6" spans="1:29" ht="13.5" thickBot="1"/>
    <row r="7" spans="1:29" ht="21" thickBot="1">
      <c r="A7" s="101" t="s">
        <v>0</v>
      </c>
      <c r="B7" s="102"/>
      <c r="C7" s="102"/>
      <c r="D7" s="102"/>
      <c r="E7" s="102"/>
      <c r="F7" s="102"/>
      <c r="G7" s="103"/>
      <c r="H7" s="23"/>
      <c r="I7" s="101" t="s">
        <v>211</v>
      </c>
      <c r="J7" s="102"/>
      <c r="K7" s="102"/>
      <c r="L7" s="103"/>
      <c r="M7" s="7"/>
    </row>
    <row r="8" spans="1:29" ht="13.5" thickBot="1">
      <c r="A8" s="24"/>
      <c r="B8" s="24"/>
      <c r="C8" s="24"/>
      <c r="D8" s="5"/>
      <c r="E8" s="5"/>
      <c r="F8" s="5"/>
      <c r="G8" s="5"/>
      <c r="H8" s="5"/>
      <c r="I8" s="5"/>
      <c r="J8" s="5"/>
      <c r="K8" s="5"/>
      <c r="L8" s="5"/>
      <c r="M8" s="5"/>
    </row>
    <row r="9" spans="1:29" ht="15.75" thickBot="1">
      <c r="A9" s="25" t="s">
        <v>2</v>
      </c>
      <c r="B9" s="24"/>
      <c r="C9" s="24"/>
      <c r="D9" s="26"/>
      <c r="E9" s="334" t="str">
        <f>'Dec 17'!E9</f>
        <v>n</v>
      </c>
      <c r="F9" s="241"/>
      <c r="G9" s="5"/>
      <c r="H9" s="5"/>
      <c r="I9" s="5"/>
      <c r="J9" s="5"/>
      <c r="K9" s="5"/>
      <c r="L9" s="5"/>
      <c r="M9" s="5"/>
    </row>
    <row r="10" spans="1:29" ht="15.75" thickBot="1">
      <c r="A10" s="24"/>
      <c r="B10" s="24"/>
      <c r="C10" s="24"/>
      <c r="E10" s="27"/>
      <c r="F10" s="5"/>
      <c r="G10" s="5"/>
      <c r="H10" s="5"/>
      <c r="I10" s="5"/>
      <c r="J10" s="5"/>
      <c r="K10" s="5"/>
      <c r="L10" s="5"/>
      <c r="M10" s="5"/>
    </row>
    <row r="11" spans="1:29" ht="15.75" thickBot="1">
      <c r="A11" s="25" t="s">
        <v>4</v>
      </c>
      <c r="B11" s="24"/>
      <c r="C11" s="24"/>
      <c r="E11" s="334" t="str">
        <f>'Dec 17'!E11</f>
        <v>y</v>
      </c>
      <c r="F11" s="5"/>
      <c r="G11" s="5"/>
      <c r="H11" s="5"/>
      <c r="I11" s="5"/>
      <c r="J11" s="5"/>
      <c r="K11" s="65" t="s">
        <v>20</v>
      </c>
      <c r="L11" s="65"/>
      <c r="M11" s="5"/>
      <c r="N11" s="5"/>
      <c r="O11" s="14" t="s">
        <v>20</v>
      </c>
    </row>
    <row r="12" spans="1:29" ht="15.75" thickBot="1">
      <c r="A12" s="25" t="s">
        <v>306</v>
      </c>
      <c r="B12" s="24"/>
      <c r="C12" s="24"/>
      <c r="E12" s="335">
        <f>'Dec 17'!E12</f>
        <v>0.16500000000000001</v>
      </c>
      <c r="F12" s="5"/>
      <c r="G12" s="5"/>
      <c r="H12" s="5"/>
      <c r="I12" s="5"/>
      <c r="J12" s="5"/>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2"/>
      <c r="C16" s="33" t="s">
        <v>77</v>
      </c>
      <c r="D16" s="346">
        <f>'Dec 17'!D54</f>
        <v>0</v>
      </c>
      <c r="E16" s="346">
        <f>'Dec 17'!E54</f>
        <v>19250</v>
      </c>
      <c r="F16" s="346">
        <f>'Dec 17'!F54</f>
        <v>23100</v>
      </c>
      <c r="G16" s="259">
        <f>'Dec 17'!G54</f>
        <v>3850</v>
      </c>
      <c r="H16" s="34"/>
      <c r="I16" s="153" t="s">
        <v>20</v>
      </c>
      <c r="J16" s="152" t="s">
        <v>77</v>
      </c>
      <c r="K16" s="154"/>
      <c r="L16" s="486">
        <f>'Dec 17'!L54</f>
        <v>42900</v>
      </c>
      <c r="M16" s="263">
        <f>'Dec 17'!M54</f>
        <v>66.53</v>
      </c>
      <c r="N16" s="263">
        <f>'Dec 17'!N54</f>
        <v>0</v>
      </c>
      <c r="O16" s="263">
        <f>'Dec 17'!O54</f>
        <v>50488.86</v>
      </c>
      <c r="P16" s="257">
        <f>'Dec 17'!P54</f>
        <v>-63.579999999999991</v>
      </c>
      <c r="Q16" s="17"/>
    </row>
    <row r="17" spans="1:16">
      <c r="A17" s="555"/>
      <c r="B17" s="548" t="s">
        <v>476</v>
      </c>
      <c r="C17" s="2"/>
      <c r="D17" s="346">
        <f>IF(E$9="y",F17-G17,0)</f>
        <v>0</v>
      </c>
      <c r="E17" s="346">
        <f>IF(E$9="n",F17-G17,0)</f>
        <v>0</v>
      </c>
      <c r="F17" s="558"/>
      <c r="G17" s="551">
        <f>IF(($E$11="n"),0,IF((LEFT(C17,1)="v"),F17,IF((LEFT(C17,1)="z"),0,F17*1/6)))</f>
        <v>0</v>
      </c>
      <c r="H17" s="34"/>
      <c r="I17" s="560"/>
      <c r="J17" s="743" t="s">
        <v>482</v>
      </c>
      <c r="K17" s="567"/>
      <c r="L17" s="585">
        <v>3300</v>
      </c>
      <c r="M17" s="562"/>
      <c r="N17" s="562"/>
      <c r="O17" s="562"/>
      <c r="P17" s="563"/>
    </row>
    <row r="18" spans="1:16">
      <c r="A18" s="555"/>
      <c r="B18" s="1"/>
      <c r="C18" s="2"/>
      <c r="D18" s="346">
        <f t="shared" ref="D18:D52" si="0">IF(E$9="y",F18-G18,0)</f>
        <v>0</v>
      </c>
      <c r="E18" s="346">
        <f t="shared" ref="E18:E52" si="1">IF(E$9="n",F18-G18,0)</f>
        <v>0</v>
      </c>
      <c r="F18" s="558"/>
      <c r="G18" s="551">
        <f t="shared" ref="G18:G52" si="2">IF(($E$11="n"),0,IF((LEFT(C18,1)="v"),F18,IF((LEFT(C18,1)="z"),0,F18*1/6)))</f>
        <v>0</v>
      </c>
      <c r="H18" s="34"/>
      <c r="I18" s="560"/>
      <c r="J18" s="565"/>
      <c r="K18" s="567"/>
      <c r="L18" s="585"/>
      <c r="M18" s="562"/>
      <c r="N18" s="562"/>
      <c r="O18" s="562"/>
      <c r="P18" s="563">
        <v>2.5</v>
      </c>
    </row>
    <row r="19" spans="1:16">
      <c r="A19" s="555"/>
      <c r="B19" s="1"/>
      <c r="C19" s="2"/>
      <c r="D19" s="346">
        <f t="shared" si="0"/>
        <v>0</v>
      </c>
      <c r="E19" s="346">
        <f t="shared" si="1"/>
        <v>0</v>
      </c>
      <c r="F19" s="558"/>
      <c r="G19" s="551">
        <f t="shared" si="2"/>
        <v>0</v>
      </c>
      <c r="H19" s="34"/>
      <c r="I19" s="560"/>
      <c r="J19" s="565"/>
      <c r="K19" s="567"/>
      <c r="L19" s="585"/>
      <c r="M19" s="562"/>
      <c r="N19" s="562"/>
      <c r="O19" s="562"/>
      <c r="P19" s="563"/>
    </row>
    <row r="20" spans="1:16">
      <c r="A20" s="555"/>
      <c r="B20" s="1"/>
      <c r="C20" s="2"/>
      <c r="D20" s="346">
        <f t="shared" si="0"/>
        <v>0</v>
      </c>
      <c r="E20" s="346">
        <f t="shared" si="1"/>
        <v>0</v>
      </c>
      <c r="F20" s="558"/>
      <c r="G20" s="551">
        <f t="shared" si="2"/>
        <v>0</v>
      </c>
      <c r="H20" s="34"/>
      <c r="I20" s="560"/>
      <c r="J20" s="565"/>
      <c r="K20" s="567"/>
      <c r="L20" s="585"/>
      <c r="M20" s="562"/>
      <c r="N20" s="562"/>
      <c r="O20" s="562"/>
      <c r="P20" s="563"/>
    </row>
    <row r="21" spans="1:16">
      <c r="A21" s="555"/>
      <c r="B21" s="1"/>
      <c r="C21" s="2"/>
      <c r="D21" s="346">
        <f t="shared" si="0"/>
        <v>0</v>
      </c>
      <c r="E21" s="346">
        <f t="shared" si="1"/>
        <v>0</v>
      </c>
      <c r="F21" s="558"/>
      <c r="G21" s="551">
        <f t="shared" si="2"/>
        <v>0</v>
      </c>
      <c r="H21" s="34"/>
      <c r="I21" s="560"/>
      <c r="J21" s="565"/>
      <c r="K21" s="567"/>
      <c r="L21" s="585"/>
      <c r="M21" s="562"/>
      <c r="N21" s="562"/>
      <c r="O21" s="562"/>
      <c r="P21" s="563"/>
    </row>
    <row r="22" spans="1:16">
      <c r="A22" s="555"/>
      <c r="B22" s="1"/>
      <c r="C22" s="2"/>
      <c r="D22" s="346">
        <f t="shared" si="0"/>
        <v>0</v>
      </c>
      <c r="E22" s="346">
        <f t="shared" si="1"/>
        <v>0</v>
      </c>
      <c r="F22" s="558"/>
      <c r="G22" s="551">
        <f t="shared" si="2"/>
        <v>0</v>
      </c>
      <c r="H22" s="34"/>
      <c r="I22" s="560"/>
      <c r="J22" s="565"/>
      <c r="K22" s="567"/>
      <c r="L22" s="585"/>
      <c r="M22" s="562"/>
      <c r="N22" s="562"/>
      <c r="O22" s="562"/>
      <c r="P22" s="563"/>
    </row>
    <row r="23" spans="1:16">
      <c r="A23" s="555"/>
      <c r="B23" s="1"/>
      <c r="C23" s="2"/>
      <c r="D23" s="346">
        <f t="shared" si="0"/>
        <v>0</v>
      </c>
      <c r="E23" s="346">
        <f t="shared" si="1"/>
        <v>0</v>
      </c>
      <c r="F23" s="558"/>
      <c r="G23" s="551">
        <f t="shared" si="2"/>
        <v>0</v>
      </c>
      <c r="H23" s="34"/>
      <c r="I23" s="560"/>
      <c r="J23" s="565"/>
      <c r="K23" s="567"/>
      <c r="L23" s="585"/>
      <c r="M23" s="562"/>
      <c r="N23" s="562"/>
      <c r="O23" s="562"/>
      <c r="P23" s="563"/>
    </row>
    <row r="24" spans="1:16">
      <c r="A24" s="555"/>
      <c r="B24" s="1"/>
      <c r="C24" s="2"/>
      <c r="D24" s="346">
        <f t="shared" si="0"/>
        <v>0</v>
      </c>
      <c r="E24" s="346">
        <f t="shared" si="1"/>
        <v>0</v>
      </c>
      <c r="F24" s="558"/>
      <c r="G24" s="551">
        <f t="shared" si="2"/>
        <v>0</v>
      </c>
      <c r="H24" s="34"/>
      <c r="I24" s="560"/>
      <c r="J24" s="565"/>
      <c r="K24" s="567"/>
      <c r="L24" s="585"/>
      <c r="M24" s="562"/>
      <c r="N24" s="562"/>
      <c r="O24" s="562"/>
      <c r="P24" s="563"/>
    </row>
    <row r="25" spans="1:16">
      <c r="A25" s="555"/>
      <c r="B25" s="1"/>
      <c r="C25" s="2"/>
      <c r="D25" s="346">
        <f t="shared" si="0"/>
        <v>0</v>
      </c>
      <c r="E25" s="346">
        <f t="shared" si="1"/>
        <v>0</v>
      </c>
      <c r="F25" s="558"/>
      <c r="G25" s="551">
        <f t="shared" si="2"/>
        <v>0</v>
      </c>
      <c r="H25" s="34"/>
      <c r="I25" s="560"/>
      <c r="J25" s="565"/>
      <c r="K25" s="567"/>
      <c r="L25" s="585"/>
      <c r="M25" s="562"/>
      <c r="N25" s="562"/>
      <c r="O25" s="562"/>
      <c r="P25" s="563"/>
    </row>
    <row r="26" spans="1:16">
      <c r="A26" s="555"/>
      <c r="B26" s="1"/>
      <c r="C26" s="2"/>
      <c r="D26" s="346">
        <f t="shared" si="0"/>
        <v>0</v>
      </c>
      <c r="E26" s="346">
        <f t="shared" si="1"/>
        <v>0</v>
      </c>
      <c r="F26" s="558"/>
      <c r="G26" s="551">
        <f t="shared" si="2"/>
        <v>0</v>
      </c>
      <c r="H26" s="34"/>
      <c r="I26" s="560"/>
      <c r="J26" s="565"/>
      <c r="K26" s="567"/>
      <c r="L26" s="585"/>
      <c r="M26" s="562"/>
      <c r="N26" s="562"/>
      <c r="O26" s="562"/>
      <c r="P26" s="563"/>
    </row>
    <row r="27" spans="1:16">
      <c r="A27" s="555"/>
      <c r="B27" s="1"/>
      <c r="C27" s="2"/>
      <c r="D27" s="346">
        <f t="shared" si="0"/>
        <v>0</v>
      </c>
      <c r="E27" s="346">
        <f t="shared" si="1"/>
        <v>0</v>
      </c>
      <c r="F27" s="558"/>
      <c r="G27" s="551">
        <f t="shared" si="2"/>
        <v>0</v>
      </c>
      <c r="H27" s="34"/>
      <c r="I27" s="560"/>
      <c r="J27" s="565"/>
      <c r="K27" s="567"/>
      <c r="L27" s="585"/>
      <c r="M27" s="562"/>
      <c r="N27" s="562"/>
      <c r="O27" s="562"/>
      <c r="P27" s="563"/>
    </row>
    <row r="28" spans="1:16">
      <c r="A28" s="555"/>
      <c r="B28" s="1"/>
      <c r="C28" s="2"/>
      <c r="D28" s="346">
        <f t="shared" si="0"/>
        <v>0</v>
      </c>
      <c r="E28" s="346">
        <f t="shared" si="1"/>
        <v>0</v>
      </c>
      <c r="F28" s="558"/>
      <c r="G28" s="551">
        <f t="shared" si="2"/>
        <v>0</v>
      </c>
      <c r="H28" s="34"/>
      <c r="I28" s="560"/>
      <c r="J28" s="565"/>
      <c r="K28" s="567"/>
      <c r="L28" s="585"/>
      <c r="M28" s="562"/>
      <c r="N28" s="562"/>
      <c r="O28" s="562"/>
      <c r="P28" s="563"/>
    </row>
    <row r="29" spans="1:16">
      <c r="A29" s="555"/>
      <c r="B29" s="1"/>
      <c r="C29" s="2"/>
      <c r="D29" s="346">
        <f t="shared" si="0"/>
        <v>0</v>
      </c>
      <c r="E29" s="346">
        <f t="shared" si="1"/>
        <v>0</v>
      </c>
      <c r="F29" s="558"/>
      <c r="G29" s="551">
        <f t="shared" si="2"/>
        <v>0</v>
      </c>
      <c r="H29" s="34"/>
      <c r="I29" s="560"/>
      <c r="J29" s="565"/>
      <c r="K29" s="567"/>
      <c r="L29" s="585"/>
      <c r="M29" s="562"/>
      <c r="N29" s="562"/>
      <c r="O29" s="562"/>
      <c r="P29" s="563"/>
    </row>
    <row r="30" spans="1:16">
      <c r="A30" s="555"/>
      <c r="B30" s="1"/>
      <c r="C30" s="2"/>
      <c r="D30" s="346">
        <f t="shared" si="0"/>
        <v>0</v>
      </c>
      <c r="E30" s="346">
        <f t="shared" si="1"/>
        <v>0</v>
      </c>
      <c r="F30" s="558"/>
      <c r="G30" s="551">
        <f t="shared" si="2"/>
        <v>0</v>
      </c>
      <c r="H30" s="34"/>
      <c r="I30" s="560"/>
      <c r="J30" s="565"/>
      <c r="K30" s="567"/>
      <c r="L30" s="585"/>
      <c r="M30" s="562"/>
      <c r="N30" s="562"/>
      <c r="O30" s="562"/>
      <c r="P30" s="563"/>
    </row>
    <row r="31" spans="1:16">
      <c r="A31" s="555"/>
      <c r="B31" s="1"/>
      <c r="C31" s="2"/>
      <c r="D31" s="346">
        <f t="shared" si="0"/>
        <v>0</v>
      </c>
      <c r="E31" s="346">
        <f t="shared" si="1"/>
        <v>0</v>
      </c>
      <c r="F31" s="558"/>
      <c r="G31" s="551">
        <f t="shared" si="2"/>
        <v>0</v>
      </c>
      <c r="H31" s="34"/>
      <c r="I31" s="560"/>
      <c r="J31" s="565"/>
      <c r="K31" s="567"/>
      <c r="L31" s="585"/>
      <c r="M31" s="562"/>
      <c r="N31" s="562"/>
      <c r="O31" s="562"/>
      <c r="P31" s="563"/>
    </row>
    <row r="32" spans="1:16">
      <c r="A32" s="555"/>
      <c r="B32" s="1"/>
      <c r="C32" s="2"/>
      <c r="D32" s="346">
        <f t="shared" si="0"/>
        <v>0</v>
      </c>
      <c r="E32" s="346">
        <f t="shared" si="1"/>
        <v>0</v>
      </c>
      <c r="F32" s="558"/>
      <c r="G32" s="551">
        <f t="shared" si="2"/>
        <v>0</v>
      </c>
      <c r="H32" s="34"/>
      <c r="I32" s="560"/>
      <c r="J32" s="565"/>
      <c r="K32" s="567"/>
      <c r="L32" s="585"/>
      <c r="M32" s="562"/>
      <c r="N32" s="562"/>
      <c r="O32" s="562"/>
      <c r="P32" s="563"/>
    </row>
    <row r="33" spans="1:16">
      <c r="A33" s="555"/>
      <c r="B33" s="1"/>
      <c r="C33" s="2"/>
      <c r="D33" s="346">
        <f t="shared" si="0"/>
        <v>0</v>
      </c>
      <c r="E33" s="346">
        <f t="shared" si="1"/>
        <v>0</v>
      </c>
      <c r="F33" s="558"/>
      <c r="G33" s="551">
        <f t="shared" si="2"/>
        <v>0</v>
      </c>
      <c r="H33" s="34"/>
      <c r="I33" s="560"/>
      <c r="J33" s="565"/>
      <c r="K33" s="567"/>
      <c r="L33" s="585"/>
      <c r="M33" s="562"/>
      <c r="N33" s="562"/>
      <c r="O33" s="562"/>
      <c r="P33" s="563"/>
    </row>
    <row r="34" spans="1:16">
      <c r="A34" s="555"/>
      <c r="B34" s="1"/>
      <c r="C34" s="2"/>
      <c r="D34" s="346">
        <f t="shared" si="0"/>
        <v>0</v>
      </c>
      <c r="E34" s="346">
        <f t="shared" si="1"/>
        <v>0</v>
      </c>
      <c r="F34" s="558"/>
      <c r="G34" s="551">
        <f t="shared" si="2"/>
        <v>0</v>
      </c>
      <c r="H34" s="34"/>
      <c r="I34" s="560"/>
      <c r="J34" s="565"/>
      <c r="K34" s="567"/>
      <c r="L34" s="585"/>
      <c r="M34" s="562"/>
      <c r="N34" s="562"/>
      <c r="O34" s="562"/>
      <c r="P34" s="563"/>
    </row>
    <row r="35" spans="1:16">
      <c r="A35" s="555"/>
      <c r="B35" s="1"/>
      <c r="C35" s="2"/>
      <c r="D35" s="346">
        <f t="shared" si="0"/>
        <v>0</v>
      </c>
      <c r="E35" s="346">
        <f t="shared" si="1"/>
        <v>0</v>
      </c>
      <c r="F35" s="558"/>
      <c r="G35" s="551">
        <f t="shared" si="2"/>
        <v>0</v>
      </c>
      <c r="H35" s="34"/>
      <c r="I35" s="560"/>
      <c r="J35" s="565"/>
      <c r="K35" s="567"/>
      <c r="L35" s="585"/>
      <c r="M35" s="562"/>
      <c r="N35" s="562"/>
      <c r="O35" s="562"/>
      <c r="P35" s="563"/>
    </row>
    <row r="36" spans="1:16">
      <c r="A36" s="555"/>
      <c r="B36" s="1"/>
      <c r="C36" s="2"/>
      <c r="D36" s="346">
        <f t="shared" si="0"/>
        <v>0</v>
      </c>
      <c r="E36" s="346">
        <f t="shared" si="1"/>
        <v>0</v>
      </c>
      <c r="F36" s="558"/>
      <c r="G36" s="551">
        <f t="shared" si="2"/>
        <v>0</v>
      </c>
      <c r="H36" s="34"/>
      <c r="I36" s="560"/>
      <c r="J36" s="565"/>
      <c r="K36" s="567"/>
      <c r="L36" s="585"/>
      <c r="M36" s="562"/>
      <c r="N36" s="562"/>
      <c r="O36" s="562"/>
      <c r="P36" s="563"/>
    </row>
    <row r="37" spans="1:16">
      <c r="A37" s="555"/>
      <c r="B37" s="1"/>
      <c r="C37" s="2"/>
      <c r="D37" s="346">
        <f t="shared" si="0"/>
        <v>0</v>
      </c>
      <c r="E37" s="346">
        <f t="shared" si="1"/>
        <v>0</v>
      </c>
      <c r="F37" s="558"/>
      <c r="G37" s="551">
        <f t="shared" si="2"/>
        <v>0</v>
      </c>
      <c r="H37" s="34"/>
      <c r="I37" s="560"/>
      <c r="J37" s="565"/>
      <c r="K37" s="567"/>
      <c r="L37" s="585"/>
      <c r="M37" s="562"/>
      <c r="N37" s="562"/>
      <c r="O37" s="562"/>
      <c r="P37" s="563"/>
    </row>
    <row r="38" spans="1:16">
      <c r="A38" s="555"/>
      <c r="B38" s="1"/>
      <c r="C38" s="2"/>
      <c r="D38" s="346">
        <f t="shared" si="0"/>
        <v>0</v>
      </c>
      <c r="E38" s="346">
        <f t="shared" si="1"/>
        <v>0</v>
      </c>
      <c r="F38" s="558"/>
      <c r="G38" s="551">
        <f t="shared" si="2"/>
        <v>0</v>
      </c>
      <c r="H38" s="34"/>
      <c r="I38" s="560"/>
      <c r="J38" s="565"/>
      <c r="K38" s="567"/>
      <c r="L38" s="585"/>
      <c r="M38" s="562"/>
      <c r="N38" s="562"/>
      <c r="O38" s="562"/>
      <c r="P38" s="563"/>
    </row>
    <row r="39" spans="1:16" hidden="1">
      <c r="A39" s="555"/>
      <c r="B39" s="1"/>
      <c r="C39" s="2"/>
      <c r="D39" s="346">
        <f t="shared" si="0"/>
        <v>0</v>
      </c>
      <c r="E39" s="346">
        <f t="shared" si="1"/>
        <v>0</v>
      </c>
      <c r="F39" s="558"/>
      <c r="G39" s="551">
        <f t="shared" si="2"/>
        <v>0</v>
      </c>
      <c r="H39" s="34"/>
      <c r="I39" s="560"/>
      <c r="J39" s="565"/>
      <c r="K39" s="567"/>
      <c r="L39" s="585"/>
      <c r="M39" s="562"/>
      <c r="N39" s="562"/>
      <c r="O39" s="562"/>
      <c r="P39" s="563"/>
    </row>
    <row r="40" spans="1:16" hidden="1">
      <c r="A40" s="555"/>
      <c r="B40" s="1"/>
      <c r="C40" s="2"/>
      <c r="D40" s="346">
        <f t="shared" si="0"/>
        <v>0</v>
      </c>
      <c r="E40" s="346">
        <f t="shared" si="1"/>
        <v>0</v>
      </c>
      <c r="F40" s="558"/>
      <c r="G40" s="551">
        <f t="shared" si="2"/>
        <v>0</v>
      </c>
      <c r="H40" s="34"/>
      <c r="I40" s="560"/>
      <c r="J40" s="565"/>
      <c r="K40" s="567"/>
      <c r="L40" s="585"/>
      <c r="M40" s="562"/>
      <c r="N40" s="562"/>
      <c r="O40" s="562"/>
      <c r="P40" s="563"/>
    </row>
    <row r="41" spans="1:16" hidden="1">
      <c r="A41" s="555"/>
      <c r="B41" s="549">
        <f>IF(E9="Both","Enter manual values here",0)</f>
        <v>0</v>
      </c>
      <c r="C41" s="2"/>
      <c r="D41" s="552">
        <f t="shared" si="0"/>
        <v>0</v>
      </c>
      <c r="E41" s="552">
        <f t="shared" si="1"/>
        <v>0</v>
      </c>
      <c r="F41" s="558"/>
      <c r="G41" s="551">
        <f t="shared" si="2"/>
        <v>0</v>
      </c>
      <c r="H41" s="34"/>
      <c r="I41" s="560"/>
      <c r="J41" s="565"/>
      <c r="K41" s="567"/>
      <c r="L41" s="585"/>
      <c r="M41" s="562"/>
      <c r="N41" s="562"/>
      <c r="O41" s="562"/>
      <c r="P41" s="563"/>
    </row>
    <row r="42" spans="1:16" hidden="1">
      <c r="A42" s="555"/>
      <c r="B42" s="1"/>
      <c r="C42" s="2"/>
      <c r="D42" s="552">
        <f t="shared" si="0"/>
        <v>0</v>
      </c>
      <c r="E42" s="552">
        <f t="shared" si="1"/>
        <v>0</v>
      </c>
      <c r="F42" s="558"/>
      <c r="G42" s="551">
        <f t="shared" si="2"/>
        <v>0</v>
      </c>
      <c r="H42" s="34"/>
      <c r="I42" s="560"/>
      <c r="J42" s="565"/>
      <c r="K42" s="567"/>
      <c r="L42" s="585"/>
      <c r="M42" s="562"/>
      <c r="N42" s="562"/>
      <c r="O42" s="562"/>
      <c r="P42" s="563"/>
    </row>
    <row r="43" spans="1:16" hidden="1">
      <c r="A43" s="555"/>
      <c r="B43" s="1"/>
      <c r="C43" s="2"/>
      <c r="D43" s="552">
        <f t="shared" si="0"/>
        <v>0</v>
      </c>
      <c r="E43" s="552">
        <f t="shared" si="1"/>
        <v>0</v>
      </c>
      <c r="F43" s="558"/>
      <c r="G43" s="551">
        <f t="shared" si="2"/>
        <v>0</v>
      </c>
      <c r="H43" s="34"/>
      <c r="I43" s="560"/>
      <c r="J43" s="565"/>
      <c r="K43" s="567"/>
      <c r="L43" s="585"/>
      <c r="M43" s="562"/>
      <c r="N43" s="562"/>
      <c r="O43" s="562"/>
      <c r="P43" s="563"/>
    </row>
    <row r="44" spans="1:16" hidden="1">
      <c r="A44" s="555"/>
      <c r="B44" s="1"/>
      <c r="C44" s="2"/>
      <c r="D44" s="552">
        <f t="shared" si="0"/>
        <v>0</v>
      </c>
      <c r="E44" s="552">
        <f t="shared" si="1"/>
        <v>0</v>
      </c>
      <c r="F44" s="558"/>
      <c r="G44" s="551">
        <f t="shared" si="2"/>
        <v>0</v>
      </c>
      <c r="H44" s="34"/>
      <c r="I44" s="560"/>
      <c r="J44" s="565"/>
      <c r="K44" s="567"/>
      <c r="L44" s="585"/>
      <c r="M44" s="562"/>
      <c r="N44" s="562"/>
      <c r="O44" s="562"/>
      <c r="P44" s="563"/>
    </row>
    <row r="45" spans="1:16" hidden="1">
      <c r="A45" s="555"/>
      <c r="B45" s="1"/>
      <c r="C45" s="2"/>
      <c r="D45" s="552">
        <f t="shared" si="0"/>
        <v>0</v>
      </c>
      <c r="E45" s="552">
        <f t="shared" si="1"/>
        <v>0</v>
      </c>
      <c r="F45" s="558"/>
      <c r="G45" s="551">
        <f t="shared" si="2"/>
        <v>0</v>
      </c>
      <c r="H45" s="34"/>
      <c r="I45" s="560"/>
      <c r="J45" s="565"/>
      <c r="K45" s="567"/>
      <c r="L45" s="585"/>
      <c r="M45" s="562"/>
      <c r="N45" s="562"/>
      <c r="O45" s="562"/>
      <c r="P45" s="563"/>
    </row>
    <row r="46" spans="1:16" hidden="1">
      <c r="A46" s="555"/>
      <c r="B46" s="1"/>
      <c r="C46" s="2"/>
      <c r="D46" s="552">
        <f t="shared" si="0"/>
        <v>0</v>
      </c>
      <c r="E46" s="552">
        <f t="shared" si="1"/>
        <v>0</v>
      </c>
      <c r="F46" s="558"/>
      <c r="G46" s="551">
        <f t="shared" si="2"/>
        <v>0</v>
      </c>
      <c r="H46" s="34"/>
      <c r="I46" s="560"/>
      <c r="J46" s="565"/>
      <c r="K46" s="567"/>
      <c r="L46" s="585"/>
      <c r="M46" s="562"/>
      <c r="N46" s="562"/>
      <c r="O46" s="562"/>
      <c r="P46" s="563"/>
    </row>
    <row r="47" spans="1:16" hidden="1">
      <c r="A47" s="555"/>
      <c r="B47" s="1"/>
      <c r="C47" s="2"/>
      <c r="D47" s="552">
        <f t="shared" si="0"/>
        <v>0</v>
      </c>
      <c r="E47" s="552">
        <f t="shared" si="1"/>
        <v>0</v>
      </c>
      <c r="F47" s="558"/>
      <c r="G47" s="551">
        <f t="shared" si="2"/>
        <v>0</v>
      </c>
      <c r="H47" s="34"/>
      <c r="I47" s="560"/>
      <c r="J47" s="565"/>
      <c r="K47" s="567"/>
      <c r="L47" s="585"/>
      <c r="M47" s="562"/>
      <c r="N47" s="562"/>
      <c r="O47" s="562"/>
      <c r="P47" s="563"/>
    </row>
    <row r="48" spans="1:16" hidden="1">
      <c r="A48" s="555"/>
      <c r="B48" s="1"/>
      <c r="C48" s="2"/>
      <c r="D48" s="552">
        <f t="shared" si="0"/>
        <v>0</v>
      </c>
      <c r="E48" s="552">
        <f t="shared" si="1"/>
        <v>0</v>
      </c>
      <c r="F48" s="558"/>
      <c r="G48" s="551">
        <f t="shared" si="2"/>
        <v>0</v>
      </c>
      <c r="H48" s="34"/>
      <c r="I48" s="560"/>
      <c r="J48" s="565"/>
      <c r="K48" s="567"/>
      <c r="L48" s="585"/>
      <c r="M48" s="562"/>
      <c r="N48" s="562"/>
      <c r="O48" s="562"/>
      <c r="P48" s="563"/>
    </row>
    <row r="49" spans="1:32" hidden="1">
      <c r="A49" s="555"/>
      <c r="B49" s="1"/>
      <c r="C49" s="2"/>
      <c r="D49" s="552">
        <f t="shared" si="0"/>
        <v>0</v>
      </c>
      <c r="E49" s="552">
        <f t="shared" si="1"/>
        <v>0</v>
      </c>
      <c r="F49" s="558"/>
      <c r="G49" s="551">
        <f t="shared" si="2"/>
        <v>0</v>
      </c>
      <c r="H49" s="34"/>
      <c r="I49" s="560"/>
      <c r="J49" s="565"/>
      <c r="K49" s="567"/>
      <c r="L49" s="585"/>
      <c r="M49" s="562"/>
      <c r="N49" s="562"/>
      <c r="O49" s="562"/>
      <c r="P49" s="563"/>
    </row>
    <row r="50" spans="1:32" hidden="1">
      <c r="A50" s="555"/>
      <c r="B50" s="1"/>
      <c r="C50" s="2"/>
      <c r="D50" s="552">
        <f t="shared" si="0"/>
        <v>0</v>
      </c>
      <c r="E50" s="552">
        <f t="shared" si="1"/>
        <v>0</v>
      </c>
      <c r="F50" s="558"/>
      <c r="G50" s="551">
        <f t="shared" si="2"/>
        <v>0</v>
      </c>
      <c r="H50" s="34"/>
      <c r="I50" s="560"/>
      <c r="J50" s="565"/>
      <c r="K50" s="567"/>
      <c r="L50" s="585"/>
      <c r="M50" s="562"/>
      <c r="N50" s="562"/>
      <c r="O50" s="562"/>
      <c r="P50" s="563"/>
    </row>
    <row r="51" spans="1:32" hidden="1">
      <c r="A51" s="555"/>
      <c r="B51" s="1"/>
      <c r="C51" s="2"/>
      <c r="D51" s="552">
        <f t="shared" si="0"/>
        <v>0</v>
      </c>
      <c r="E51" s="552">
        <f t="shared" si="1"/>
        <v>0</v>
      </c>
      <c r="F51" s="558"/>
      <c r="G51" s="551">
        <f t="shared" si="2"/>
        <v>0</v>
      </c>
      <c r="H51" s="34"/>
      <c r="I51" s="560"/>
      <c r="J51" s="565"/>
      <c r="K51" s="567"/>
      <c r="L51" s="585"/>
      <c r="M51" s="562"/>
      <c r="N51" s="562"/>
      <c r="O51" s="562"/>
      <c r="P51" s="563"/>
    </row>
    <row r="52" spans="1:32" ht="13.5" thickBot="1">
      <c r="A52" s="556"/>
      <c r="B52" s="3"/>
      <c r="C52" s="4"/>
      <c r="D52" s="552">
        <f t="shared" si="0"/>
        <v>0</v>
      </c>
      <c r="E52" s="552">
        <f t="shared" si="1"/>
        <v>0</v>
      </c>
      <c r="F52" s="558"/>
      <c r="G52" s="551">
        <f t="shared" si="2"/>
        <v>0</v>
      </c>
      <c r="H52" s="34"/>
      <c r="I52" s="561"/>
      <c r="J52" s="566"/>
      <c r="K52" s="568"/>
      <c r="L52" s="586"/>
      <c r="M52" s="564"/>
      <c r="N52" s="564"/>
      <c r="O52" s="564"/>
      <c r="P52" s="587"/>
    </row>
    <row r="53" spans="1:32" s="10" customFormat="1" ht="14.25">
      <c r="A53" s="89" t="s">
        <v>26</v>
      </c>
      <c r="B53" s="90"/>
      <c r="C53" s="91"/>
      <c r="D53" s="92">
        <f>SUM(D17:D52)</f>
        <v>0</v>
      </c>
      <c r="E53" s="92">
        <f>SUM(E17:E52)</f>
        <v>0</v>
      </c>
      <c r="F53" s="92">
        <f>SUM(F17:F52)</f>
        <v>0</v>
      </c>
      <c r="G53" s="208">
        <f>SUM(G17:G52)</f>
        <v>0</v>
      </c>
      <c r="H53" s="588"/>
      <c r="I53" s="589" t="s">
        <v>26</v>
      </c>
      <c r="J53" s="91"/>
      <c r="K53" s="590"/>
      <c r="L53" s="92">
        <f>SUM(L17:L52)</f>
        <v>3300</v>
      </c>
      <c r="M53" s="92">
        <f>SUM(M17:M52)</f>
        <v>0</v>
      </c>
      <c r="N53" s="92">
        <f>SUM(N17:N52)</f>
        <v>0</v>
      </c>
      <c r="O53" s="92">
        <f>SUM(O17:O52)</f>
        <v>0</v>
      </c>
      <c r="P53" s="208">
        <f>SUM(P17:P52)</f>
        <v>2.5</v>
      </c>
      <c r="AD53" s="630"/>
      <c r="AE53" s="630"/>
      <c r="AF53" s="634"/>
    </row>
    <row r="54" spans="1:32" s="10" customFormat="1" ht="13.5" thickBot="1">
      <c r="A54" s="38" t="s">
        <v>27</v>
      </c>
      <c r="B54" s="38"/>
      <c r="C54" s="38"/>
      <c r="D54" s="643">
        <f>SUM(D16:D52)</f>
        <v>0</v>
      </c>
      <c r="E54" s="643">
        <f>SUM(E16:E52)</f>
        <v>19250</v>
      </c>
      <c r="F54" s="643">
        <f>SUM(F16:F52)</f>
        <v>23100</v>
      </c>
      <c r="G54" s="644">
        <f>SUM(G16:G52)</f>
        <v>3850</v>
      </c>
      <c r="H54" s="588"/>
      <c r="I54" s="591" t="s">
        <v>27</v>
      </c>
      <c r="J54" s="38"/>
      <c r="K54" s="151"/>
      <c r="L54" s="643">
        <f>SUM(L16:L52)</f>
        <v>46200</v>
      </c>
      <c r="M54" s="643">
        <f>SUM(M16:M52)</f>
        <v>66.53</v>
      </c>
      <c r="N54" s="643">
        <f>SUM(N16:N52)</f>
        <v>0</v>
      </c>
      <c r="O54" s="643">
        <f>SUM(O16:O52)</f>
        <v>50488.86</v>
      </c>
      <c r="P54" s="645">
        <f>SUM(P16:P52)</f>
        <v>-61.079999999999991</v>
      </c>
      <c r="AD54" s="630"/>
      <c r="AE54" s="630"/>
      <c r="AF54" s="634"/>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c r="N57" s="18"/>
    </row>
    <row r="58" spans="1:32" ht="18" hidden="1">
      <c r="A58" s="66" t="s">
        <v>28</v>
      </c>
      <c r="B58" s="17"/>
      <c r="C58" s="75">
        <f>IF(E9="y",G59*0.95-(SUM(H197:K197)),0)</f>
        <v>0</v>
      </c>
      <c r="E58" s="113" t="s">
        <v>136</v>
      </c>
      <c r="F58" s="70" t="s">
        <v>138</v>
      </c>
      <c r="G58" s="70" t="s">
        <v>137</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0</v>
      </c>
      <c r="F60" s="70">
        <f>+G60-E60</f>
        <v>0</v>
      </c>
      <c r="G60" s="70">
        <f>IF(E59+E60&lt;&gt;0,E60/(E59+E60)*(G61-G62),0)</f>
        <v>0</v>
      </c>
      <c r="H60" s="18"/>
      <c r="I60" s="18"/>
      <c r="J60" s="18"/>
      <c r="K60" s="18"/>
      <c r="L60" s="18"/>
      <c r="M60" s="18"/>
    </row>
    <row r="61" spans="1:32" hidden="1">
      <c r="A61" s="16"/>
      <c r="B61" s="17"/>
      <c r="C61" s="16"/>
      <c r="D61" s="70" t="s">
        <v>16</v>
      </c>
      <c r="E61" s="70">
        <f>+F53</f>
        <v>0</v>
      </c>
      <c r="F61" s="70">
        <f>+G61-E61</f>
        <v>0</v>
      </c>
      <c r="G61" s="70">
        <f>+E61</f>
        <v>0</v>
      </c>
      <c r="H61" s="18"/>
      <c r="I61" s="18"/>
      <c r="J61" s="18"/>
      <c r="K61" s="18"/>
      <c r="L61" s="18"/>
      <c r="M61" s="18"/>
    </row>
    <row r="62" spans="1:32" hidden="1">
      <c r="A62" s="67" t="s">
        <v>29</v>
      </c>
      <c r="B62" s="17"/>
      <c r="C62" s="70">
        <f>IF(E243&lt;=0,0,IF(C4&lt;42095,E265,E243))</f>
        <v>0</v>
      </c>
      <c r="D62" s="70" t="s">
        <v>17</v>
      </c>
      <c r="E62" s="70">
        <f>+G53</f>
        <v>0</v>
      </c>
      <c r="F62" s="70">
        <f>+G62-E62</f>
        <v>0</v>
      </c>
      <c r="G62" s="70">
        <f>IF(E12&gt;0,(G61)*E12,E62)</f>
        <v>0</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D73" s="7"/>
      <c r="E73" s="7"/>
      <c r="F73" s="7"/>
      <c r="G73" s="7"/>
      <c r="H73" s="7"/>
      <c r="I73" s="7"/>
      <c r="J73" s="7"/>
      <c r="K73" s="7"/>
      <c r="L73" s="7"/>
      <c r="M73" s="7"/>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103"/>
    </row>
    <row r="75" spans="1:56" ht="15">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5" t="s">
        <v>20</v>
      </c>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0"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row>
    <row r="78" spans="1:56" ht="13.5" thickBot="1">
      <c r="A78" s="580" t="s">
        <v>11</v>
      </c>
      <c r="B78" s="580" t="s">
        <v>13</v>
      </c>
      <c r="C78" s="594" t="s">
        <v>38</v>
      </c>
      <c r="D78" s="569" t="s">
        <v>39</v>
      </c>
      <c r="E78" s="569" t="s">
        <v>40</v>
      </c>
      <c r="F78" s="569" t="s">
        <v>155</v>
      </c>
      <c r="G78" s="595" t="s">
        <v>17</v>
      </c>
      <c r="H78" s="571" t="s">
        <v>294</v>
      </c>
      <c r="I78" s="570" t="s">
        <v>42</v>
      </c>
      <c r="J78" s="571" t="s">
        <v>127</v>
      </c>
      <c r="K78" s="570" t="s">
        <v>44</v>
      </c>
      <c r="L78" s="597" t="s">
        <v>161</v>
      </c>
      <c r="M78" s="597" t="s">
        <v>160</v>
      </c>
      <c r="N78" s="597" t="s">
        <v>49</v>
      </c>
      <c r="O78" s="570" t="s">
        <v>132</v>
      </c>
      <c r="P78" s="570" t="s">
        <v>45</v>
      </c>
      <c r="Q78" s="570" t="s">
        <v>46</v>
      </c>
      <c r="R78" s="571" t="s">
        <v>171</v>
      </c>
      <c r="S78" s="570" t="s">
        <v>113</v>
      </c>
      <c r="T78" s="571" t="s">
        <v>57</v>
      </c>
      <c r="U78" s="570" t="s">
        <v>50</v>
      </c>
      <c r="V78" s="571" t="s">
        <v>207</v>
      </c>
      <c r="W78" s="571" t="s">
        <v>175</v>
      </c>
      <c r="X78" s="571" t="s">
        <v>302</v>
      </c>
      <c r="Y78" s="570" t="s">
        <v>121</v>
      </c>
      <c r="Z78" s="571" t="s">
        <v>173</v>
      </c>
      <c r="AA78" s="571" t="s">
        <v>302</v>
      </c>
      <c r="AB78" s="597" t="s">
        <v>152</v>
      </c>
      <c r="AC78" s="570" t="s">
        <v>51</v>
      </c>
      <c r="AD78" s="628"/>
      <c r="AF78" s="634" t="s">
        <v>52</v>
      </c>
    </row>
    <row r="79" spans="1:56">
      <c r="A79" s="614"/>
      <c r="B79" s="345" t="s">
        <v>77</v>
      </c>
      <c r="C79" s="45"/>
      <c r="D79" s="615">
        <f>'Dec 17'!D198</f>
        <v>65986.989999999991</v>
      </c>
      <c r="E79" s="616">
        <f>'Dec 17'!E198</f>
        <v>-901</v>
      </c>
      <c r="F79" s="615">
        <f>'Dec 17'!F198</f>
        <v>0</v>
      </c>
      <c r="G79" s="617">
        <f>'Dec 17'!G198</f>
        <v>0</v>
      </c>
      <c r="H79" s="625">
        <f>'Dec 17'!H198</f>
        <v>450</v>
      </c>
      <c r="I79" s="559">
        <f>'Dec 17'!I198</f>
        <v>328</v>
      </c>
      <c r="J79" s="559">
        <f>'Dec 17'!J198</f>
        <v>70</v>
      </c>
      <c r="K79" s="559">
        <f>'Dec 17'!K198</f>
        <v>0</v>
      </c>
      <c r="L79" s="559">
        <f>'Dec 17'!L198</f>
        <v>5472</v>
      </c>
      <c r="M79" s="559">
        <f>'Dec 17'!M198</f>
        <v>0</v>
      </c>
      <c r="N79" s="559">
        <f>'Dec 17'!N198</f>
        <v>0</v>
      </c>
      <c r="O79" s="559">
        <f>'Dec 17'!O198</f>
        <v>0</v>
      </c>
      <c r="P79" s="559">
        <f>'Dec 17'!P198</f>
        <v>40</v>
      </c>
      <c r="Q79" s="559">
        <f>'Dec 17'!Q198</f>
        <v>0</v>
      </c>
      <c r="R79" s="559">
        <f>'Dec 17'!R198</f>
        <v>130</v>
      </c>
      <c r="S79" s="559">
        <f>'Dec 17'!S198</f>
        <v>110</v>
      </c>
      <c r="T79" s="559">
        <f>'Dec 17'!T198</f>
        <v>170</v>
      </c>
      <c r="U79" s="559">
        <f>'Dec 17'!U198</f>
        <v>276</v>
      </c>
      <c r="V79" s="559">
        <f>'Dec 17'!V198</f>
        <v>11</v>
      </c>
      <c r="W79" s="559">
        <f>'Dec 17'!W198</f>
        <v>190</v>
      </c>
      <c r="X79" s="559">
        <f>'Dec 17'!X198</f>
        <v>50555.39</v>
      </c>
      <c r="Y79" s="559">
        <f>'Dec 17'!Y198</f>
        <v>6969.6</v>
      </c>
      <c r="Z79" s="559">
        <f>'Dec 17'!Z198</f>
        <v>0</v>
      </c>
      <c r="AA79" s="559">
        <f>'Dec 17'!AA198</f>
        <v>0</v>
      </c>
      <c r="AB79" s="559">
        <f>'Dec 17'!AB198</f>
        <v>314</v>
      </c>
      <c r="AC79" s="257">
        <f>'Dec 17'!AC198</f>
        <v>0</v>
      </c>
      <c r="AG79" s="43">
        <f>IF(AF79=0,0,"ERROR HERE")</f>
        <v>0</v>
      </c>
      <c r="AH79" s="7">
        <f t="shared" ref="AH79:AH87" si="3">IF(OR(ISERROR(+H79/($D79+$E79-$G79)*$G79+H79),LEFT(F79,1)="x"),0,+H79/($D79+$E79-$G79)*$G79+H79)</f>
        <v>450</v>
      </c>
      <c r="AI79" s="7">
        <f t="shared" ref="AI79:AI87" si="4">IF(OR(ISERROR(+I79/($D79+$E79-$G79)*$G79+I79),LEFT(G79,1)="x"),0,+I79/($D79+$E79-$G79)*$G79+I79)</f>
        <v>328</v>
      </c>
      <c r="AJ79" s="7">
        <f t="shared" ref="AJ79:AJ87" si="5">IF(OR(ISERROR(+J79/($D79+$E79-$G79)*$G79+J79),LEFT(H79,1)="x"),0,+J79/($D79+$E79-$G79)*$G79+J79)</f>
        <v>70</v>
      </c>
      <c r="AK79" s="7">
        <f t="shared" ref="AK79:AK87" si="6">IF(OR(ISERROR(+K79/($D79+$E79-$G79)*$G79+K79),LEFT(I79,1)="x"),0,+K79/($D79+$E79-$G79)*$G79+K79)</f>
        <v>0</v>
      </c>
      <c r="AL79" s="7">
        <f t="shared" ref="AL79:AL87" si="7">IF(OR(ISERROR(+L79/($D79+$E79-$G79)*$G79+L79),LEFT(J79,1)="x"),0,+L79/($D79+$E79-$G79)*$G79+L79)</f>
        <v>5472</v>
      </c>
      <c r="AM79" s="7">
        <f t="shared" ref="AM79:AM87" si="8">IF(OR(ISERROR(+M79/($D79+$E79-$G79)*$G79+M79),LEFT(K79,1)="x"),0,+M79/($D79+$E79-$G79)*$G79+M79)</f>
        <v>0</v>
      </c>
      <c r="AN79" s="7">
        <f t="shared" ref="AN79:AN87" si="9">IF(OR(ISERROR(+N79/($D79+$E79-$G79)*$G79+N79),LEFT(L79,1)="x"),0,+N79/($D79+$E79-$G79)*$G79+N79)</f>
        <v>0</v>
      </c>
      <c r="AO79" s="7">
        <f t="shared" ref="AO79:AO87" si="10">IF(OR(ISERROR(+O79/($D79+$E79-$G79)*$G79+O79),LEFT(M79,1)="x"),0,+O79/($D79+$E79-$G79)*$G79+O79)</f>
        <v>0</v>
      </c>
      <c r="AP79" s="7">
        <f t="shared" ref="AP79:AP87" si="11">IF(OR(ISERROR(+P79/($D79+$E79-$G79)*$G79+P79),LEFT(N79,1)="x"),0,+P79/($D79+$E79-$G79)*$G79+P79)</f>
        <v>40</v>
      </c>
      <c r="AQ79" s="7">
        <f t="shared" ref="AQ79:AQ87" si="12">IF(OR(ISERROR(+Q79/($D79+$E79-$G79)*$G79+Q79),LEFT(O79,1)="x"),0,+Q79/($D79+$E79-$G79)*$G79+Q79)</f>
        <v>0</v>
      </c>
      <c r="AR79" s="7">
        <f t="shared" ref="AR79:AR87" si="13">IF(OR(ISERROR(+R79/($D79+$E79-$G79)*$G79+R79),LEFT(P79,1)="x"),0,+R79/($D79+$E79-$G79)*$G79+R79)</f>
        <v>130</v>
      </c>
      <c r="AS79" s="7">
        <f t="shared" ref="AS79:AS87" si="14">IF(OR(ISERROR(+S79/($D79+$E79-$G79)*$G79+S79),LEFT(Q79,1)="x"),0,+S79/($D79+$E79-$G79)*$G79+S79)</f>
        <v>110</v>
      </c>
      <c r="AT79" s="7">
        <f t="shared" ref="AT79:AT87" si="15">IF(OR(ISERROR(+T79/($D79+$E79-$G79)*$G79+T79),LEFT(R79,1)="x"),0,+T79/($D79+$E79-$G79)*$G79+T79)</f>
        <v>170</v>
      </c>
      <c r="AU79" s="7">
        <f t="shared" ref="AU79:AU87" si="16">IF(OR(ISERROR(+U79/($D79+$E79-$G79)*$G79+U79),LEFT(S79,1)="x"),0,+U79/($D79+$E79-$G79)*$G79+U79)</f>
        <v>276</v>
      </c>
      <c r="AV79" s="7">
        <f t="shared" ref="AV79:AV87" si="17">IF(OR(ISERROR(+V79/($D79+$E79-$G79)*$G79+V79),LEFT(T79,1)="x"),0,+V79/($D79+$E79-$G79)*$G79+V79)</f>
        <v>11</v>
      </c>
      <c r="AW79" s="7">
        <f t="shared" ref="AW79:AW87" si="18">IF(OR(ISERROR(+W79/($D79+$E79-$G79)*$G79+W79),LEFT(U79,1)="x"),0,+W79/($D79+$E79-$G79)*$G79+W79)</f>
        <v>190</v>
      </c>
      <c r="AX79" s="7">
        <f t="shared" ref="AX79:AX87" si="19">IF(OR(ISERROR(+X79/($D79+$E79-$G79)*$G79+X79),LEFT(V79,1)="x"),0,+X79/($D79+$E79-$G79)*$G79+X79)</f>
        <v>50555.39</v>
      </c>
      <c r="AY79" s="7">
        <f t="shared" ref="AY79:AY87" si="20">IF(OR(ISERROR(+Y79/($D79+$E79-$G79)*$G79+Y79),LEFT(W79,1)="x"),0,+Y79/($D79+$E79-$G79)*$G79+Y79)</f>
        <v>6969.6</v>
      </c>
      <c r="AZ79" s="7">
        <f t="shared" ref="AZ79:AZ87" si="21">IF(OR(ISERROR(+Z79/($D79+$E79-$G79)*$G79+Z79),LEFT(X79,1)="x"),0,+Z79/($D79+$E79-$G79)*$G79+Z79)</f>
        <v>0</v>
      </c>
      <c r="BA79" s="7">
        <f t="shared" ref="BA79:BA87" si="22">IF(OR(ISERROR(+AA79/($D79+$E79-$G79)*$G79+AA79),LEFT(Y79,1)="x"),0,+AA79/($D79+$E79-$G79)*$G79+AA79)</f>
        <v>0</v>
      </c>
      <c r="BB79" s="7">
        <f t="shared" ref="BB79:BB87" si="23">IF(OR(ISERROR(+AB79/($D79+$E79-$G79)*$G79+AB79),LEFT(Z79,1)="x"),0,+AB79/($D79+$E79-$G79)*$G79+AB79)</f>
        <v>314</v>
      </c>
      <c r="BC79" s="7">
        <f>IF(OR(ISERROR(+#REF!/($D79+$E79-$G79)*$G79+#REF!),LEFT(AA79,1)="x"),0,+#REF!/($D79+$E79-$G79)*$G79+#REF!)</f>
        <v>0</v>
      </c>
      <c r="BD79" s="7">
        <f>IF(OR(ISERROR(+AC79/($D79+$E79-$G79)*$G79+AC79),LEFT(Z79,1)="x"),0,+AC79/($D79+$E79-$G79)*$G79+AC79)</f>
        <v>0</v>
      </c>
    </row>
    <row r="80" spans="1:56">
      <c r="A80" s="555"/>
      <c r="B80" s="719" t="s">
        <v>462</v>
      </c>
      <c r="C80" s="719"/>
      <c r="D80" s="720">
        <v>924</v>
      </c>
      <c r="E80" s="721"/>
      <c r="F80" s="722"/>
      <c r="G80" s="723"/>
      <c r="H80" s="724"/>
      <c r="I80" s="724"/>
      <c r="J80" s="724"/>
      <c r="K80" s="725"/>
      <c r="L80" s="720">
        <v>924</v>
      </c>
      <c r="M80" s="725"/>
      <c r="N80" s="725"/>
      <c r="O80" s="725"/>
      <c r="P80" s="725"/>
      <c r="Q80" s="725"/>
      <c r="R80" s="726"/>
      <c r="S80" s="727"/>
      <c r="T80" s="725"/>
      <c r="U80" s="726"/>
      <c r="V80" s="726"/>
      <c r="W80" s="727"/>
      <c r="X80" s="726"/>
      <c r="Y80" s="726"/>
      <c r="Z80" s="726"/>
      <c r="AA80" s="726"/>
      <c r="AB80" s="726"/>
      <c r="AC80" s="563"/>
      <c r="AD80" s="629">
        <f>SUM(G80:AC80)</f>
        <v>924</v>
      </c>
      <c r="AE80" s="629">
        <f>SUM(D80:F80)</f>
        <v>924</v>
      </c>
      <c r="AF80" s="634">
        <f>AD80-AE80</f>
        <v>0</v>
      </c>
      <c r="AG80" s="43">
        <f>IF(AF80=0,0,"ERROR HERE")</f>
        <v>0</v>
      </c>
      <c r="AH80" s="7">
        <f t="shared" si="3"/>
        <v>0</v>
      </c>
      <c r="AI80" s="7">
        <f t="shared" si="4"/>
        <v>0</v>
      </c>
      <c r="AJ80" s="7">
        <f t="shared" si="5"/>
        <v>0</v>
      </c>
      <c r="AK80" s="7">
        <f t="shared" si="6"/>
        <v>0</v>
      </c>
      <c r="AL80" s="7">
        <f t="shared" si="7"/>
        <v>924</v>
      </c>
      <c r="AM80" s="7">
        <f t="shared" si="8"/>
        <v>0</v>
      </c>
      <c r="AN80" s="7">
        <f t="shared" si="9"/>
        <v>0</v>
      </c>
      <c r="AO80" s="7">
        <f t="shared" si="10"/>
        <v>0</v>
      </c>
      <c r="AP80" s="7">
        <f t="shared" si="11"/>
        <v>0</v>
      </c>
      <c r="AQ80" s="7">
        <f t="shared" si="12"/>
        <v>0</v>
      </c>
      <c r="AR80" s="7">
        <f t="shared" si="13"/>
        <v>0</v>
      </c>
      <c r="AS80" s="7">
        <f t="shared" si="14"/>
        <v>0</v>
      </c>
      <c r="AT80" s="7">
        <f t="shared" si="15"/>
        <v>0</v>
      </c>
      <c r="AU80" s="7">
        <f t="shared" si="16"/>
        <v>0</v>
      </c>
      <c r="AV80" s="7">
        <f t="shared" si="17"/>
        <v>0</v>
      </c>
      <c r="AW80" s="7">
        <f t="shared" si="18"/>
        <v>0</v>
      </c>
      <c r="AX80" s="7">
        <f t="shared" si="19"/>
        <v>0</v>
      </c>
      <c r="AY80" s="7">
        <f t="shared" si="20"/>
        <v>0</v>
      </c>
      <c r="AZ80" s="7">
        <f t="shared" si="21"/>
        <v>0</v>
      </c>
      <c r="BA80" s="7">
        <f t="shared" si="22"/>
        <v>0</v>
      </c>
      <c r="BB80" s="7">
        <f t="shared" si="23"/>
        <v>0</v>
      </c>
      <c r="BC80" s="7">
        <f>IF(OR(ISERROR(+#REF!/($D80+$E80-$G80)*$G80+#REF!),LEFT(AA80,1)="x"),0,+#REF!/($D80+$E80-$G80)*$G80+#REF!)</f>
        <v>0</v>
      </c>
      <c r="BD80" s="7">
        <f>IF(OR(ISERROR(+AC80/($D80+$E80-$G80)*$G80+AC80),LEFT(Z80,1)="x"),0,+AC80/($D80+$E80-$G80)*$G80+AC80)</f>
        <v>0</v>
      </c>
    </row>
    <row r="81" spans="1:57">
      <c r="A81" s="555"/>
      <c r="B81" s="719" t="s">
        <v>463</v>
      </c>
      <c r="C81" s="719"/>
      <c r="D81" s="719">
        <v>900</v>
      </c>
      <c r="E81" s="721"/>
      <c r="F81" s="722"/>
      <c r="G81" s="723"/>
      <c r="H81" s="724"/>
      <c r="I81" s="724"/>
      <c r="J81" s="724"/>
      <c r="K81" s="725"/>
      <c r="L81" s="719">
        <v>900</v>
      </c>
      <c r="M81" s="725"/>
      <c r="N81" s="725"/>
      <c r="O81" s="725"/>
      <c r="P81" s="725"/>
      <c r="Q81" s="725"/>
      <c r="R81" s="726"/>
      <c r="S81" s="727"/>
      <c r="T81" s="725"/>
      <c r="U81" s="726"/>
      <c r="V81" s="726"/>
      <c r="W81" s="727"/>
      <c r="X81" s="726"/>
      <c r="Y81" s="726"/>
      <c r="Z81" s="726"/>
      <c r="AA81" s="726"/>
      <c r="AB81" s="726"/>
      <c r="AC81" s="563"/>
      <c r="AD81" s="629">
        <f t="shared" ref="AD81:AD144" si="24">SUM(G81:AC81)</f>
        <v>900</v>
      </c>
      <c r="AE81" s="629">
        <f t="shared" ref="AE81:AE144" si="25">SUM(D81:F81)</f>
        <v>900</v>
      </c>
      <c r="AF81" s="634">
        <f t="shared" ref="AF81:AF144" si="26">AD81-AE81</f>
        <v>0</v>
      </c>
      <c r="AG81" s="43">
        <f>IF(AF81=0,0,"ERROR HERE")</f>
        <v>0</v>
      </c>
      <c r="AH81" s="7">
        <f t="shared" si="3"/>
        <v>0</v>
      </c>
      <c r="AI81" s="7">
        <f t="shared" si="4"/>
        <v>0</v>
      </c>
      <c r="AJ81" s="7">
        <f t="shared" si="5"/>
        <v>0</v>
      </c>
      <c r="AK81" s="7">
        <f t="shared" si="6"/>
        <v>0</v>
      </c>
      <c r="AL81" s="7">
        <f t="shared" si="7"/>
        <v>900</v>
      </c>
      <c r="AM81" s="7">
        <f t="shared" si="8"/>
        <v>0</v>
      </c>
      <c r="AN81" s="7">
        <f t="shared" si="9"/>
        <v>0</v>
      </c>
      <c r="AO81" s="7">
        <f t="shared" si="10"/>
        <v>0</v>
      </c>
      <c r="AP81" s="7">
        <f t="shared" si="11"/>
        <v>0</v>
      </c>
      <c r="AQ81" s="7">
        <f t="shared" si="12"/>
        <v>0</v>
      </c>
      <c r="AR81" s="7">
        <f t="shared" si="13"/>
        <v>0</v>
      </c>
      <c r="AS81" s="7">
        <f t="shared" si="14"/>
        <v>0</v>
      </c>
      <c r="AT81" s="7">
        <f t="shared" si="15"/>
        <v>0</v>
      </c>
      <c r="AU81" s="7">
        <f t="shared" si="16"/>
        <v>0</v>
      </c>
      <c r="AV81" s="7">
        <f t="shared" si="17"/>
        <v>0</v>
      </c>
      <c r="AW81" s="7">
        <f t="shared" si="18"/>
        <v>0</v>
      </c>
      <c r="AX81" s="7">
        <f t="shared" si="19"/>
        <v>0</v>
      </c>
      <c r="AY81" s="7">
        <f t="shared" si="20"/>
        <v>0</v>
      </c>
      <c r="AZ81" s="7">
        <f t="shared" si="21"/>
        <v>0</v>
      </c>
      <c r="BA81" s="7">
        <f t="shared" si="22"/>
        <v>0</v>
      </c>
      <c r="BB81" s="7">
        <f t="shared" si="23"/>
        <v>0</v>
      </c>
      <c r="BC81" s="7">
        <f>IF(OR(ISERROR(+#REF!/($D81+$E81-$G81)*$G81+#REF!),LEFT(AA81,1)="x"),0,+#REF!/($D81+$E81-$G81)*$G81+#REF!)</f>
        <v>0</v>
      </c>
      <c r="BD81" s="7">
        <f>IF(OR(ISERROR(+AC81/($D81+$E81-$G81)*$G81+AC81),LEFT(Z81,1)="x"),0,+AC81/($D81+$E81-$G81)*$G81+AC81)</f>
        <v>0</v>
      </c>
    </row>
    <row r="82" spans="1:57">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719"/>
      <c r="Y82" s="719"/>
      <c r="Z82" s="719"/>
      <c r="AA82" s="719"/>
      <c r="AB82" s="719"/>
      <c r="AC82" s="563"/>
      <c r="AD82" s="629">
        <f t="shared" si="24"/>
        <v>138</v>
      </c>
      <c r="AE82" s="629">
        <f t="shared" si="25"/>
        <v>138</v>
      </c>
      <c r="AF82" s="634">
        <f t="shared" si="26"/>
        <v>0</v>
      </c>
      <c r="AG82" s="43">
        <f>IF(AF82=0,0,"ERROR HERE - CHECK NUMBER IS CORRECTLY EXTENDED")</f>
        <v>0</v>
      </c>
      <c r="AH82" s="7">
        <f t="shared" si="3"/>
        <v>0</v>
      </c>
      <c r="AI82" s="7">
        <f t="shared" si="4"/>
        <v>0</v>
      </c>
      <c r="AJ82" s="7">
        <f t="shared" si="5"/>
        <v>0</v>
      </c>
      <c r="AK82" s="7">
        <f t="shared" si="6"/>
        <v>0</v>
      </c>
      <c r="AL82" s="7">
        <f t="shared" si="7"/>
        <v>0</v>
      </c>
      <c r="AM82" s="7">
        <f t="shared" si="8"/>
        <v>0</v>
      </c>
      <c r="AN82" s="7">
        <f t="shared" si="9"/>
        <v>0</v>
      </c>
      <c r="AO82" s="7">
        <f t="shared" si="10"/>
        <v>0</v>
      </c>
      <c r="AP82" s="7">
        <f t="shared" si="11"/>
        <v>0</v>
      </c>
      <c r="AQ82" s="7">
        <f t="shared" si="12"/>
        <v>0</v>
      </c>
      <c r="AR82" s="7">
        <f t="shared" si="13"/>
        <v>0</v>
      </c>
      <c r="AS82" s="7">
        <f t="shared" si="14"/>
        <v>0</v>
      </c>
      <c r="AT82" s="7">
        <f t="shared" si="15"/>
        <v>0</v>
      </c>
      <c r="AU82" s="7">
        <f t="shared" si="16"/>
        <v>138</v>
      </c>
      <c r="AV82" s="7">
        <f t="shared" si="17"/>
        <v>0</v>
      </c>
      <c r="AW82" s="7">
        <f t="shared" si="18"/>
        <v>0</v>
      </c>
      <c r="AX82" s="7">
        <f t="shared" si="19"/>
        <v>0</v>
      </c>
      <c r="AY82" s="7">
        <f t="shared" si="20"/>
        <v>0</v>
      </c>
      <c r="AZ82" s="7">
        <f t="shared" si="21"/>
        <v>0</v>
      </c>
      <c r="BA82" s="7">
        <f t="shared" si="22"/>
        <v>0</v>
      </c>
      <c r="BB82" s="7">
        <f t="shared" si="23"/>
        <v>0</v>
      </c>
      <c r="BC82" s="7">
        <f>IF(OR(ISERROR(+#REF!/($D82+$E82-$G82)*$G82+#REF!),LEFT(AA82,1)="x"),0,+#REF!/($D82+$E82-$G82)*$G82+#REF!)</f>
        <v>0</v>
      </c>
      <c r="BD82" s="7">
        <f>IF(OR(ISERROR(+#REF!/($D82+$E82-$G82)*$G82+#REF!),LEFT(AB82,1)="x"),0,+#REF!/($D82+$E82-$G82)*$G82+#REF!)</f>
        <v>0</v>
      </c>
      <c r="BE82" s="7" t="e">
        <f>IF(OR(ISERROR(+AC82/($D82+$E82-$G82)*$G82+AC82),LEFT(#REF!,1)="x"),0,+AC82/($D82+$E82-$G82)*$G82+AC82)</f>
        <v>#REF!</v>
      </c>
    </row>
    <row r="83" spans="1:57">
      <c r="A83" s="555"/>
      <c r="B83" s="719" t="s">
        <v>465</v>
      </c>
      <c r="C83" s="719"/>
      <c r="D83" s="721"/>
      <c r="E83" s="719">
        <v>164</v>
      </c>
      <c r="F83" s="722"/>
      <c r="G83" s="723"/>
      <c r="H83" s="724"/>
      <c r="I83" s="719">
        <v>164</v>
      </c>
      <c r="J83" s="724"/>
      <c r="K83" s="725"/>
      <c r="L83" s="725"/>
      <c r="M83" s="725"/>
      <c r="N83" s="725"/>
      <c r="O83" s="725"/>
      <c r="P83" s="725"/>
      <c r="Q83" s="725"/>
      <c r="R83" s="726"/>
      <c r="S83" s="727"/>
      <c r="T83" s="725"/>
      <c r="U83" s="726"/>
      <c r="V83" s="726"/>
      <c r="W83" s="727"/>
      <c r="X83" s="726"/>
      <c r="Y83" s="726"/>
      <c r="Z83" s="726"/>
      <c r="AA83" s="726"/>
      <c r="AB83" s="726"/>
      <c r="AC83" s="563"/>
      <c r="AD83" s="629">
        <f t="shared" si="24"/>
        <v>164</v>
      </c>
      <c r="AE83" s="629">
        <f t="shared" si="25"/>
        <v>164</v>
      </c>
      <c r="AF83" s="634">
        <f t="shared" si="26"/>
        <v>0</v>
      </c>
      <c r="AG83" s="43">
        <f>IF(AF83=0,0,"ERROR HERE")</f>
        <v>0</v>
      </c>
      <c r="AH83" s="7">
        <f t="shared" si="3"/>
        <v>0</v>
      </c>
      <c r="AI83" s="7">
        <f t="shared" si="4"/>
        <v>164</v>
      </c>
      <c r="AJ83" s="7">
        <f t="shared" si="5"/>
        <v>0</v>
      </c>
      <c r="AK83" s="7">
        <f t="shared" si="6"/>
        <v>0</v>
      </c>
      <c r="AL83" s="7">
        <f t="shared" si="7"/>
        <v>0</v>
      </c>
      <c r="AM83" s="7">
        <f t="shared" si="8"/>
        <v>0</v>
      </c>
      <c r="AN83" s="7">
        <f t="shared" si="9"/>
        <v>0</v>
      </c>
      <c r="AO83" s="7">
        <f t="shared" si="10"/>
        <v>0</v>
      </c>
      <c r="AP83" s="7">
        <f t="shared" si="11"/>
        <v>0</v>
      </c>
      <c r="AQ83" s="7">
        <f t="shared" si="12"/>
        <v>0</v>
      </c>
      <c r="AR83" s="7">
        <f t="shared" si="13"/>
        <v>0</v>
      </c>
      <c r="AS83" s="7">
        <f t="shared" si="14"/>
        <v>0</v>
      </c>
      <c r="AT83" s="7">
        <f t="shared" si="15"/>
        <v>0</v>
      </c>
      <c r="AU83" s="7">
        <f t="shared" si="16"/>
        <v>0</v>
      </c>
      <c r="AV83" s="7">
        <f t="shared" si="17"/>
        <v>0</v>
      </c>
      <c r="AW83" s="7">
        <f t="shared" si="18"/>
        <v>0</v>
      </c>
      <c r="AX83" s="7">
        <f t="shared" si="19"/>
        <v>0</v>
      </c>
      <c r="AY83" s="7">
        <f t="shared" si="20"/>
        <v>0</v>
      </c>
      <c r="AZ83" s="7">
        <f t="shared" si="21"/>
        <v>0</v>
      </c>
      <c r="BA83" s="7">
        <f t="shared" si="22"/>
        <v>0</v>
      </c>
      <c r="BB83" s="7">
        <f t="shared" si="23"/>
        <v>0</v>
      </c>
      <c r="BC83" s="7">
        <f>IF(OR(ISERROR(+#REF!/($D83+$E83-$G83)*$G83+#REF!),LEFT(AA83,1)="x"),0,+#REF!/($D83+$E83-$G83)*$G83+#REF!)</f>
        <v>0</v>
      </c>
      <c r="BD83" s="7">
        <f>IF(OR(ISERROR(+#REF!/($D83+$E83-$G83)*$G83+#REF!),LEFT(AB83,1)="x"),0,+#REF!/($D83+$E83-$G83)*$G83+#REF!)</f>
        <v>0</v>
      </c>
      <c r="BE83" s="7" t="e">
        <f>IF(OR(ISERROR(+AC83/($D83+$E83-$G83)*$G83+AC83),LEFT(#REF!,1)="x"),0,+AC83/($D83+$E83-$G83)*$G83+AC83)</f>
        <v>#REF!</v>
      </c>
    </row>
    <row r="84" spans="1:57">
      <c r="A84" s="555"/>
      <c r="B84" s="719" t="s">
        <v>466</v>
      </c>
      <c r="C84" s="719"/>
      <c r="D84" s="721"/>
      <c r="E84" s="719">
        <v>20</v>
      </c>
      <c r="F84" s="722"/>
      <c r="G84" s="723"/>
      <c r="H84" s="724"/>
      <c r="I84" s="724"/>
      <c r="J84" s="724"/>
      <c r="K84" s="725"/>
      <c r="L84" s="725"/>
      <c r="M84" s="725"/>
      <c r="N84" s="725"/>
      <c r="O84" s="725"/>
      <c r="P84" s="719">
        <v>20</v>
      </c>
      <c r="Q84" s="725"/>
      <c r="R84" s="726"/>
      <c r="S84" s="727"/>
      <c r="T84" s="725"/>
      <c r="U84" s="726"/>
      <c r="V84" s="726"/>
      <c r="W84" s="727"/>
      <c r="X84" s="726"/>
      <c r="Y84" s="726"/>
      <c r="Z84" s="726"/>
      <c r="AA84" s="726"/>
      <c r="AB84" s="726"/>
      <c r="AC84" s="563"/>
      <c r="AD84" s="629">
        <f t="shared" si="24"/>
        <v>20</v>
      </c>
      <c r="AE84" s="629">
        <f t="shared" si="25"/>
        <v>20</v>
      </c>
      <c r="AF84" s="634">
        <f t="shared" si="26"/>
        <v>0</v>
      </c>
      <c r="AG84" s="43">
        <f>IF(AF84=0,0,"ERROR HERE")</f>
        <v>0</v>
      </c>
      <c r="AH84" s="7">
        <f t="shared" si="3"/>
        <v>0</v>
      </c>
      <c r="AI84" s="7">
        <f t="shared" si="4"/>
        <v>0</v>
      </c>
      <c r="AJ84" s="7">
        <f t="shared" si="5"/>
        <v>0</v>
      </c>
      <c r="AK84" s="7">
        <f t="shared" si="6"/>
        <v>0</v>
      </c>
      <c r="AL84" s="7">
        <f t="shared" si="7"/>
        <v>0</v>
      </c>
      <c r="AM84" s="7">
        <f t="shared" si="8"/>
        <v>0</v>
      </c>
      <c r="AN84" s="7">
        <f t="shared" si="9"/>
        <v>0</v>
      </c>
      <c r="AO84" s="7">
        <f t="shared" si="10"/>
        <v>0</v>
      </c>
      <c r="AP84" s="7">
        <f t="shared" si="11"/>
        <v>20</v>
      </c>
      <c r="AQ84" s="7">
        <f t="shared" si="12"/>
        <v>0</v>
      </c>
      <c r="AR84" s="7">
        <f t="shared" si="13"/>
        <v>0</v>
      </c>
      <c r="AS84" s="7">
        <f t="shared" si="14"/>
        <v>0</v>
      </c>
      <c r="AT84" s="7">
        <f t="shared" si="15"/>
        <v>0</v>
      </c>
      <c r="AU84" s="7">
        <f t="shared" si="16"/>
        <v>0</v>
      </c>
      <c r="AV84" s="7">
        <f t="shared" si="17"/>
        <v>0</v>
      </c>
      <c r="AW84" s="7">
        <f t="shared" si="18"/>
        <v>0</v>
      </c>
      <c r="AX84" s="7">
        <f t="shared" si="19"/>
        <v>0</v>
      </c>
      <c r="AY84" s="7">
        <f t="shared" si="20"/>
        <v>0</v>
      </c>
      <c r="AZ84" s="7">
        <f t="shared" si="21"/>
        <v>0</v>
      </c>
      <c r="BA84" s="7">
        <f t="shared" si="22"/>
        <v>0</v>
      </c>
      <c r="BB84" s="7">
        <f t="shared" si="23"/>
        <v>0</v>
      </c>
      <c r="BC84" s="7">
        <f>IF(OR(ISERROR(+#REF!/($D84+$E84-$G84)*$G84+#REF!),LEFT(AA84,1)="x"),0,+#REF!/($D84+$E84-$G84)*$G84+#REF!)</f>
        <v>0</v>
      </c>
      <c r="BD84" s="7">
        <f>IF(OR(ISERROR(+#REF!/($D84+$E84-$G84)*$G84+#REF!),LEFT(AB84,1)="x"),0,+#REF!/($D84+$E84-$G84)*$G84+#REF!)</f>
        <v>0</v>
      </c>
      <c r="BE84" s="7" t="e">
        <f>IF(OR(ISERROR(+AC84/($D84+$E84-$G84)*$G84+AC84),LEFT(#REF!,1)="x"),0,+AC84/($D84+$E84-$G84)*$G84+AC84)</f>
        <v>#REF!</v>
      </c>
    </row>
    <row r="85" spans="1:57">
      <c r="A85" s="555"/>
      <c r="B85" s="719" t="s">
        <v>467</v>
      </c>
      <c r="C85" s="719"/>
      <c r="D85" s="721"/>
      <c r="E85" s="719">
        <v>95</v>
      </c>
      <c r="F85" s="722"/>
      <c r="G85" s="723"/>
      <c r="H85" s="724"/>
      <c r="I85" s="724"/>
      <c r="J85" s="724"/>
      <c r="K85" s="725"/>
      <c r="L85" s="725"/>
      <c r="M85" s="725"/>
      <c r="N85" s="725"/>
      <c r="O85" s="725"/>
      <c r="P85" s="725"/>
      <c r="Q85" s="725"/>
      <c r="R85" s="726"/>
      <c r="S85" s="727"/>
      <c r="T85" s="725"/>
      <c r="U85" s="719"/>
      <c r="V85" s="726"/>
      <c r="W85" s="719">
        <v>95</v>
      </c>
      <c r="X85" s="726"/>
      <c r="Y85" s="726"/>
      <c r="Z85" s="726"/>
      <c r="AA85" s="726"/>
      <c r="AB85" s="726"/>
      <c r="AC85" s="563"/>
      <c r="AD85" s="629">
        <f t="shared" si="24"/>
        <v>95</v>
      </c>
      <c r="AE85" s="629">
        <f t="shared" si="25"/>
        <v>95</v>
      </c>
      <c r="AF85" s="634">
        <f t="shared" si="26"/>
        <v>0</v>
      </c>
      <c r="AG85" s="43">
        <f>IF(AF85=0,0,"ERROR HERE")</f>
        <v>0</v>
      </c>
      <c r="AH85" s="7">
        <f t="shared" si="3"/>
        <v>0</v>
      </c>
      <c r="AI85" s="7">
        <f t="shared" si="4"/>
        <v>0</v>
      </c>
      <c r="AJ85" s="7">
        <f t="shared" si="5"/>
        <v>0</v>
      </c>
      <c r="AK85" s="7">
        <f t="shared" si="6"/>
        <v>0</v>
      </c>
      <c r="AL85" s="7">
        <f t="shared" si="7"/>
        <v>0</v>
      </c>
      <c r="AM85" s="7">
        <f t="shared" si="8"/>
        <v>0</v>
      </c>
      <c r="AN85" s="7">
        <f t="shared" si="9"/>
        <v>0</v>
      </c>
      <c r="AO85" s="7">
        <f t="shared" si="10"/>
        <v>0</v>
      </c>
      <c r="AP85" s="7">
        <f t="shared" si="11"/>
        <v>0</v>
      </c>
      <c r="AQ85" s="7">
        <f t="shared" si="12"/>
        <v>0</v>
      </c>
      <c r="AR85" s="7">
        <f t="shared" si="13"/>
        <v>0</v>
      </c>
      <c r="AS85" s="7">
        <f t="shared" si="14"/>
        <v>0</v>
      </c>
      <c r="AT85" s="7">
        <f t="shared" si="15"/>
        <v>0</v>
      </c>
      <c r="AU85" s="7">
        <f t="shared" si="16"/>
        <v>0</v>
      </c>
      <c r="AV85" s="7">
        <f t="shared" si="17"/>
        <v>0</v>
      </c>
      <c r="AW85" s="7">
        <f t="shared" si="18"/>
        <v>95</v>
      </c>
      <c r="AX85" s="7">
        <f t="shared" si="19"/>
        <v>0</v>
      </c>
      <c r="AY85" s="7">
        <f t="shared" si="20"/>
        <v>0</v>
      </c>
      <c r="AZ85" s="7">
        <f t="shared" si="21"/>
        <v>0</v>
      </c>
      <c r="BA85" s="7">
        <f t="shared" si="22"/>
        <v>0</v>
      </c>
      <c r="BB85" s="7">
        <f t="shared" si="23"/>
        <v>0</v>
      </c>
      <c r="BC85" s="7">
        <f>IF(OR(ISERROR(+#REF!/($D85+$E85-$G85)*$G85+#REF!),LEFT(AA85,1)="x"),0,+#REF!/($D85+$E85-$G85)*$G85+#REF!)</f>
        <v>0</v>
      </c>
      <c r="BD85" s="7">
        <f>IF(OR(ISERROR(+#REF!/($D85+$E85-$G85)*$G85+#REF!),LEFT(AB85,1)="x"),0,+#REF!/($D85+$E85-$G85)*$G85+#REF!)</f>
        <v>0</v>
      </c>
      <c r="BE85" s="7" t="e">
        <f>IF(OR(ISERROR(+AC85/($D85+$E85-$G85)*$G85+AC85),LEFT(#REF!,1)="x"),0,+AC85/($D85+$E85-$G85)*$G85+AC85)</f>
        <v>#REF!</v>
      </c>
    </row>
    <row r="86" spans="1:57">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726"/>
      <c r="Y86" s="726"/>
      <c r="Z86" s="726"/>
      <c r="AA86" s="726"/>
      <c r="AB86" s="726"/>
      <c r="AC86" s="563"/>
      <c r="AD86" s="629">
        <f t="shared" si="24"/>
        <v>85</v>
      </c>
      <c r="AE86" s="629">
        <f t="shared" si="25"/>
        <v>85</v>
      </c>
      <c r="AF86" s="634">
        <f t="shared" si="26"/>
        <v>0</v>
      </c>
      <c r="AG86" s="43">
        <f>IF(AF86=0,0,"ERROR HERE")</f>
        <v>0</v>
      </c>
      <c r="AH86" s="7">
        <f t="shared" si="3"/>
        <v>0</v>
      </c>
      <c r="AI86" s="7">
        <f t="shared" si="4"/>
        <v>0</v>
      </c>
      <c r="AJ86" s="7">
        <f t="shared" si="5"/>
        <v>0</v>
      </c>
      <c r="AK86" s="7">
        <f t="shared" si="6"/>
        <v>0</v>
      </c>
      <c r="AL86" s="7">
        <f t="shared" si="7"/>
        <v>0</v>
      </c>
      <c r="AM86" s="7">
        <f t="shared" si="8"/>
        <v>0</v>
      </c>
      <c r="AN86" s="7">
        <f t="shared" si="9"/>
        <v>0</v>
      </c>
      <c r="AO86" s="7">
        <f t="shared" si="10"/>
        <v>0</v>
      </c>
      <c r="AP86" s="7">
        <f t="shared" si="11"/>
        <v>0</v>
      </c>
      <c r="AQ86" s="7">
        <f t="shared" si="12"/>
        <v>0</v>
      </c>
      <c r="AR86" s="7">
        <f t="shared" si="13"/>
        <v>0</v>
      </c>
      <c r="AS86" s="7">
        <f t="shared" si="14"/>
        <v>0</v>
      </c>
      <c r="AT86" s="7">
        <f t="shared" si="15"/>
        <v>85</v>
      </c>
      <c r="AU86" s="7">
        <f t="shared" si="16"/>
        <v>0</v>
      </c>
      <c r="AV86" s="7">
        <f t="shared" si="17"/>
        <v>0</v>
      </c>
      <c r="AW86" s="7">
        <f t="shared" si="18"/>
        <v>0</v>
      </c>
      <c r="AX86" s="7">
        <f t="shared" si="19"/>
        <v>0</v>
      </c>
      <c r="AY86" s="7">
        <f t="shared" si="20"/>
        <v>0</v>
      </c>
      <c r="AZ86" s="7">
        <f t="shared" si="21"/>
        <v>0</v>
      </c>
      <c r="BA86" s="7">
        <f t="shared" si="22"/>
        <v>0</v>
      </c>
      <c r="BB86" s="7">
        <f t="shared" si="23"/>
        <v>0</v>
      </c>
      <c r="BC86" s="7">
        <f>IF(OR(ISERROR(+#REF!/($D86+$E86-$G86)*$G86+#REF!),LEFT(AA86,1)="x"),0,+#REF!/($D86+$E86-$G86)*$G86+#REF!)</f>
        <v>0</v>
      </c>
      <c r="BD86" s="7">
        <f>IF(OR(ISERROR(+#REF!/($D86+$E86-$G86)*$G86+#REF!),LEFT(AB86,1)="x"),0,+#REF!/($D86+$E86-$G86)*$G86+#REF!)</f>
        <v>0</v>
      </c>
      <c r="BE86" s="7" t="e">
        <f>IF(OR(ISERROR(+AC86/($D86+$E86-$G86)*$G86+AC86),LEFT(#REF!,1)="x"),0,+AC86/($D86+$E86-$G86)*$G86+AC86)</f>
        <v>#REF!</v>
      </c>
    </row>
    <row r="87" spans="1:57">
      <c r="A87" s="555"/>
      <c r="B87" s="719" t="s">
        <v>469</v>
      </c>
      <c r="C87" s="719"/>
      <c r="D87" s="721"/>
      <c r="E87" s="719">
        <v>225</v>
      </c>
      <c r="F87" s="722"/>
      <c r="G87" s="723"/>
      <c r="H87" s="719">
        <v>225</v>
      </c>
      <c r="I87" s="724"/>
      <c r="J87" s="724"/>
      <c r="K87" s="725"/>
      <c r="L87" s="725"/>
      <c r="M87" s="725"/>
      <c r="N87" s="725"/>
      <c r="O87" s="725"/>
      <c r="P87" s="725"/>
      <c r="Q87" s="725"/>
      <c r="R87" s="726"/>
      <c r="S87" s="727"/>
      <c r="T87" s="719"/>
      <c r="U87" s="726"/>
      <c r="V87" s="726"/>
      <c r="W87" s="727"/>
      <c r="X87" s="726"/>
      <c r="Y87" s="726"/>
      <c r="Z87" s="726"/>
      <c r="AA87" s="726"/>
      <c r="AB87" s="726"/>
      <c r="AC87" s="563"/>
      <c r="AD87" s="629">
        <f t="shared" si="24"/>
        <v>225</v>
      </c>
      <c r="AE87" s="629">
        <f t="shared" si="25"/>
        <v>225</v>
      </c>
      <c r="AF87" s="634">
        <f t="shared" si="26"/>
        <v>0</v>
      </c>
      <c r="AG87" s="43">
        <f>IF(AF87=0,0,"ERROR HERE")</f>
        <v>0</v>
      </c>
      <c r="AH87" s="7">
        <f t="shared" si="3"/>
        <v>225</v>
      </c>
      <c r="AI87" s="7">
        <f t="shared" si="4"/>
        <v>0</v>
      </c>
      <c r="AJ87" s="7">
        <f t="shared" si="5"/>
        <v>0</v>
      </c>
      <c r="AK87" s="7">
        <f t="shared" si="6"/>
        <v>0</v>
      </c>
      <c r="AL87" s="7">
        <f t="shared" si="7"/>
        <v>0</v>
      </c>
      <c r="AM87" s="7">
        <f t="shared" si="8"/>
        <v>0</v>
      </c>
      <c r="AN87" s="7">
        <f t="shared" si="9"/>
        <v>0</v>
      </c>
      <c r="AO87" s="7">
        <f t="shared" si="10"/>
        <v>0</v>
      </c>
      <c r="AP87" s="7">
        <f t="shared" si="11"/>
        <v>0</v>
      </c>
      <c r="AQ87" s="7">
        <f t="shared" si="12"/>
        <v>0</v>
      </c>
      <c r="AR87" s="7">
        <f t="shared" si="13"/>
        <v>0</v>
      </c>
      <c r="AS87" s="7">
        <f t="shared" si="14"/>
        <v>0</v>
      </c>
      <c r="AT87" s="7">
        <f t="shared" si="15"/>
        <v>0</v>
      </c>
      <c r="AU87" s="7">
        <f t="shared" si="16"/>
        <v>0</v>
      </c>
      <c r="AV87" s="7">
        <f t="shared" si="17"/>
        <v>0</v>
      </c>
      <c r="AW87" s="7">
        <f t="shared" si="18"/>
        <v>0</v>
      </c>
      <c r="AX87" s="7">
        <f t="shared" si="19"/>
        <v>0</v>
      </c>
      <c r="AY87" s="7">
        <f t="shared" si="20"/>
        <v>0</v>
      </c>
      <c r="AZ87" s="7">
        <f t="shared" si="21"/>
        <v>0</v>
      </c>
      <c r="BA87" s="7">
        <f t="shared" si="22"/>
        <v>0</v>
      </c>
      <c r="BB87" s="7">
        <f t="shared" si="23"/>
        <v>0</v>
      </c>
      <c r="BC87" s="7">
        <f>IF(OR(ISERROR(+#REF!/($D87+$E87-$G87)*$G87+#REF!),LEFT(AA87,1)="x"),0,+#REF!/($D87+$E87-$G87)*$G87+#REF!)</f>
        <v>0</v>
      </c>
      <c r="BD87" s="7">
        <f>IF(OR(ISERROR(+#REF!/($D87+$E87-$G87)*$G87+#REF!),LEFT(AB87,1)="x"),0,+#REF!/($D87+$E87-$G87)*$G87+#REF!)</f>
        <v>0</v>
      </c>
      <c r="BE87" s="7" t="e">
        <f>IF(OR(ISERROR(+AC87/($D87+$E87-$G87)*$G87+AC87),LEFT(#REF!,1)="x"),0,+AC87/($D87+$E87-$G87)*$G87+AC87)</f>
        <v>#REF!</v>
      </c>
    </row>
    <row r="88" spans="1:57">
      <c r="A88" s="555"/>
      <c r="B88" s="719" t="s">
        <v>470</v>
      </c>
      <c r="C88" s="719"/>
      <c r="D88" s="721"/>
      <c r="E88" s="719">
        <v>157</v>
      </c>
      <c r="F88" s="722"/>
      <c r="G88" s="723"/>
      <c r="H88" s="719"/>
      <c r="I88" s="724"/>
      <c r="J88" s="724"/>
      <c r="K88" s="725"/>
      <c r="L88" s="725"/>
      <c r="M88" s="725"/>
      <c r="N88" s="725"/>
      <c r="O88" s="725"/>
      <c r="P88" s="725"/>
      <c r="Q88" s="725"/>
      <c r="R88" s="726"/>
      <c r="S88" s="727"/>
      <c r="T88" s="725"/>
      <c r="U88" s="726"/>
      <c r="V88" s="726"/>
      <c r="W88" s="727"/>
      <c r="X88" s="726"/>
      <c r="Y88" s="726"/>
      <c r="Z88" s="726"/>
      <c r="AA88" s="726"/>
      <c r="AB88" s="719">
        <v>157</v>
      </c>
      <c r="AC88" s="563"/>
      <c r="AD88" s="629">
        <f t="shared" si="24"/>
        <v>157</v>
      </c>
      <c r="AE88" s="629">
        <f t="shared" si="25"/>
        <v>157</v>
      </c>
      <c r="AF88" s="634">
        <f t="shared" si="26"/>
        <v>0</v>
      </c>
      <c r="AG88" s="43"/>
    </row>
    <row r="89" spans="1:57">
      <c r="A89" s="555"/>
      <c r="B89" s="719" t="s">
        <v>471</v>
      </c>
      <c r="C89" s="719"/>
      <c r="D89" s="721"/>
      <c r="E89" s="721">
        <v>55</v>
      </c>
      <c r="F89" s="728"/>
      <c r="G89" s="729"/>
      <c r="H89" s="724"/>
      <c r="I89" s="724"/>
      <c r="J89" s="724"/>
      <c r="K89" s="725"/>
      <c r="L89" s="725"/>
      <c r="M89" s="725"/>
      <c r="N89" s="725"/>
      <c r="O89" s="725"/>
      <c r="P89" s="725"/>
      <c r="Q89" s="725"/>
      <c r="R89" s="725"/>
      <c r="S89" s="725">
        <v>55</v>
      </c>
      <c r="T89" s="725"/>
      <c r="U89" s="725"/>
      <c r="V89" s="725"/>
      <c r="W89" s="725"/>
      <c r="X89" s="725"/>
      <c r="Y89" s="725"/>
      <c r="Z89" s="725"/>
      <c r="AA89" s="725"/>
      <c r="AB89" s="725"/>
      <c r="AC89" s="563"/>
      <c r="AD89" s="629">
        <f t="shared" si="24"/>
        <v>55</v>
      </c>
      <c r="AE89" s="629">
        <f t="shared" si="25"/>
        <v>55</v>
      </c>
      <c r="AF89" s="634">
        <f t="shared" si="26"/>
        <v>0</v>
      </c>
      <c r="AG89" s="43"/>
    </row>
    <row r="90" spans="1:57">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738"/>
      <c r="Y90" s="738"/>
      <c r="Z90" s="738"/>
      <c r="AA90" s="738"/>
      <c r="AB90" s="738"/>
      <c r="AC90" s="563"/>
      <c r="AD90" s="629">
        <f t="shared" si="24"/>
        <v>65</v>
      </c>
      <c r="AE90" s="629">
        <f t="shared" si="25"/>
        <v>65</v>
      </c>
      <c r="AF90" s="634">
        <f t="shared" si="26"/>
        <v>0</v>
      </c>
      <c r="AG90" s="43"/>
    </row>
    <row r="91" spans="1:57">
      <c r="A91" s="555"/>
      <c r="B91" s="605" t="s">
        <v>43</v>
      </c>
      <c r="C91" s="607"/>
      <c r="D91" s="608"/>
      <c r="E91" s="608">
        <v>35</v>
      </c>
      <c r="F91" s="608"/>
      <c r="G91" s="609"/>
      <c r="H91" s="585"/>
      <c r="I91" s="562"/>
      <c r="J91" s="562">
        <v>35</v>
      </c>
      <c r="K91" s="562"/>
      <c r="L91" s="562"/>
      <c r="M91" s="562"/>
      <c r="N91" s="602" t="s">
        <v>241</v>
      </c>
      <c r="O91" s="562"/>
      <c r="P91" s="562"/>
      <c r="Q91" s="562"/>
      <c r="R91" s="562"/>
      <c r="S91" s="562"/>
      <c r="T91" s="562"/>
      <c r="U91" s="562"/>
      <c r="V91" s="562"/>
      <c r="W91" s="562"/>
      <c r="X91" s="562"/>
      <c r="Y91" s="562"/>
      <c r="Z91" s="562"/>
      <c r="AA91" s="562"/>
      <c r="AB91" s="562"/>
      <c r="AC91" s="563"/>
      <c r="AD91" s="629">
        <f t="shared" si="24"/>
        <v>35</v>
      </c>
      <c r="AE91" s="629">
        <f t="shared" si="25"/>
        <v>35</v>
      </c>
      <c r="AF91" s="634">
        <f t="shared" si="26"/>
        <v>0</v>
      </c>
      <c r="AG91" s="43"/>
    </row>
    <row r="92" spans="1:57">
      <c r="A92" s="555"/>
      <c r="B92" s="605" t="s">
        <v>174</v>
      </c>
      <c r="C92" s="607"/>
      <c r="D92" s="739">
        <v>5.5</v>
      </c>
      <c r="E92" s="608"/>
      <c r="F92" s="609"/>
      <c r="G92" s="609"/>
      <c r="H92" s="603"/>
      <c r="I92" s="562"/>
      <c r="J92" s="562"/>
      <c r="K92" s="562"/>
      <c r="L92" s="562"/>
      <c r="M92" s="562"/>
      <c r="N92" s="562"/>
      <c r="O92" s="562"/>
      <c r="P92" s="562"/>
      <c r="Q92" s="562"/>
      <c r="R92" s="562"/>
      <c r="S92" s="562"/>
      <c r="T92" s="562"/>
      <c r="U92" s="562"/>
      <c r="V92" s="740">
        <v>5.5</v>
      </c>
      <c r="W92" s="562"/>
      <c r="X92" s="562"/>
      <c r="Y92" s="562"/>
      <c r="Z92" s="562"/>
      <c r="AA92" s="562"/>
      <c r="AB92" s="562"/>
      <c r="AC92" s="563"/>
      <c r="AD92" s="629">
        <f t="shared" si="24"/>
        <v>5.5</v>
      </c>
      <c r="AE92" s="629">
        <f t="shared" si="25"/>
        <v>5.5</v>
      </c>
      <c r="AF92" s="634">
        <f t="shared" si="26"/>
        <v>0</v>
      </c>
      <c r="AG92" s="43"/>
    </row>
    <row r="93" spans="1:57">
      <c r="A93" s="555"/>
      <c r="B93" s="719" t="s">
        <v>60</v>
      </c>
      <c r="C93" s="719"/>
      <c r="D93" s="721">
        <v>901</v>
      </c>
      <c r="E93" s="721">
        <v>-901</v>
      </c>
      <c r="F93" s="609"/>
      <c r="G93" s="609"/>
      <c r="H93" s="603"/>
      <c r="I93" s="562"/>
      <c r="J93" s="562"/>
      <c r="K93" s="562"/>
      <c r="L93" s="562"/>
      <c r="M93" s="562"/>
      <c r="N93" s="562"/>
      <c r="O93" s="562"/>
      <c r="P93" s="562"/>
      <c r="Q93" s="562"/>
      <c r="R93" s="562"/>
      <c r="S93" s="562"/>
      <c r="T93" s="562"/>
      <c r="U93" s="562"/>
      <c r="V93" s="562"/>
      <c r="W93" s="562"/>
      <c r="X93" s="562"/>
      <c r="Y93" s="562"/>
      <c r="Z93" s="562"/>
      <c r="AA93" s="562"/>
      <c r="AB93" s="562"/>
      <c r="AC93" s="563"/>
      <c r="AD93" s="629">
        <f t="shared" si="24"/>
        <v>0</v>
      </c>
      <c r="AE93" s="629">
        <f t="shared" si="25"/>
        <v>0</v>
      </c>
      <c r="AF93" s="634">
        <f t="shared" si="26"/>
        <v>0</v>
      </c>
      <c r="AG93" s="43"/>
    </row>
    <row r="94" spans="1:57">
      <c r="A94" s="555"/>
      <c r="B94" s="604"/>
      <c r="C94" s="607"/>
      <c r="D94" s="609"/>
      <c r="E94" s="608"/>
      <c r="F94" s="609"/>
      <c r="G94" s="609"/>
      <c r="H94" s="603"/>
      <c r="I94" s="562"/>
      <c r="J94" s="562"/>
      <c r="K94" s="562"/>
      <c r="L94" s="562"/>
      <c r="M94" s="562"/>
      <c r="N94" s="562"/>
      <c r="O94" s="562"/>
      <c r="P94" s="562"/>
      <c r="Q94" s="562"/>
      <c r="R94" s="562"/>
      <c r="S94" s="562"/>
      <c r="T94" s="562"/>
      <c r="U94" s="562"/>
      <c r="V94" s="562"/>
      <c r="W94" s="562"/>
      <c r="X94" s="562"/>
      <c r="Y94" s="562"/>
      <c r="Z94" s="562"/>
      <c r="AA94" s="562"/>
      <c r="AB94" s="562"/>
      <c r="AC94" s="563"/>
      <c r="AD94" s="629">
        <f t="shared" si="24"/>
        <v>0</v>
      </c>
      <c r="AE94" s="629">
        <f t="shared" si="25"/>
        <v>0</v>
      </c>
      <c r="AF94" s="634">
        <f t="shared" si="26"/>
        <v>0</v>
      </c>
      <c r="AG94" s="43"/>
    </row>
    <row r="95" spans="1:57">
      <c r="A95" s="555"/>
      <c r="B95" s="604"/>
      <c r="C95" s="607"/>
      <c r="D95" s="609"/>
      <c r="E95" s="608"/>
      <c r="F95" s="609"/>
      <c r="G95" s="609"/>
      <c r="H95" s="603"/>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24"/>
        <v>0</v>
      </c>
      <c r="AE95" s="629">
        <f t="shared" si="25"/>
        <v>0</v>
      </c>
      <c r="AF95" s="634">
        <f t="shared" si="26"/>
        <v>0</v>
      </c>
      <c r="AG95" s="43"/>
    </row>
    <row r="96" spans="1:57">
      <c r="A96" s="555"/>
      <c r="B96" s="604"/>
      <c r="C96" s="607"/>
      <c r="D96" s="609"/>
      <c r="E96" s="608"/>
      <c r="F96" s="609"/>
      <c r="G96" s="609"/>
      <c r="H96" s="603"/>
      <c r="I96" s="562"/>
      <c r="J96" s="562"/>
      <c r="K96" s="562"/>
      <c r="L96" s="562"/>
      <c r="M96" s="562"/>
      <c r="N96" s="562"/>
      <c r="O96" s="562"/>
      <c r="P96" s="562"/>
      <c r="Q96" s="562"/>
      <c r="R96" s="562"/>
      <c r="S96" s="562"/>
      <c r="T96" s="562"/>
      <c r="U96" s="562"/>
      <c r="V96" s="562"/>
      <c r="W96" s="562"/>
      <c r="X96" s="562"/>
      <c r="Y96" s="562"/>
      <c r="Z96" s="562"/>
      <c r="AA96" s="562"/>
      <c r="AB96" s="562"/>
      <c r="AC96" s="563"/>
      <c r="AD96" s="629">
        <f t="shared" si="24"/>
        <v>0</v>
      </c>
      <c r="AE96" s="629">
        <f t="shared" si="25"/>
        <v>0</v>
      </c>
      <c r="AF96" s="634">
        <f t="shared" si="26"/>
        <v>0</v>
      </c>
      <c r="AG96" s="43"/>
    </row>
    <row r="97" spans="1:33">
      <c r="A97" s="555"/>
      <c r="B97" s="604"/>
      <c r="C97" s="607"/>
      <c r="D97" s="609"/>
      <c r="E97" s="608"/>
      <c r="F97" s="609"/>
      <c r="G97" s="609"/>
      <c r="H97" s="603"/>
      <c r="I97" s="562"/>
      <c r="J97" s="562"/>
      <c r="K97" s="562"/>
      <c r="L97" s="562"/>
      <c r="M97" s="562"/>
      <c r="N97" s="562"/>
      <c r="O97" s="562"/>
      <c r="P97" s="562"/>
      <c r="Q97" s="562"/>
      <c r="R97" s="562"/>
      <c r="S97" s="562"/>
      <c r="T97" s="562"/>
      <c r="U97" s="562"/>
      <c r="V97" s="562"/>
      <c r="W97" s="562"/>
      <c r="X97" s="562"/>
      <c r="Y97" s="562"/>
      <c r="Z97" s="562"/>
      <c r="AA97" s="562"/>
      <c r="AB97" s="562"/>
      <c r="AC97" s="563"/>
      <c r="AD97" s="629">
        <f t="shared" si="24"/>
        <v>0</v>
      </c>
      <c r="AE97" s="629">
        <f t="shared" si="25"/>
        <v>0</v>
      </c>
      <c r="AF97" s="634">
        <f t="shared" si="26"/>
        <v>0</v>
      </c>
      <c r="AG97" s="43"/>
    </row>
    <row r="98" spans="1:33">
      <c r="A98" s="555"/>
      <c r="B98" s="604"/>
      <c r="C98" s="607"/>
      <c r="D98" s="609"/>
      <c r="E98" s="608"/>
      <c r="F98" s="609"/>
      <c r="G98" s="609"/>
      <c r="H98" s="603"/>
      <c r="I98" s="562"/>
      <c r="J98" s="562"/>
      <c r="K98" s="562"/>
      <c r="L98" s="562"/>
      <c r="M98" s="562"/>
      <c r="N98" s="562"/>
      <c r="O98" s="562"/>
      <c r="P98" s="562"/>
      <c r="Q98" s="562"/>
      <c r="R98" s="562"/>
      <c r="S98" s="562"/>
      <c r="T98" s="562"/>
      <c r="U98" s="562"/>
      <c r="V98" s="562"/>
      <c r="W98" s="562"/>
      <c r="X98" s="562"/>
      <c r="Y98" s="562"/>
      <c r="Z98" s="562"/>
      <c r="AA98" s="562"/>
      <c r="AB98" s="562"/>
      <c r="AC98" s="563"/>
      <c r="AD98" s="629">
        <f t="shared" si="24"/>
        <v>0</v>
      </c>
      <c r="AE98" s="629">
        <f t="shared" si="25"/>
        <v>0</v>
      </c>
      <c r="AF98" s="634">
        <f t="shared" si="26"/>
        <v>0</v>
      </c>
      <c r="AG98" s="43"/>
    </row>
    <row r="99" spans="1:33">
      <c r="A99" s="555"/>
      <c r="B99" s="604"/>
      <c r="C99" s="607"/>
      <c r="D99" s="609"/>
      <c r="E99" s="608"/>
      <c r="F99" s="609"/>
      <c r="G99" s="609"/>
      <c r="H99" s="603"/>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24"/>
        <v>0</v>
      </c>
      <c r="AE99" s="629">
        <f t="shared" si="25"/>
        <v>0</v>
      </c>
      <c r="AF99" s="634">
        <f t="shared" si="26"/>
        <v>0</v>
      </c>
      <c r="AG99" s="43"/>
    </row>
    <row r="100" spans="1:33">
      <c r="A100" s="555"/>
      <c r="B100" s="604"/>
      <c r="C100" s="607"/>
      <c r="D100" s="609"/>
      <c r="E100" s="608"/>
      <c r="F100" s="609"/>
      <c r="G100" s="609"/>
      <c r="H100" s="603"/>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24"/>
        <v>0</v>
      </c>
      <c r="AE100" s="629">
        <f t="shared" si="25"/>
        <v>0</v>
      </c>
      <c r="AF100" s="634">
        <f t="shared" si="26"/>
        <v>0</v>
      </c>
      <c r="AG100" s="43"/>
    </row>
    <row r="101" spans="1:33">
      <c r="A101" s="555"/>
      <c r="B101" s="604"/>
      <c r="C101" s="607"/>
      <c r="D101" s="609"/>
      <c r="E101" s="608"/>
      <c r="F101" s="609"/>
      <c r="G101" s="609"/>
      <c r="H101" s="603"/>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24"/>
        <v>0</v>
      </c>
      <c r="AE101" s="629">
        <f t="shared" si="25"/>
        <v>0</v>
      </c>
      <c r="AF101" s="634">
        <f t="shared" si="26"/>
        <v>0</v>
      </c>
      <c r="AG101" s="43"/>
    </row>
    <row r="102" spans="1:33">
      <c r="A102" s="555"/>
      <c r="B102" s="604"/>
      <c r="C102" s="607"/>
      <c r="D102" s="609"/>
      <c r="E102" s="608"/>
      <c r="F102" s="609"/>
      <c r="G102" s="609"/>
      <c r="H102" s="603"/>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24"/>
        <v>0</v>
      </c>
      <c r="AE102" s="629">
        <f t="shared" si="25"/>
        <v>0</v>
      </c>
      <c r="AF102" s="634">
        <f t="shared" si="26"/>
        <v>0</v>
      </c>
      <c r="AG102" s="43"/>
    </row>
    <row r="103" spans="1:33">
      <c r="A103" s="555"/>
      <c r="B103" s="604"/>
      <c r="C103" s="607"/>
      <c r="D103" s="609"/>
      <c r="E103" s="608"/>
      <c r="F103" s="609"/>
      <c r="G103" s="609"/>
      <c r="H103" s="603"/>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24"/>
        <v>0</v>
      </c>
      <c r="AE103" s="629">
        <f t="shared" si="25"/>
        <v>0</v>
      </c>
      <c r="AF103" s="634">
        <f t="shared" si="26"/>
        <v>0</v>
      </c>
      <c r="AG103" s="43"/>
    </row>
    <row r="104" spans="1:33">
      <c r="A104" s="555"/>
      <c r="B104" s="604"/>
      <c r="C104" s="607"/>
      <c r="D104" s="609"/>
      <c r="E104" s="608"/>
      <c r="F104" s="609"/>
      <c r="G104" s="609"/>
      <c r="H104" s="603"/>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24"/>
        <v>0</v>
      </c>
      <c r="AE104" s="629">
        <f t="shared" si="25"/>
        <v>0</v>
      </c>
      <c r="AF104" s="634">
        <f t="shared" si="26"/>
        <v>0</v>
      </c>
      <c r="AG104" s="43"/>
    </row>
    <row r="105" spans="1:33">
      <c r="A105" s="555"/>
      <c r="B105" s="604"/>
      <c r="C105" s="607"/>
      <c r="D105" s="609"/>
      <c r="E105" s="608"/>
      <c r="F105" s="609"/>
      <c r="G105" s="609"/>
      <c r="H105" s="603"/>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24"/>
        <v>0</v>
      </c>
      <c r="AE105" s="629">
        <f t="shared" si="25"/>
        <v>0</v>
      </c>
      <c r="AF105" s="634">
        <f t="shared" si="26"/>
        <v>0</v>
      </c>
      <c r="AG105" s="43"/>
    </row>
    <row r="106" spans="1:33">
      <c r="A106" s="555"/>
      <c r="B106" s="604"/>
      <c r="C106" s="607"/>
      <c r="D106" s="609"/>
      <c r="E106" s="608"/>
      <c r="F106" s="609"/>
      <c r="G106" s="609"/>
      <c r="H106" s="603"/>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24"/>
        <v>0</v>
      </c>
      <c r="AE106" s="629">
        <f t="shared" si="25"/>
        <v>0</v>
      </c>
      <c r="AF106" s="634">
        <f t="shared" si="26"/>
        <v>0</v>
      </c>
      <c r="AG106" s="43"/>
    </row>
    <row r="107" spans="1:33" ht="13.5" thickBot="1">
      <c r="A107" s="555"/>
      <c r="B107" s="604"/>
      <c r="C107" s="607"/>
      <c r="D107" s="609"/>
      <c r="E107" s="608"/>
      <c r="F107" s="609"/>
      <c r="G107" s="609"/>
      <c r="H107" s="603"/>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24"/>
        <v>0</v>
      </c>
      <c r="AE107" s="629">
        <f t="shared" si="25"/>
        <v>0</v>
      </c>
      <c r="AF107" s="634">
        <f t="shared" si="26"/>
        <v>0</v>
      </c>
      <c r="AG107" s="43"/>
    </row>
    <row r="108" spans="1:33" hidden="1">
      <c r="A108" s="555"/>
      <c r="B108" s="604"/>
      <c r="C108" s="607"/>
      <c r="D108" s="609"/>
      <c r="E108" s="608"/>
      <c r="F108" s="609"/>
      <c r="G108" s="609"/>
      <c r="H108" s="603"/>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24"/>
        <v>0</v>
      </c>
      <c r="AE108" s="629">
        <f t="shared" si="25"/>
        <v>0</v>
      </c>
      <c r="AF108" s="634">
        <f t="shared" si="26"/>
        <v>0</v>
      </c>
      <c r="AG108" s="43"/>
    </row>
    <row r="109" spans="1:33" hidden="1">
      <c r="A109" s="555"/>
      <c r="B109" s="604"/>
      <c r="C109" s="607"/>
      <c r="D109" s="609"/>
      <c r="E109" s="608"/>
      <c r="F109" s="609"/>
      <c r="G109" s="609"/>
      <c r="H109" s="603"/>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24"/>
        <v>0</v>
      </c>
      <c r="AE109" s="629">
        <f t="shared" si="25"/>
        <v>0</v>
      </c>
      <c r="AF109" s="634">
        <f t="shared" si="26"/>
        <v>0</v>
      </c>
      <c r="AG109" s="43"/>
    </row>
    <row r="110" spans="1:33" hidden="1">
      <c r="A110" s="555"/>
      <c r="B110" s="604"/>
      <c r="C110" s="607"/>
      <c r="D110" s="609"/>
      <c r="E110" s="608"/>
      <c r="F110" s="609"/>
      <c r="G110" s="609"/>
      <c r="H110" s="603"/>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24"/>
        <v>0</v>
      </c>
      <c r="AE110" s="629">
        <f t="shared" si="25"/>
        <v>0</v>
      </c>
      <c r="AF110" s="634">
        <f t="shared" si="26"/>
        <v>0</v>
      </c>
      <c r="AG110" s="43"/>
    </row>
    <row r="111" spans="1:33" hidden="1">
      <c r="A111" s="555"/>
      <c r="B111" s="604"/>
      <c r="C111" s="607"/>
      <c r="D111" s="609"/>
      <c r="E111" s="608"/>
      <c r="F111" s="609"/>
      <c r="G111" s="609"/>
      <c r="H111" s="603"/>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24"/>
        <v>0</v>
      </c>
      <c r="AE111" s="629">
        <f t="shared" si="25"/>
        <v>0</v>
      </c>
      <c r="AF111" s="634">
        <f t="shared" si="26"/>
        <v>0</v>
      </c>
      <c r="AG111" s="43"/>
    </row>
    <row r="112" spans="1:33" hidden="1">
      <c r="A112" s="555"/>
      <c r="B112" s="604"/>
      <c r="C112" s="607"/>
      <c r="D112" s="609"/>
      <c r="E112" s="608"/>
      <c r="F112" s="609"/>
      <c r="G112" s="609"/>
      <c r="H112" s="603"/>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24"/>
        <v>0</v>
      </c>
      <c r="AE112" s="629">
        <f t="shared" si="25"/>
        <v>0</v>
      </c>
      <c r="AF112" s="634">
        <f t="shared" si="26"/>
        <v>0</v>
      </c>
      <c r="AG112" s="43"/>
    </row>
    <row r="113" spans="1:33" hidden="1">
      <c r="A113" s="555"/>
      <c r="B113" s="604"/>
      <c r="C113" s="607"/>
      <c r="D113" s="609"/>
      <c r="E113" s="608"/>
      <c r="F113" s="609"/>
      <c r="G113" s="609"/>
      <c r="H113" s="603"/>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24"/>
        <v>0</v>
      </c>
      <c r="AE113" s="629">
        <f t="shared" si="25"/>
        <v>0</v>
      </c>
      <c r="AF113" s="634">
        <f t="shared" si="26"/>
        <v>0</v>
      </c>
      <c r="AG113" s="43"/>
    </row>
    <row r="114" spans="1:33" hidden="1">
      <c r="A114" s="555"/>
      <c r="B114" s="604"/>
      <c r="C114" s="607"/>
      <c r="D114" s="609"/>
      <c r="E114" s="608"/>
      <c r="F114" s="609"/>
      <c r="G114" s="609"/>
      <c r="H114" s="603"/>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24"/>
        <v>0</v>
      </c>
      <c r="AE114" s="629">
        <f t="shared" si="25"/>
        <v>0</v>
      </c>
      <c r="AF114" s="634">
        <f t="shared" si="26"/>
        <v>0</v>
      </c>
      <c r="AG114" s="43"/>
    </row>
    <row r="115" spans="1:33" hidden="1">
      <c r="A115" s="555"/>
      <c r="B115" s="604"/>
      <c r="C115" s="607"/>
      <c r="D115" s="609"/>
      <c r="E115" s="608"/>
      <c r="F115" s="609"/>
      <c r="G115" s="609"/>
      <c r="H115" s="603"/>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24"/>
        <v>0</v>
      </c>
      <c r="AE115" s="629">
        <f t="shared" si="25"/>
        <v>0</v>
      </c>
      <c r="AF115" s="634">
        <f t="shared" si="26"/>
        <v>0</v>
      </c>
      <c r="AG115" s="43"/>
    </row>
    <row r="116" spans="1:33" hidden="1">
      <c r="A116" s="555"/>
      <c r="B116" s="604"/>
      <c r="C116" s="607"/>
      <c r="D116" s="609"/>
      <c r="E116" s="608"/>
      <c r="F116" s="609"/>
      <c r="G116" s="609"/>
      <c r="H116" s="603"/>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24"/>
        <v>0</v>
      </c>
      <c r="AE116" s="629">
        <f t="shared" si="25"/>
        <v>0</v>
      </c>
      <c r="AF116" s="634">
        <f t="shared" si="26"/>
        <v>0</v>
      </c>
      <c r="AG116" s="43"/>
    </row>
    <row r="117" spans="1:33" hidden="1">
      <c r="A117" s="555"/>
      <c r="B117" s="604"/>
      <c r="C117" s="607"/>
      <c r="D117" s="609"/>
      <c r="E117" s="608"/>
      <c r="F117" s="609"/>
      <c r="G117" s="609"/>
      <c r="H117" s="603"/>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24"/>
        <v>0</v>
      </c>
      <c r="AE117" s="629">
        <f t="shared" si="25"/>
        <v>0</v>
      </c>
      <c r="AF117" s="634">
        <f t="shared" si="26"/>
        <v>0</v>
      </c>
      <c r="AG117" s="43"/>
    </row>
    <row r="118" spans="1:33" hidden="1">
      <c r="A118" s="555"/>
      <c r="B118" s="604"/>
      <c r="C118" s="607"/>
      <c r="D118" s="609"/>
      <c r="E118" s="608"/>
      <c r="F118" s="609"/>
      <c r="G118" s="609"/>
      <c r="H118" s="603"/>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24"/>
        <v>0</v>
      </c>
      <c r="AE118" s="629">
        <f t="shared" si="25"/>
        <v>0</v>
      </c>
      <c r="AF118" s="634">
        <f t="shared" si="26"/>
        <v>0</v>
      </c>
      <c r="AG118" s="43"/>
    </row>
    <row r="119" spans="1:33" hidden="1">
      <c r="A119" s="555"/>
      <c r="B119" s="604"/>
      <c r="C119" s="607"/>
      <c r="D119" s="609"/>
      <c r="E119" s="608"/>
      <c r="F119" s="609"/>
      <c r="G119" s="609"/>
      <c r="H119" s="603"/>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24"/>
        <v>0</v>
      </c>
      <c r="AE119" s="629">
        <f t="shared" si="25"/>
        <v>0</v>
      </c>
      <c r="AF119" s="634">
        <f t="shared" si="26"/>
        <v>0</v>
      </c>
      <c r="AG119" s="43"/>
    </row>
    <row r="120" spans="1:33" hidden="1">
      <c r="A120" s="555"/>
      <c r="B120" s="604"/>
      <c r="C120" s="607"/>
      <c r="D120" s="609"/>
      <c r="E120" s="608"/>
      <c r="F120" s="609"/>
      <c r="G120" s="609"/>
      <c r="H120" s="603"/>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24"/>
        <v>0</v>
      </c>
      <c r="AE120" s="629">
        <f t="shared" si="25"/>
        <v>0</v>
      </c>
      <c r="AF120" s="634">
        <f t="shared" si="26"/>
        <v>0</v>
      </c>
      <c r="AG120" s="43"/>
    </row>
    <row r="121" spans="1:33" hidden="1">
      <c r="A121" s="555"/>
      <c r="B121" s="604"/>
      <c r="C121" s="607"/>
      <c r="D121" s="609"/>
      <c r="E121" s="608"/>
      <c r="F121" s="609"/>
      <c r="G121" s="609"/>
      <c r="H121" s="603"/>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24"/>
        <v>0</v>
      </c>
      <c r="AE121" s="629">
        <f t="shared" si="25"/>
        <v>0</v>
      </c>
      <c r="AF121" s="634">
        <f t="shared" si="26"/>
        <v>0</v>
      </c>
      <c r="AG121" s="43"/>
    </row>
    <row r="122" spans="1:33" hidden="1">
      <c r="A122" s="555"/>
      <c r="B122" s="604"/>
      <c r="C122" s="607"/>
      <c r="D122" s="609"/>
      <c r="E122" s="608"/>
      <c r="F122" s="609"/>
      <c r="G122" s="609"/>
      <c r="H122" s="603"/>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24"/>
        <v>0</v>
      </c>
      <c r="AE122" s="629">
        <f t="shared" si="25"/>
        <v>0</v>
      </c>
      <c r="AF122" s="634">
        <f t="shared" si="26"/>
        <v>0</v>
      </c>
      <c r="AG122" s="43"/>
    </row>
    <row r="123" spans="1:33" hidden="1">
      <c r="A123" s="555"/>
      <c r="B123" s="604"/>
      <c r="C123" s="607"/>
      <c r="D123" s="609"/>
      <c r="E123" s="608"/>
      <c r="F123" s="609"/>
      <c r="G123" s="609"/>
      <c r="H123" s="603"/>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24"/>
        <v>0</v>
      </c>
      <c r="AE123" s="629">
        <f t="shared" si="25"/>
        <v>0</v>
      </c>
      <c r="AF123" s="634">
        <f t="shared" si="26"/>
        <v>0</v>
      </c>
      <c r="AG123" s="43"/>
    </row>
    <row r="124" spans="1:33" hidden="1">
      <c r="A124" s="555"/>
      <c r="B124" s="604"/>
      <c r="C124" s="607"/>
      <c r="D124" s="609"/>
      <c r="E124" s="608"/>
      <c r="F124" s="609"/>
      <c r="G124" s="609"/>
      <c r="H124" s="603"/>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24"/>
        <v>0</v>
      </c>
      <c r="AE124" s="629">
        <f t="shared" si="25"/>
        <v>0</v>
      </c>
      <c r="AF124" s="634">
        <f t="shared" si="26"/>
        <v>0</v>
      </c>
      <c r="AG124" s="43"/>
    </row>
    <row r="125" spans="1:33" hidden="1">
      <c r="A125" s="555"/>
      <c r="B125" s="604"/>
      <c r="C125" s="607"/>
      <c r="D125" s="609"/>
      <c r="E125" s="608"/>
      <c r="F125" s="609"/>
      <c r="G125" s="609"/>
      <c r="H125" s="603"/>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24"/>
        <v>0</v>
      </c>
      <c r="AE125" s="629">
        <f t="shared" si="25"/>
        <v>0</v>
      </c>
      <c r="AF125" s="634">
        <f t="shared" si="26"/>
        <v>0</v>
      </c>
      <c r="AG125" s="43"/>
    </row>
    <row r="126" spans="1:33" hidden="1">
      <c r="A126" s="555"/>
      <c r="B126" s="604"/>
      <c r="C126" s="607"/>
      <c r="D126" s="609"/>
      <c r="E126" s="608"/>
      <c r="F126" s="609"/>
      <c r="G126" s="609"/>
      <c r="H126" s="603"/>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24"/>
        <v>0</v>
      </c>
      <c r="AE126" s="629">
        <f t="shared" si="25"/>
        <v>0</v>
      </c>
      <c r="AF126" s="634">
        <f t="shared" si="26"/>
        <v>0</v>
      </c>
      <c r="AG126" s="43"/>
    </row>
    <row r="127" spans="1:33" hidden="1">
      <c r="A127" s="555"/>
      <c r="B127" s="604"/>
      <c r="C127" s="607"/>
      <c r="D127" s="609"/>
      <c r="E127" s="608"/>
      <c r="F127" s="609"/>
      <c r="G127" s="609"/>
      <c r="H127" s="603"/>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24"/>
        <v>0</v>
      </c>
      <c r="AE127" s="629">
        <f t="shared" si="25"/>
        <v>0</v>
      </c>
      <c r="AF127" s="634">
        <f t="shared" si="26"/>
        <v>0</v>
      </c>
      <c r="AG127" s="43"/>
    </row>
    <row r="128" spans="1:33" hidden="1">
      <c r="A128" s="555"/>
      <c r="B128" s="604"/>
      <c r="C128" s="607"/>
      <c r="D128" s="609"/>
      <c r="E128" s="608"/>
      <c r="F128" s="609"/>
      <c r="G128" s="609"/>
      <c r="H128" s="603"/>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24"/>
        <v>0</v>
      </c>
      <c r="AE128" s="629">
        <f t="shared" si="25"/>
        <v>0</v>
      </c>
      <c r="AF128" s="634">
        <f t="shared" si="26"/>
        <v>0</v>
      </c>
      <c r="AG128" s="43"/>
    </row>
    <row r="129" spans="1:33" hidden="1">
      <c r="A129" s="555"/>
      <c r="B129" s="604"/>
      <c r="C129" s="607"/>
      <c r="D129" s="609"/>
      <c r="E129" s="608"/>
      <c r="F129" s="609"/>
      <c r="G129" s="609"/>
      <c r="H129" s="603"/>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24"/>
        <v>0</v>
      </c>
      <c r="AE129" s="629">
        <f t="shared" si="25"/>
        <v>0</v>
      </c>
      <c r="AF129" s="634">
        <f t="shared" si="26"/>
        <v>0</v>
      </c>
      <c r="AG129" s="43"/>
    </row>
    <row r="130" spans="1:33" hidden="1">
      <c r="A130" s="555"/>
      <c r="B130" s="604"/>
      <c r="C130" s="607"/>
      <c r="D130" s="609"/>
      <c r="E130" s="608"/>
      <c r="F130" s="609"/>
      <c r="G130" s="609"/>
      <c r="H130" s="603"/>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24"/>
        <v>0</v>
      </c>
      <c r="AE130" s="629">
        <f t="shared" si="25"/>
        <v>0</v>
      </c>
      <c r="AF130" s="634">
        <f t="shared" si="26"/>
        <v>0</v>
      </c>
      <c r="AG130" s="43"/>
    </row>
    <row r="131" spans="1:33" hidden="1">
      <c r="A131" s="555"/>
      <c r="B131" s="604"/>
      <c r="C131" s="607"/>
      <c r="D131" s="609"/>
      <c r="E131" s="608"/>
      <c r="F131" s="609"/>
      <c r="G131" s="609"/>
      <c r="H131" s="603"/>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24"/>
        <v>0</v>
      </c>
      <c r="AE131" s="629">
        <f t="shared" si="25"/>
        <v>0</v>
      </c>
      <c r="AF131" s="634">
        <f t="shared" si="26"/>
        <v>0</v>
      </c>
      <c r="AG131" s="43"/>
    </row>
    <row r="132" spans="1:33" hidden="1">
      <c r="A132" s="555"/>
      <c r="B132" s="604"/>
      <c r="C132" s="607"/>
      <c r="D132" s="609"/>
      <c r="E132" s="608"/>
      <c r="F132" s="609"/>
      <c r="G132" s="609"/>
      <c r="H132" s="603"/>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24"/>
        <v>0</v>
      </c>
      <c r="AE132" s="629">
        <f t="shared" si="25"/>
        <v>0</v>
      </c>
      <c r="AF132" s="634">
        <f t="shared" si="26"/>
        <v>0</v>
      </c>
      <c r="AG132" s="43"/>
    </row>
    <row r="133" spans="1:33" hidden="1">
      <c r="A133" s="555"/>
      <c r="B133" s="604"/>
      <c r="C133" s="607"/>
      <c r="D133" s="609"/>
      <c r="E133" s="608"/>
      <c r="F133" s="609"/>
      <c r="G133" s="609"/>
      <c r="H133" s="603"/>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24"/>
        <v>0</v>
      </c>
      <c r="AE133" s="629">
        <f t="shared" si="25"/>
        <v>0</v>
      </c>
      <c r="AF133" s="634">
        <f t="shared" si="26"/>
        <v>0</v>
      </c>
      <c r="AG133" s="43"/>
    </row>
    <row r="134" spans="1:33" hidden="1">
      <c r="A134" s="555"/>
      <c r="B134" s="604"/>
      <c r="C134" s="607"/>
      <c r="D134" s="609"/>
      <c r="E134" s="608"/>
      <c r="F134" s="609"/>
      <c r="G134" s="609"/>
      <c r="H134" s="603"/>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24"/>
        <v>0</v>
      </c>
      <c r="AE134" s="629">
        <f t="shared" si="25"/>
        <v>0</v>
      </c>
      <c r="AF134" s="634">
        <f t="shared" si="26"/>
        <v>0</v>
      </c>
      <c r="AG134" s="43"/>
    </row>
    <row r="135" spans="1:33" hidden="1">
      <c r="A135" s="555"/>
      <c r="B135" s="604"/>
      <c r="C135" s="607"/>
      <c r="D135" s="609"/>
      <c r="E135" s="608"/>
      <c r="F135" s="609"/>
      <c r="G135" s="609"/>
      <c r="H135" s="603"/>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24"/>
        <v>0</v>
      </c>
      <c r="AE135" s="629">
        <f t="shared" si="25"/>
        <v>0</v>
      </c>
      <c r="AF135" s="634">
        <f t="shared" si="26"/>
        <v>0</v>
      </c>
      <c r="AG135" s="43"/>
    </row>
    <row r="136" spans="1:33" hidden="1">
      <c r="A136" s="555"/>
      <c r="B136" s="604"/>
      <c r="C136" s="607"/>
      <c r="D136" s="609"/>
      <c r="E136" s="608"/>
      <c r="F136" s="609"/>
      <c r="G136" s="609"/>
      <c r="H136" s="603"/>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24"/>
        <v>0</v>
      </c>
      <c r="AE136" s="629">
        <f t="shared" si="25"/>
        <v>0</v>
      </c>
      <c r="AF136" s="634">
        <f t="shared" si="26"/>
        <v>0</v>
      </c>
      <c r="AG136" s="43"/>
    </row>
    <row r="137" spans="1:33" hidden="1">
      <c r="A137" s="555"/>
      <c r="B137" s="604"/>
      <c r="C137" s="607"/>
      <c r="D137" s="609"/>
      <c r="E137" s="608"/>
      <c r="F137" s="609"/>
      <c r="G137" s="609"/>
      <c r="H137" s="603"/>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24"/>
        <v>0</v>
      </c>
      <c r="AE137" s="629">
        <f t="shared" si="25"/>
        <v>0</v>
      </c>
      <c r="AF137" s="634">
        <f t="shared" si="26"/>
        <v>0</v>
      </c>
      <c r="AG137" s="43"/>
    </row>
    <row r="138" spans="1:33" hidden="1">
      <c r="A138" s="555"/>
      <c r="B138" s="604"/>
      <c r="C138" s="607"/>
      <c r="D138" s="609"/>
      <c r="E138" s="608"/>
      <c r="F138" s="609"/>
      <c r="G138" s="609"/>
      <c r="H138" s="603"/>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24"/>
        <v>0</v>
      </c>
      <c r="AE138" s="629">
        <f t="shared" si="25"/>
        <v>0</v>
      </c>
      <c r="AF138" s="634">
        <f t="shared" si="26"/>
        <v>0</v>
      </c>
      <c r="AG138" s="43"/>
    </row>
    <row r="139" spans="1:33" hidden="1">
      <c r="A139" s="555"/>
      <c r="B139" s="604"/>
      <c r="C139" s="607"/>
      <c r="D139" s="609"/>
      <c r="E139" s="608"/>
      <c r="F139" s="609"/>
      <c r="G139" s="609"/>
      <c r="H139" s="603"/>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24"/>
        <v>0</v>
      </c>
      <c r="AE139" s="629">
        <f t="shared" si="25"/>
        <v>0</v>
      </c>
      <c r="AF139" s="634">
        <f t="shared" si="26"/>
        <v>0</v>
      </c>
      <c r="AG139" s="43"/>
    </row>
    <row r="140" spans="1:33" hidden="1">
      <c r="A140" s="555"/>
      <c r="B140" s="604"/>
      <c r="C140" s="607"/>
      <c r="D140" s="609"/>
      <c r="E140" s="608"/>
      <c r="F140" s="609"/>
      <c r="G140" s="609"/>
      <c r="H140" s="603"/>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24"/>
        <v>0</v>
      </c>
      <c r="AE140" s="629">
        <f t="shared" si="25"/>
        <v>0</v>
      </c>
      <c r="AF140" s="634">
        <f t="shared" si="26"/>
        <v>0</v>
      </c>
      <c r="AG140" s="43"/>
    </row>
    <row r="141" spans="1:33" hidden="1">
      <c r="A141" s="555"/>
      <c r="B141" s="604"/>
      <c r="C141" s="607"/>
      <c r="D141" s="609"/>
      <c r="E141" s="608"/>
      <c r="F141" s="609"/>
      <c r="G141" s="609"/>
      <c r="H141" s="603"/>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24"/>
        <v>0</v>
      </c>
      <c r="AE141" s="629">
        <f t="shared" si="25"/>
        <v>0</v>
      </c>
      <c r="AF141" s="634">
        <f t="shared" si="26"/>
        <v>0</v>
      </c>
      <c r="AG141" s="43"/>
    </row>
    <row r="142" spans="1:33" hidden="1">
      <c r="A142" s="555"/>
      <c r="B142" s="604"/>
      <c r="C142" s="607"/>
      <c r="D142" s="609"/>
      <c r="E142" s="608"/>
      <c r="F142" s="609"/>
      <c r="G142" s="609"/>
      <c r="H142" s="603"/>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24"/>
        <v>0</v>
      </c>
      <c r="AE142" s="629">
        <f t="shared" si="25"/>
        <v>0</v>
      </c>
      <c r="AF142" s="634">
        <f t="shared" si="26"/>
        <v>0</v>
      </c>
      <c r="AG142" s="43"/>
    </row>
    <row r="143" spans="1:33" hidden="1">
      <c r="A143" s="555"/>
      <c r="B143" s="604"/>
      <c r="C143" s="607"/>
      <c r="D143" s="609"/>
      <c r="E143" s="608"/>
      <c r="F143" s="609"/>
      <c r="G143" s="609"/>
      <c r="H143" s="603"/>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24"/>
        <v>0</v>
      </c>
      <c r="AE143" s="629">
        <f t="shared" si="25"/>
        <v>0</v>
      </c>
      <c r="AF143" s="634">
        <f t="shared" si="26"/>
        <v>0</v>
      </c>
      <c r="AG143" s="43"/>
    </row>
    <row r="144" spans="1:33" hidden="1">
      <c r="A144" s="555"/>
      <c r="B144" s="604"/>
      <c r="C144" s="607"/>
      <c r="D144" s="609"/>
      <c r="E144" s="608"/>
      <c r="F144" s="609"/>
      <c r="G144" s="609"/>
      <c r="H144" s="603"/>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si="24"/>
        <v>0</v>
      </c>
      <c r="AE144" s="629">
        <f t="shared" si="25"/>
        <v>0</v>
      </c>
      <c r="AF144" s="634">
        <f t="shared" si="26"/>
        <v>0</v>
      </c>
      <c r="AG144" s="43"/>
    </row>
    <row r="145" spans="1:57" hidden="1">
      <c r="A145" s="555"/>
      <c r="B145" s="604"/>
      <c r="C145" s="607"/>
      <c r="D145" s="609"/>
      <c r="E145" s="608"/>
      <c r="F145" s="609"/>
      <c r="G145" s="609"/>
      <c r="H145" s="603"/>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ref="AD145:AD196" si="27">SUM(G145:AC145)</f>
        <v>0</v>
      </c>
      <c r="AE145" s="629">
        <f t="shared" ref="AE145:AE196" si="28">SUM(D145:F145)</f>
        <v>0</v>
      </c>
      <c r="AF145" s="634">
        <f t="shared" ref="AF145:AF196" si="29">AD145-AE145</f>
        <v>0</v>
      </c>
      <c r="AG145" s="43"/>
    </row>
    <row r="146" spans="1:57" hidden="1">
      <c r="A146" s="555"/>
      <c r="B146" s="604"/>
      <c r="C146" s="607"/>
      <c r="D146" s="609"/>
      <c r="E146" s="608"/>
      <c r="F146" s="609"/>
      <c r="G146" s="609"/>
      <c r="H146" s="603"/>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27"/>
        <v>0</v>
      </c>
      <c r="AE146" s="629">
        <f t="shared" si="28"/>
        <v>0</v>
      </c>
      <c r="AF146" s="634">
        <f t="shared" si="29"/>
        <v>0</v>
      </c>
      <c r="AG146" s="43"/>
    </row>
    <row r="147" spans="1:57" hidden="1">
      <c r="A147" s="555"/>
      <c r="B147" s="604"/>
      <c r="C147" s="607"/>
      <c r="D147" s="609"/>
      <c r="E147" s="608"/>
      <c r="F147" s="609"/>
      <c r="G147" s="609"/>
      <c r="H147" s="603"/>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27"/>
        <v>0</v>
      </c>
      <c r="AE147" s="629">
        <f t="shared" si="28"/>
        <v>0</v>
      </c>
      <c r="AF147" s="634">
        <f t="shared" si="29"/>
        <v>0</v>
      </c>
      <c r="AG147" s="43"/>
    </row>
    <row r="148" spans="1:57" hidden="1">
      <c r="A148" s="555"/>
      <c r="B148" s="604"/>
      <c r="C148" s="607"/>
      <c r="D148" s="609"/>
      <c r="E148" s="608"/>
      <c r="F148" s="609"/>
      <c r="G148" s="609"/>
      <c r="H148" s="603"/>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27"/>
        <v>0</v>
      </c>
      <c r="AE148" s="629">
        <f t="shared" si="28"/>
        <v>0</v>
      </c>
      <c r="AF148" s="634">
        <f t="shared" si="29"/>
        <v>0</v>
      </c>
      <c r="AG148" s="43"/>
    </row>
    <row r="149" spans="1:57" hidden="1">
      <c r="A149" s="555"/>
      <c r="B149" s="604"/>
      <c r="C149" s="607"/>
      <c r="D149" s="609"/>
      <c r="E149" s="608"/>
      <c r="F149" s="609"/>
      <c r="G149" s="609"/>
      <c r="H149" s="603"/>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27"/>
        <v>0</v>
      </c>
      <c r="AE149" s="629">
        <f t="shared" si="28"/>
        <v>0</v>
      </c>
      <c r="AF149" s="634">
        <f t="shared" si="29"/>
        <v>0</v>
      </c>
      <c r="AG149" s="43"/>
    </row>
    <row r="150" spans="1:57" hidden="1">
      <c r="A150" s="555"/>
      <c r="B150" s="604"/>
      <c r="C150" s="607"/>
      <c r="D150" s="609"/>
      <c r="E150" s="608"/>
      <c r="F150" s="609"/>
      <c r="G150" s="609"/>
      <c r="H150" s="603"/>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27"/>
        <v>0</v>
      </c>
      <c r="AE150" s="629">
        <f t="shared" si="28"/>
        <v>0</v>
      </c>
      <c r="AF150" s="634">
        <f t="shared" si="29"/>
        <v>0</v>
      </c>
      <c r="AG150" s="43"/>
    </row>
    <row r="151" spans="1:57" hidden="1">
      <c r="A151" s="555"/>
      <c r="B151" s="604"/>
      <c r="C151" s="607"/>
      <c r="D151" s="609"/>
      <c r="E151" s="608"/>
      <c r="F151" s="609"/>
      <c r="G151" s="609"/>
      <c r="H151" s="603"/>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27"/>
        <v>0</v>
      </c>
      <c r="AE151" s="629">
        <f t="shared" si="28"/>
        <v>0</v>
      </c>
      <c r="AF151" s="634">
        <f t="shared" si="29"/>
        <v>0</v>
      </c>
      <c r="AG151" s="43"/>
    </row>
    <row r="152" spans="1:57" hidden="1">
      <c r="A152" s="555"/>
      <c r="B152" s="604"/>
      <c r="C152" s="607"/>
      <c r="D152" s="609"/>
      <c r="E152" s="608"/>
      <c r="F152" s="609"/>
      <c r="G152" s="609"/>
      <c r="H152" s="603"/>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27"/>
        <v>0</v>
      </c>
      <c r="AE152" s="629">
        <f t="shared" si="28"/>
        <v>0</v>
      </c>
      <c r="AF152" s="634">
        <f t="shared" si="29"/>
        <v>0</v>
      </c>
      <c r="AG152" s="43"/>
    </row>
    <row r="153" spans="1:57" hidden="1">
      <c r="A153" s="555"/>
      <c r="B153" s="604"/>
      <c r="C153" s="607"/>
      <c r="D153" s="609"/>
      <c r="E153" s="608"/>
      <c r="F153" s="609"/>
      <c r="G153" s="609"/>
      <c r="H153" s="603"/>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27"/>
        <v>0</v>
      </c>
      <c r="AE153" s="629">
        <f t="shared" si="28"/>
        <v>0</v>
      </c>
      <c r="AF153" s="634">
        <f t="shared" si="29"/>
        <v>0</v>
      </c>
      <c r="AG153" s="43"/>
    </row>
    <row r="154" spans="1:57" hidden="1">
      <c r="A154" s="555"/>
      <c r="B154" s="604"/>
      <c r="C154" s="607"/>
      <c r="D154" s="609"/>
      <c r="E154" s="608"/>
      <c r="F154" s="609"/>
      <c r="G154" s="609"/>
      <c r="H154" s="603"/>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27"/>
        <v>0</v>
      </c>
      <c r="AE154" s="629">
        <f t="shared" si="28"/>
        <v>0</v>
      </c>
      <c r="AF154" s="634">
        <f t="shared" si="29"/>
        <v>0</v>
      </c>
      <c r="AG154" s="43">
        <f>IF(AF154=0,0,"ERROR HERE")</f>
        <v>0</v>
      </c>
      <c r="AH154" s="7">
        <f t="shared" ref="AH154:AQ158" si="30">IF(OR(ISERROR(+H154/($D154+$E154-$G154)*$G154+H154),LEFT(F154,1)="x"),0,+H154/($D154+$E154-$G154)*$G154+H154)</f>
        <v>0</v>
      </c>
      <c r="AI154" s="7">
        <f t="shared" si="30"/>
        <v>0</v>
      </c>
      <c r="AJ154" s="7">
        <f t="shared" si="30"/>
        <v>0</v>
      </c>
      <c r="AK154" s="7">
        <f t="shared" si="30"/>
        <v>0</v>
      </c>
      <c r="AL154" s="7">
        <f t="shared" si="30"/>
        <v>0</v>
      </c>
      <c r="AM154" s="7">
        <f t="shared" si="30"/>
        <v>0</v>
      </c>
      <c r="AN154" s="7">
        <f t="shared" si="30"/>
        <v>0</v>
      </c>
      <c r="AO154" s="7">
        <f t="shared" si="30"/>
        <v>0</v>
      </c>
      <c r="AP154" s="7">
        <f t="shared" si="30"/>
        <v>0</v>
      </c>
      <c r="AQ154" s="7">
        <f t="shared" si="30"/>
        <v>0</v>
      </c>
      <c r="AR154" s="7">
        <f t="shared" ref="AR154:BA158" si="31">IF(OR(ISERROR(+R154/($D154+$E154-$G154)*$G154+R154),LEFT(P154,1)="x"),0,+R154/($D154+$E154-$G154)*$G154+R154)</f>
        <v>0</v>
      </c>
      <c r="AS154" s="7">
        <f t="shared" si="31"/>
        <v>0</v>
      </c>
      <c r="AT154" s="7">
        <f t="shared" si="31"/>
        <v>0</v>
      </c>
      <c r="AU154" s="7">
        <f t="shared" si="31"/>
        <v>0</v>
      </c>
      <c r="AV154" s="7">
        <f t="shared" si="31"/>
        <v>0</v>
      </c>
      <c r="AW154" s="7">
        <f t="shared" si="31"/>
        <v>0</v>
      </c>
      <c r="AX154" s="7">
        <f t="shared" si="31"/>
        <v>0</v>
      </c>
      <c r="AY154" s="7">
        <f t="shared" si="31"/>
        <v>0</v>
      </c>
      <c r="AZ154" s="7">
        <f t="shared" si="31"/>
        <v>0</v>
      </c>
      <c r="BA154" s="7">
        <f t="shared" si="31"/>
        <v>0</v>
      </c>
      <c r="BB154" s="7">
        <f>IF(OR(ISERROR(+AB154/($D154+$E154-$G154)*$G154+AB154),LEFT(Z154,1)="x"),0,+AB154/($D154+$E154-$G154)*$G154+AB154)</f>
        <v>0</v>
      </c>
      <c r="BC154" s="7">
        <f>IF(OR(ISERROR(+#REF!/($D154+$E154-$G154)*$G154+#REF!),LEFT(AA154,1)="x"),0,+#REF!/($D154+$E154-$G154)*$G154+#REF!)</f>
        <v>0</v>
      </c>
      <c r="BD154" s="7">
        <f>IF(OR(ISERROR(+#REF!/($D154+$E154-$G154)*$G154+#REF!),LEFT(AB154,1)="x"),0,+#REF!/($D154+$E154-$G154)*$G154+#REF!)</f>
        <v>0</v>
      </c>
      <c r="BE154" s="7" t="e">
        <f>IF(OR(ISERROR(+AC154/($D154+$E154-$G154)*$G154+AC154),LEFT(#REF!,1)="x"),0,+AC154/($D154+$E154-$G154)*$G154+AC154)</f>
        <v>#REF!</v>
      </c>
    </row>
    <row r="155" spans="1:57" hidden="1">
      <c r="A155" s="555"/>
      <c r="B155" s="604"/>
      <c r="C155" s="607"/>
      <c r="D155" s="609"/>
      <c r="E155" s="608"/>
      <c r="F155" s="609"/>
      <c r="G155" s="609"/>
      <c r="H155" s="603"/>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27"/>
        <v>0</v>
      </c>
      <c r="AE155" s="629">
        <f t="shared" si="28"/>
        <v>0</v>
      </c>
      <c r="AF155" s="634">
        <f t="shared" si="29"/>
        <v>0</v>
      </c>
      <c r="AG155" s="43">
        <f>IF(AF155=0,0,"ERROR HERE")</f>
        <v>0</v>
      </c>
      <c r="AH155" s="7">
        <f t="shared" si="30"/>
        <v>0</v>
      </c>
      <c r="AI155" s="7">
        <f t="shared" si="30"/>
        <v>0</v>
      </c>
      <c r="AJ155" s="7">
        <f t="shared" si="30"/>
        <v>0</v>
      </c>
      <c r="AK155" s="7">
        <f t="shared" si="30"/>
        <v>0</v>
      </c>
      <c r="AL155" s="7">
        <f t="shared" si="30"/>
        <v>0</v>
      </c>
      <c r="AM155" s="7">
        <f t="shared" si="30"/>
        <v>0</v>
      </c>
      <c r="AN155" s="7">
        <f t="shared" si="30"/>
        <v>0</v>
      </c>
      <c r="AO155" s="7">
        <f t="shared" si="30"/>
        <v>0</v>
      </c>
      <c r="AP155" s="7">
        <f t="shared" si="30"/>
        <v>0</v>
      </c>
      <c r="AQ155" s="7">
        <f t="shared" si="30"/>
        <v>0</v>
      </c>
      <c r="AR155" s="7">
        <f t="shared" si="31"/>
        <v>0</v>
      </c>
      <c r="AS155" s="7">
        <f t="shared" si="31"/>
        <v>0</v>
      </c>
      <c r="AT155" s="7">
        <f t="shared" si="31"/>
        <v>0</v>
      </c>
      <c r="AU155" s="7">
        <f t="shared" si="31"/>
        <v>0</v>
      </c>
      <c r="AV155" s="7">
        <f t="shared" si="31"/>
        <v>0</v>
      </c>
      <c r="AW155" s="7">
        <f t="shared" si="31"/>
        <v>0</v>
      </c>
      <c r="AX155" s="7">
        <f t="shared" si="31"/>
        <v>0</v>
      </c>
      <c r="AY155" s="7">
        <f t="shared" si="31"/>
        <v>0</v>
      </c>
      <c r="AZ155" s="7">
        <f t="shared" si="31"/>
        <v>0</v>
      </c>
      <c r="BA155" s="7">
        <f t="shared" si="31"/>
        <v>0</v>
      </c>
      <c r="BB155" s="7">
        <f>IF(OR(ISERROR(+AB155/($D155+$E155-$G155)*$G155+AB155),LEFT(Z155,1)="x"),0,+AB155/($D155+$E155-$G155)*$G155+AB155)</f>
        <v>0</v>
      </c>
      <c r="BC155" s="7">
        <f>IF(OR(ISERROR(+#REF!/($D155+$E155-$G155)*$G155+#REF!),LEFT(AA155,1)="x"),0,+#REF!/($D155+$E155-$G155)*$G155+#REF!)</f>
        <v>0</v>
      </c>
      <c r="BD155" s="7">
        <f>IF(OR(ISERROR(+#REF!/($D155+$E155-$G155)*$G155+#REF!),LEFT(AB155,1)="x"),0,+#REF!/($D155+$E155-$G155)*$G155+#REF!)</f>
        <v>0</v>
      </c>
      <c r="BE155" s="7" t="e">
        <f>IF(OR(ISERROR(+AC155/($D155+$E155-$G155)*$G155+AC155),LEFT(#REF!,1)="x"),0,+AC155/($D155+$E155-$G155)*$G155+AC155)</f>
        <v>#REF!</v>
      </c>
    </row>
    <row r="156" spans="1:57" hidden="1">
      <c r="A156" s="555"/>
      <c r="B156" s="604"/>
      <c r="C156" s="607"/>
      <c r="D156" s="609"/>
      <c r="E156" s="608"/>
      <c r="F156" s="609"/>
      <c r="G156" s="609"/>
      <c r="H156" s="603"/>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27"/>
        <v>0</v>
      </c>
      <c r="AE156" s="629">
        <f t="shared" si="28"/>
        <v>0</v>
      </c>
      <c r="AF156" s="634">
        <f t="shared" si="29"/>
        <v>0</v>
      </c>
      <c r="AG156" s="43">
        <f>IF(AF156=0,0,"ERROR HERE")</f>
        <v>0</v>
      </c>
      <c r="AH156" s="7">
        <f t="shared" si="30"/>
        <v>0</v>
      </c>
      <c r="AI156" s="7">
        <f t="shared" si="30"/>
        <v>0</v>
      </c>
      <c r="AJ156" s="7">
        <f t="shared" si="30"/>
        <v>0</v>
      </c>
      <c r="AK156" s="7">
        <f t="shared" si="30"/>
        <v>0</v>
      </c>
      <c r="AL156" s="7">
        <f t="shared" si="30"/>
        <v>0</v>
      </c>
      <c r="AM156" s="7">
        <f t="shared" si="30"/>
        <v>0</v>
      </c>
      <c r="AN156" s="7">
        <f t="shared" si="30"/>
        <v>0</v>
      </c>
      <c r="AO156" s="7">
        <f t="shared" si="30"/>
        <v>0</v>
      </c>
      <c r="AP156" s="7">
        <f t="shared" si="30"/>
        <v>0</v>
      </c>
      <c r="AQ156" s="7">
        <f t="shared" si="30"/>
        <v>0</v>
      </c>
      <c r="AR156" s="7">
        <f t="shared" si="31"/>
        <v>0</v>
      </c>
      <c r="AS156" s="7">
        <f t="shared" si="31"/>
        <v>0</v>
      </c>
      <c r="AT156" s="7">
        <f t="shared" si="31"/>
        <v>0</v>
      </c>
      <c r="AU156" s="7">
        <f t="shared" si="31"/>
        <v>0</v>
      </c>
      <c r="AV156" s="7">
        <f t="shared" si="31"/>
        <v>0</v>
      </c>
      <c r="AW156" s="7">
        <f t="shared" si="31"/>
        <v>0</v>
      </c>
      <c r="AX156" s="7">
        <f t="shared" si="31"/>
        <v>0</v>
      </c>
      <c r="AY156" s="7">
        <f t="shared" si="31"/>
        <v>0</v>
      </c>
      <c r="AZ156" s="7">
        <f t="shared" si="31"/>
        <v>0</v>
      </c>
      <c r="BA156" s="7">
        <f t="shared" si="31"/>
        <v>0</v>
      </c>
      <c r="BB156" s="7">
        <f>IF(OR(ISERROR(+AB156/($D156+$E156-$G156)*$G156+AB156),LEFT(Z156,1)="x"),0,+AB156/($D156+$E156-$G156)*$G156+AB156)</f>
        <v>0</v>
      </c>
      <c r="BC156" s="7">
        <f>IF(OR(ISERROR(+#REF!/($D156+$E156-$G156)*$G156+#REF!),LEFT(AA156,1)="x"),0,+#REF!/($D156+$E156-$G156)*$G156+#REF!)</f>
        <v>0</v>
      </c>
      <c r="BD156" s="7">
        <f>IF(OR(ISERROR(+#REF!/($D156+$E156-$G156)*$G156+#REF!),LEFT(AB156,1)="x"),0,+#REF!/($D156+$E156-$G156)*$G156+#REF!)</f>
        <v>0</v>
      </c>
      <c r="BE156" s="7" t="e">
        <f>IF(OR(ISERROR(+AC156/($D156+$E156-$G156)*$G156+AC156),LEFT(#REF!,1)="x"),0,+AC156/($D156+$E156-$G156)*$G156+AC156)</f>
        <v>#REF!</v>
      </c>
    </row>
    <row r="157" spans="1:57" hidden="1">
      <c r="A157" s="555"/>
      <c r="B157" s="604"/>
      <c r="C157" s="607"/>
      <c r="D157" s="609"/>
      <c r="E157" s="608"/>
      <c r="F157" s="609"/>
      <c r="G157" s="609"/>
      <c r="H157" s="603"/>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27"/>
        <v>0</v>
      </c>
      <c r="AE157" s="629">
        <f t="shared" si="28"/>
        <v>0</v>
      </c>
      <c r="AF157" s="634">
        <f t="shared" si="29"/>
        <v>0</v>
      </c>
      <c r="AG157" s="43">
        <f>IF(AF157=0,0,"ERROR HERE")</f>
        <v>0</v>
      </c>
      <c r="AH157" s="7">
        <f t="shared" si="30"/>
        <v>0</v>
      </c>
      <c r="AI157" s="7">
        <f t="shared" si="30"/>
        <v>0</v>
      </c>
      <c r="AJ157" s="7">
        <f t="shared" si="30"/>
        <v>0</v>
      </c>
      <c r="AK157" s="7">
        <f t="shared" si="30"/>
        <v>0</v>
      </c>
      <c r="AL157" s="7">
        <f t="shared" si="30"/>
        <v>0</v>
      </c>
      <c r="AM157" s="7">
        <f t="shared" si="30"/>
        <v>0</v>
      </c>
      <c r="AN157" s="7">
        <f t="shared" si="30"/>
        <v>0</v>
      </c>
      <c r="AO157" s="7">
        <f t="shared" si="30"/>
        <v>0</v>
      </c>
      <c r="AP157" s="7">
        <f t="shared" si="30"/>
        <v>0</v>
      </c>
      <c r="AQ157" s="7">
        <f t="shared" si="30"/>
        <v>0</v>
      </c>
      <c r="AR157" s="7">
        <f t="shared" si="31"/>
        <v>0</v>
      </c>
      <c r="AS157" s="7">
        <f t="shared" si="31"/>
        <v>0</v>
      </c>
      <c r="AT157" s="7">
        <f t="shared" si="31"/>
        <v>0</v>
      </c>
      <c r="AU157" s="7">
        <f t="shared" si="31"/>
        <v>0</v>
      </c>
      <c r="AV157" s="7">
        <f t="shared" si="31"/>
        <v>0</v>
      </c>
      <c r="AW157" s="7">
        <f t="shared" si="31"/>
        <v>0</v>
      </c>
      <c r="AX157" s="7">
        <f t="shared" si="31"/>
        <v>0</v>
      </c>
      <c r="AY157" s="7">
        <f t="shared" si="31"/>
        <v>0</v>
      </c>
      <c r="AZ157" s="7">
        <f t="shared" si="31"/>
        <v>0</v>
      </c>
      <c r="BA157" s="7">
        <f t="shared" si="31"/>
        <v>0</v>
      </c>
      <c r="BB157" s="7">
        <f>IF(OR(ISERROR(+AB157/($D157+$E157-$G157)*$G157+AB157),LEFT(Z157,1)="x"),0,+AB157/($D157+$E157-$G157)*$G157+AB157)</f>
        <v>0</v>
      </c>
      <c r="BC157" s="7">
        <f>IF(OR(ISERROR(+#REF!/($D157+$E157-$G157)*$G157+#REF!),LEFT(AA157,1)="x"),0,+#REF!/($D157+$E157-$G157)*$G157+#REF!)</f>
        <v>0</v>
      </c>
      <c r="BD157" s="7">
        <f>IF(OR(ISERROR(+#REF!/($D157+$E157-$G157)*$G157+#REF!),LEFT(AB157,1)="x"),0,+#REF!/($D157+$E157-$G157)*$G157+#REF!)</f>
        <v>0</v>
      </c>
      <c r="BE157" s="7" t="e">
        <f>IF(OR(ISERROR(+AC157/($D157+$E157-$G157)*$G157+AC157),LEFT(#REF!,1)="x"),0,+AC157/($D157+$E157-$G157)*$G157+AC157)</f>
        <v>#REF!</v>
      </c>
    </row>
    <row r="158" spans="1:57" hidden="1">
      <c r="A158" s="555"/>
      <c r="B158" s="604"/>
      <c r="C158" s="607"/>
      <c r="D158" s="609"/>
      <c r="E158" s="608"/>
      <c r="F158" s="609"/>
      <c r="G158" s="609"/>
      <c r="H158" s="603"/>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27"/>
        <v>0</v>
      </c>
      <c r="AE158" s="629">
        <f t="shared" si="28"/>
        <v>0</v>
      </c>
      <c r="AF158" s="634">
        <f t="shared" si="29"/>
        <v>0</v>
      </c>
      <c r="AG158" s="43">
        <f>IF(AF158=0,0,"ERROR HERE")</f>
        <v>0</v>
      </c>
      <c r="AH158" s="7">
        <f t="shared" si="30"/>
        <v>0</v>
      </c>
      <c r="AI158" s="7">
        <f t="shared" si="30"/>
        <v>0</v>
      </c>
      <c r="AJ158" s="7">
        <f t="shared" si="30"/>
        <v>0</v>
      </c>
      <c r="AK158" s="7">
        <f t="shared" si="30"/>
        <v>0</v>
      </c>
      <c r="AL158" s="7">
        <f t="shared" si="30"/>
        <v>0</v>
      </c>
      <c r="AM158" s="7">
        <f t="shared" si="30"/>
        <v>0</v>
      </c>
      <c r="AN158" s="7">
        <f t="shared" si="30"/>
        <v>0</v>
      </c>
      <c r="AO158" s="7">
        <f t="shared" si="30"/>
        <v>0</v>
      </c>
      <c r="AP158" s="7">
        <f t="shared" si="30"/>
        <v>0</v>
      </c>
      <c r="AQ158" s="7">
        <f t="shared" si="30"/>
        <v>0</v>
      </c>
      <c r="AR158" s="7">
        <f t="shared" si="31"/>
        <v>0</v>
      </c>
      <c r="AS158" s="7">
        <f t="shared" si="31"/>
        <v>0</v>
      </c>
      <c r="AT158" s="7">
        <f t="shared" si="31"/>
        <v>0</v>
      </c>
      <c r="AU158" s="7">
        <f t="shared" si="31"/>
        <v>0</v>
      </c>
      <c r="AV158" s="7">
        <f t="shared" si="31"/>
        <v>0</v>
      </c>
      <c r="AW158" s="7">
        <f t="shared" si="31"/>
        <v>0</v>
      </c>
      <c r="AX158" s="7">
        <f t="shared" si="31"/>
        <v>0</v>
      </c>
      <c r="AY158" s="7">
        <f t="shared" si="31"/>
        <v>0</v>
      </c>
      <c r="AZ158" s="7">
        <f t="shared" si="31"/>
        <v>0</v>
      </c>
      <c r="BA158" s="7">
        <f t="shared" si="31"/>
        <v>0</v>
      </c>
      <c r="BB158" s="7">
        <f>IF(OR(ISERROR(+AB158/($D158+$E158-$G158)*$G158+AB158),LEFT(Z158,1)="x"),0,+AB158/($D158+$E158-$G158)*$G158+AB158)</f>
        <v>0</v>
      </c>
      <c r="BC158" s="7">
        <f>IF(OR(ISERROR(+#REF!/($D158+$E158-$G158)*$G158+#REF!),LEFT(AA158,1)="x"),0,+#REF!/($D158+$E158-$G158)*$G158+#REF!)</f>
        <v>0</v>
      </c>
      <c r="BD158" s="7">
        <f>IF(OR(ISERROR(+#REF!/($D158+$E158-$G158)*$G158+#REF!),LEFT(AB158,1)="x"),0,+#REF!/($D158+$E158-$G158)*$G158+#REF!)</f>
        <v>0</v>
      </c>
      <c r="BE158" s="7" t="e">
        <f>IF(OR(ISERROR(+AC158/($D158+$E158-$G158)*$G158+AC158),LEFT(#REF!,1)="x"),0,+AC158/($D158+$E158-$G158)*$G158+AC158)</f>
        <v>#REF!</v>
      </c>
    </row>
    <row r="159" spans="1:57" hidden="1">
      <c r="A159" s="555"/>
      <c r="B159" s="604"/>
      <c r="C159" s="607"/>
      <c r="D159" s="609"/>
      <c r="E159" s="608"/>
      <c r="F159" s="609"/>
      <c r="G159" s="609"/>
      <c r="H159" s="603"/>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27"/>
        <v>0</v>
      </c>
      <c r="AE159" s="629">
        <f t="shared" si="28"/>
        <v>0</v>
      </c>
      <c r="AF159" s="634">
        <f t="shared" si="29"/>
        <v>0</v>
      </c>
      <c r="AG159" s="43"/>
    </row>
    <row r="160" spans="1:57" hidden="1">
      <c r="A160" s="555"/>
      <c r="B160" s="604"/>
      <c r="C160" s="607"/>
      <c r="D160" s="609"/>
      <c r="E160" s="608"/>
      <c r="F160" s="609"/>
      <c r="G160" s="609"/>
      <c r="H160" s="603"/>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27"/>
        <v>0</v>
      </c>
      <c r="AE160" s="629">
        <f t="shared" si="28"/>
        <v>0</v>
      </c>
      <c r="AF160" s="634">
        <f t="shared" si="29"/>
        <v>0</v>
      </c>
      <c r="AG160" s="43"/>
    </row>
    <row r="161" spans="1:57" hidden="1">
      <c r="A161" s="555"/>
      <c r="B161" s="604"/>
      <c r="C161" s="607"/>
      <c r="D161" s="609"/>
      <c r="E161" s="608"/>
      <c r="F161" s="609"/>
      <c r="G161" s="609"/>
      <c r="H161" s="603"/>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27"/>
        <v>0</v>
      </c>
      <c r="AE161" s="629">
        <f t="shared" si="28"/>
        <v>0</v>
      </c>
      <c r="AF161" s="634">
        <f t="shared" si="29"/>
        <v>0</v>
      </c>
      <c r="AG161" s="43"/>
    </row>
    <row r="162" spans="1:57" hidden="1">
      <c r="A162" s="555"/>
      <c r="B162" s="604"/>
      <c r="C162" s="607"/>
      <c r="D162" s="609"/>
      <c r="E162" s="608"/>
      <c r="F162" s="609"/>
      <c r="G162" s="609"/>
      <c r="H162" s="603"/>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27"/>
        <v>0</v>
      </c>
      <c r="AE162" s="629">
        <f t="shared" si="28"/>
        <v>0</v>
      </c>
      <c r="AF162" s="634">
        <f t="shared" si="29"/>
        <v>0</v>
      </c>
      <c r="AG162" s="43"/>
    </row>
    <row r="163" spans="1:57" hidden="1">
      <c r="A163" s="555"/>
      <c r="B163" s="604"/>
      <c r="C163" s="607"/>
      <c r="D163" s="609"/>
      <c r="E163" s="608"/>
      <c r="F163" s="609"/>
      <c r="G163" s="609"/>
      <c r="H163" s="603"/>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27"/>
        <v>0</v>
      </c>
      <c r="AE163" s="629">
        <f t="shared" si="28"/>
        <v>0</v>
      </c>
      <c r="AF163" s="634">
        <f t="shared" si="29"/>
        <v>0</v>
      </c>
      <c r="AG163" s="43"/>
    </row>
    <row r="164" spans="1:57" hidden="1">
      <c r="A164" s="555"/>
      <c r="B164" s="604"/>
      <c r="C164" s="607"/>
      <c r="D164" s="609"/>
      <c r="E164" s="608"/>
      <c r="F164" s="609"/>
      <c r="G164" s="609"/>
      <c r="H164" s="603"/>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27"/>
        <v>0</v>
      </c>
      <c r="AE164" s="629">
        <f t="shared" si="28"/>
        <v>0</v>
      </c>
      <c r="AF164" s="634">
        <f t="shared" si="29"/>
        <v>0</v>
      </c>
      <c r="AG164" s="43"/>
    </row>
    <row r="165" spans="1:57" hidden="1">
      <c r="A165" s="555"/>
      <c r="B165" s="604"/>
      <c r="C165" s="607"/>
      <c r="D165" s="609"/>
      <c r="E165" s="608"/>
      <c r="F165" s="609"/>
      <c r="G165" s="609"/>
      <c r="H165" s="603"/>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27"/>
        <v>0</v>
      </c>
      <c r="AE165" s="629">
        <f t="shared" si="28"/>
        <v>0</v>
      </c>
      <c r="AF165" s="634">
        <f t="shared" si="29"/>
        <v>0</v>
      </c>
      <c r="AG165" s="43"/>
    </row>
    <row r="166" spans="1:57" hidden="1">
      <c r="A166" s="555"/>
      <c r="B166" s="604"/>
      <c r="C166" s="607"/>
      <c r="D166" s="609"/>
      <c r="E166" s="608"/>
      <c r="F166" s="609"/>
      <c r="G166" s="609"/>
      <c r="H166" s="603"/>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27"/>
        <v>0</v>
      </c>
      <c r="AE166" s="629">
        <f t="shared" si="28"/>
        <v>0</v>
      </c>
      <c r="AF166" s="634">
        <f t="shared" si="29"/>
        <v>0</v>
      </c>
      <c r="AG166" s="43"/>
    </row>
    <row r="167" spans="1:57" hidden="1">
      <c r="A167" s="555"/>
      <c r="B167" s="604"/>
      <c r="C167" s="607"/>
      <c r="D167" s="609"/>
      <c r="E167" s="608"/>
      <c r="F167" s="609"/>
      <c r="G167" s="609"/>
      <c r="H167" s="603"/>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27"/>
        <v>0</v>
      </c>
      <c r="AE167" s="629">
        <f t="shared" si="28"/>
        <v>0</v>
      </c>
      <c r="AF167" s="634">
        <f t="shared" si="29"/>
        <v>0</v>
      </c>
      <c r="AG167" s="43"/>
    </row>
    <row r="168" spans="1:57" hidden="1">
      <c r="A168" s="555"/>
      <c r="B168" s="604"/>
      <c r="C168" s="607"/>
      <c r="D168" s="609"/>
      <c r="E168" s="608"/>
      <c r="F168" s="609"/>
      <c r="G168" s="609"/>
      <c r="H168" s="603"/>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27"/>
        <v>0</v>
      </c>
      <c r="AE168" s="629">
        <f t="shared" si="28"/>
        <v>0</v>
      </c>
      <c r="AF168" s="634">
        <f t="shared" si="29"/>
        <v>0</v>
      </c>
      <c r="AG168" s="43"/>
    </row>
    <row r="169" spans="1:57" hidden="1">
      <c r="A169" s="555"/>
      <c r="B169" s="604"/>
      <c r="C169" s="607"/>
      <c r="D169" s="609"/>
      <c r="E169" s="608"/>
      <c r="F169" s="609"/>
      <c r="G169" s="609"/>
      <c r="H169" s="603"/>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27"/>
        <v>0</v>
      </c>
      <c r="AE169" s="629">
        <f t="shared" si="28"/>
        <v>0</v>
      </c>
      <c r="AF169" s="634">
        <f t="shared" si="29"/>
        <v>0</v>
      </c>
      <c r="AG169" s="43"/>
    </row>
    <row r="170" spans="1:57" hidden="1">
      <c r="A170" s="555"/>
      <c r="B170" s="604"/>
      <c r="C170" s="607"/>
      <c r="D170" s="609"/>
      <c r="E170" s="608"/>
      <c r="F170" s="609"/>
      <c r="G170" s="609"/>
      <c r="H170" s="603"/>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27"/>
        <v>0</v>
      </c>
      <c r="AE170" s="629">
        <f t="shared" si="28"/>
        <v>0</v>
      </c>
      <c r="AF170" s="634">
        <f t="shared" si="29"/>
        <v>0</v>
      </c>
      <c r="AG170" s="43"/>
    </row>
    <row r="171" spans="1:57" hidden="1">
      <c r="A171" s="555"/>
      <c r="B171" s="604"/>
      <c r="C171" s="607"/>
      <c r="D171" s="609"/>
      <c r="E171" s="608"/>
      <c r="F171" s="609"/>
      <c r="G171" s="609"/>
      <c r="H171" s="603"/>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27"/>
        <v>0</v>
      </c>
      <c r="AE171" s="629">
        <f t="shared" si="28"/>
        <v>0</v>
      </c>
      <c r="AF171" s="634">
        <f t="shared" si="29"/>
        <v>0</v>
      </c>
      <c r="AG171" s="43"/>
    </row>
    <row r="172" spans="1:57" hidden="1">
      <c r="A172" s="555"/>
      <c r="B172" s="604"/>
      <c r="C172" s="607"/>
      <c r="D172" s="609"/>
      <c r="E172" s="608"/>
      <c r="F172" s="609"/>
      <c r="G172" s="609"/>
      <c r="H172" s="603"/>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27"/>
        <v>0</v>
      </c>
      <c r="AE172" s="629">
        <f t="shared" si="28"/>
        <v>0</v>
      </c>
      <c r="AF172" s="634">
        <f t="shared" si="29"/>
        <v>0</v>
      </c>
      <c r="AG172" s="43"/>
    </row>
    <row r="173" spans="1:57" hidden="1">
      <c r="A173" s="555"/>
      <c r="B173" s="604"/>
      <c r="C173" s="607"/>
      <c r="D173" s="609"/>
      <c r="E173" s="608"/>
      <c r="F173" s="609"/>
      <c r="G173" s="609"/>
      <c r="H173" s="603"/>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27"/>
        <v>0</v>
      </c>
      <c r="AE173" s="629">
        <f t="shared" si="28"/>
        <v>0</v>
      </c>
      <c r="AF173" s="634">
        <f t="shared" si="29"/>
        <v>0</v>
      </c>
      <c r="AG173" s="43"/>
    </row>
    <row r="174" spans="1:57" hidden="1">
      <c r="A174" s="555"/>
      <c r="B174" s="604"/>
      <c r="C174" s="607"/>
      <c r="D174" s="609"/>
      <c r="E174" s="608"/>
      <c r="F174" s="609"/>
      <c r="G174" s="609"/>
      <c r="H174" s="603"/>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27"/>
        <v>0</v>
      </c>
      <c r="AE174" s="629">
        <f t="shared" si="28"/>
        <v>0</v>
      </c>
      <c r="AF174" s="634">
        <f t="shared" si="29"/>
        <v>0</v>
      </c>
      <c r="AG174" s="43"/>
    </row>
    <row r="175" spans="1:57" hidden="1">
      <c r="A175" s="555"/>
      <c r="B175" s="604"/>
      <c r="C175" s="607"/>
      <c r="D175" s="609"/>
      <c r="E175" s="608"/>
      <c r="F175" s="609"/>
      <c r="G175" s="609"/>
      <c r="H175" s="603"/>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27"/>
        <v>0</v>
      </c>
      <c r="AE175" s="629">
        <f t="shared" si="28"/>
        <v>0</v>
      </c>
      <c r="AF175" s="634">
        <f t="shared" si="29"/>
        <v>0</v>
      </c>
      <c r="AG175" s="43"/>
    </row>
    <row r="176" spans="1:57" hidden="1">
      <c r="A176" s="555"/>
      <c r="B176" s="604"/>
      <c r="C176" s="607"/>
      <c r="D176" s="609"/>
      <c r="E176" s="608"/>
      <c r="F176" s="609"/>
      <c r="G176" s="609"/>
      <c r="H176" s="603"/>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27"/>
        <v>0</v>
      </c>
      <c r="AE176" s="629">
        <f t="shared" si="28"/>
        <v>0</v>
      </c>
      <c r="AF176" s="634">
        <f t="shared" si="29"/>
        <v>0</v>
      </c>
      <c r="AG176" s="43">
        <f>IF(AF176=0,0,"ERROR HERE")</f>
        <v>0</v>
      </c>
      <c r="AH176" s="7">
        <f t="shared" ref="AH176:BB176" si="32">IF(OR(ISERROR(+H176/($D176+$E176-$G176)*$G176+H176),LEFT(F176,1)="x"),0,+H176/($D176+$E176-$G176)*$G176+H176)</f>
        <v>0</v>
      </c>
      <c r="AI176" s="7">
        <f t="shared" si="32"/>
        <v>0</v>
      </c>
      <c r="AJ176" s="7">
        <f t="shared" si="32"/>
        <v>0</v>
      </c>
      <c r="AK176" s="7">
        <f t="shared" si="32"/>
        <v>0</v>
      </c>
      <c r="AL176" s="7">
        <f t="shared" si="32"/>
        <v>0</v>
      </c>
      <c r="AM176" s="7">
        <f t="shared" si="32"/>
        <v>0</v>
      </c>
      <c r="AN176" s="7">
        <f t="shared" si="32"/>
        <v>0</v>
      </c>
      <c r="AO176" s="7">
        <f t="shared" si="32"/>
        <v>0</v>
      </c>
      <c r="AP176" s="7">
        <f t="shared" si="32"/>
        <v>0</v>
      </c>
      <c r="AQ176" s="7">
        <f t="shared" si="32"/>
        <v>0</v>
      </c>
      <c r="AR176" s="7">
        <f t="shared" si="32"/>
        <v>0</v>
      </c>
      <c r="AS176" s="7">
        <f t="shared" si="32"/>
        <v>0</v>
      </c>
      <c r="AT176" s="7">
        <f t="shared" si="32"/>
        <v>0</v>
      </c>
      <c r="AU176" s="7">
        <f t="shared" si="32"/>
        <v>0</v>
      </c>
      <c r="AV176" s="7">
        <f t="shared" si="32"/>
        <v>0</v>
      </c>
      <c r="AW176" s="7">
        <f t="shared" si="32"/>
        <v>0</v>
      </c>
      <c r="AX176" s="7">
        <f t="shared" si="32"/>
        <v>0</v>
      </c>
      <c r="AY176" s="7">
        <f t="shared" si="32"/>
        <v>0</v>
      </c>
      <c r="AZ176" s="7">
        <f t="shared" si="32"/>
        <v>0</v>
      </c>
      <c r="BA176" s="7">
        <f t="shared" si="32"/>
        <v>0</v>
      </c>
      <c r="BB176" s="7">
        <f t="shared" si="32"/>
        <v>0</v>
      </c>
      <c r="BC176" s="7">
        <f>IF(OR(ISERROR(+#REF!/($D176+$E176-$G176)*$G176+#REF!),LEFT(AA176,1)="x"),0,+#REF!/($D176+$E176-$G176)*$G176+#REF!)</f>
        <v>0</v>
      </c>
      <c r="BD176" s="7">
        <f>IF(OR(ISERROR(+#REF!/($D176+$E176-$G176)*$G176+#REF!),LEFT(AB176,1)="x"),0,+#REF!/($D176+$E176-$G176)*$G176+#REF!)</f>
        <v>0</v>
      </c>
      <c r="BE176" s="7" t="e">
        <f>IF(OR(ISERROR(+AC176/($D176+$E176-$G176)*$G176+AC176),LEFT(#REF!,1)="x"),0,+AC176/($D176+$E176-$G176)*$G176+AC176)</f>
        <v>#REF!</v>
      </c>
    </row>
    <row r="177" spans="1:57" hidden="1">
      <c r="A177" s="555"/>
      <c r="B177" s="604"/>
      <c r="C177" s="607"/>
      <c r="D177" s="609"/>
      <c r="E177" s="608"/>
      <c r="F177" s="609"/>
      <c r="G177" s="609"/>
      <c r="H177" s="603"/>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27"/>
        <v>0</v>
      </c>
      <c r="AE177" s="629">
        <f t="shared" si="28"/>
        <v>0</v>
      </c>
      <c r="AF177" s="634">
        <f t="shared" si="29"/>
        <v>0</v>
      </c>
      <c r="AG177" s="43"/>
    </row>
    <row r="178" spans="1:57" hidden="1">
      <c r="A178" s="555"/>
      <c r="B178" s="604"/>
      <c r="C178" s="607"/>
      <c r="D178" s="609"/>
      <c r="E178" s="608"/>
      <c r="F178" s="609"/>
      <c r="G178" s="609"/>
      <c r="H178" s="603"/>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27"/>
        <v>0</v>
      </c>
      <c r="AE178" s="629">
        <f t="shared" si="28"/>
        <v>0</v>
      </c>
      <c r="AF178" s="634">
        <f t="shared" si="29"/>
        <v>0</v>
      </c>
      <c r="AG178" s="43"/>
    </row>
    <row r="179" spans="1:57" hidden="1">
      <c r="A179" s="555"/>
      <c r="B179" s="604"/>
      <c r="C179" s="607"/>
      <c r="D179" s="609"/>
      <c r="E179" s="608"/>
      <c r="F179" s="609"/>
      <c r="G179" s="609"/>
      <c r="H179" s="603"/>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27"/>
        <v>0</v>
      </c>
      <c r="AE179" s="629">
        <f t="shared" si="28"/>
        <v>0</v>
      </c>
      <c r="AF179" s="634">
        <f t="shared" si="29"/>
        <v>0</v>
      </c>
      <c r="AG179" s="43"/>
    </row>
    <row r="180" spans="1:57" hidden="1">
      <c r="A180" s="555"/>
      <c r="B180" s="604"/>
      <c r="C180" s="607"/>
      <c r="D180" s="609"/>
      <c r="E180" s="608"/>
      <c r="F180" s="609"/>
      <c r="G180" s="609"/>
      <c r="H180" s="603"/>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27"/>
        <v>0</v>
      </c>
      <c r="AE180" s="629">
        <f t="shared" si="28"/>
        <v>0</v>
      </c>
      <c r="AF180" s="634">
        <f t="shared" si="29"/>
        <v>0</v>
      </c>
      <c r="AG180" s="43"/>
    </row>
    <row r="181" spans="1:57" hidden="1">
      <c r="A181" s="555"/>
      <c r="B181" s="604"/>
      <c r="C181" s="607"/>
      <c r="D181" s="609"/>
      <c r="E181" s="608"/>
      <c r="F181" s="609"/>
      <c r="G181" s="609"/>
      <c r="H181" s="603"/>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27"/>
        <v>0</v>
      </c>
      <c r="AE181" s="629">
        <f t="shared" si="28"/>
        <v>0</v>
      </c>
      <c r="AF181" s="634">
        <f t="shared" si="29"/>
        <v>0</v>
      </c>
      <c r="AG181" s="43"/>
    </row>
    <row r="182" spans="1:57" hidden="1">
      <c r="A182" s="555"/>
      <c r="B182" s="604"/>
      <c r="C182" s="607"/>
      <c r="D182" s="609"/>
      <c r="E182" s="608"/>
      <c r="F182" s="609"/>
      <c r="G182" s="609"/>
      <c r="H182" s="603"/>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27"/>
        <v>0</v>
      </c>
      <c r="AE182" s="629">
        <f t="shared" si="28"/>
        <v>0</v>
      </c>
      <c r="AF182" s="634">
        <f t="shared" si="29"/>
        <v>0</v>
      </c>
      <c r="AG182" s="43"/>
    </row>
    <row r="183" spans="1:57" hidden="1">
      <c r="A183" s="555"/>
      <c r="B183" s="604"/>
      <c r="C183" s="607"/>
      <c r="D183" s="609"/>
      <c r="E183" s="608"/>
      <c r="F183" s="609"/>
      <c r="G183" s="609"/>
      <c r="H183" s="603"/>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27"/>
        <v>0</v>
      </c>
      <c r="AE183" s="629">
        <f t="shared" si="28"/>
        <v>0</v>
      </c>
      <c r="AF183" s="634">
        <f t="shared" si="29"/>
        <v>0</v>
      </c>
      <c r="AG183" s="43"/>
    </row>
    <row r="184" spans="1:57" hidden="1">
      <c r="A184" s="555"/>
      <c r="B184" s="604"/>
      <c r="C184" s="607"/>
      <c r="D184" s="609"/>
      <c r="E184" s="608"/>
      <c r="F184" s="609"/>
      <c r="G184" s="609"/>
      <c r="H184" s="603"/>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27"/>
        <v>0</v>
      </c>
      <c r="AE184" s="629">
        <f t="shared" si="28"/>
        <v>0</v>
      </c>
      <c r="AF184" s="634">
        <f t="shared" si="29"/>
        <v>0</v>
      </c>
      <c r="AG184" s="43"/>
    </row>
    <row r="185" spans="1:57" hidden="1">
      <c r="A185" s="555"/>
      <c r="B185" s="604"/>
      <c r="C185" s="607"/>
      <c r="D185" s="609"/>
      <c r="E185" s="608"/>
      <c r="F185" s="609"/>
      <c r="G185" s="609"/>
      <c r="H185" s="603"/>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27"/>
        <v>0</v>
      </c>
      <c r="AE185" s="629">
        <f t="shared" si="28"/>
        <v>0</v>
      </c>
      <c r="AF185" s="634">
        <f t="shared" si="29"/>
        <v>0</v>
      </c>
      <c r="AG185" s="43"/>
    </row>
    <row r="186" spans="1:57" hidden="1">
      <c r="A186" s="555"/>
      <c r="B186" s="604"/>
      <c r="C186" s="607"/>
      <c r="D186" s="609"/>
      <c r="E186" s="608"/>
      <c r="F186" s="609"/>
      <c r="G186" s="609"/>
      <c r="H186" s="603"/>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27"/>
        <v>0</v>
      </c>
      <c r="AE186" s="629">
        <f t="shared" si="28"/>
        <v>0</v>
      </c>
      <c r="AF186" s="634">
        <f t="shared" si="29"/>
        <v>0</v>
      </c>
      <c r="AG186" s="43"/>
    </row>
    <row r="187" spans="1:57" hidden="1">
      <c r="A187" s="555"/>
      <c r="B187" s="604"/>
      <c r="C187" s="607"/>
      <c r="D187" s="609"/>
      <c r="E187" s="608"/>
      <c r="F187" s="609"/>
      <c r="G187" s="609"/>
      <c r="H187" s="603"/>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27"/>
        <v>0</v>
      </c>
      <c r="AE187" s="629">
        <f t="shared" si="28"/>
        <v>0</v>
      </c>
      <c r="AF187" s="634">
        <f t="shared" si="29"/>
        <v>0</v>
      </c>
      <c r="AG187" s="43"/>
    </row>
    <row r="188" spans="1:57" hidden="1">
      <c r="A188" s="555"/>
      <c r="B188" s="604"/>
      <c r="C188" s="607"/>
      <c r="D188" s="609"/>
      <c r="E188" s="608"/>
      <c r="F188" s="609"/>
      <c r="G188" s="609"/>
      <c r="H188" s="603"/>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27"/>
        <v>0</v>
      </c>
      <c r="AE188" s="629">
        <f t="shared" si="28"/>
        <v>0</v>
      </c>
      <c r="AF188" s="634">
        <f t="shared" si="29"/>
        <v>0</v>
      </c>
      <c r="AG188" s="43"/>
    </row>
    <row r="189" spans="1:57" hidden="1">
      <c r="A189" s="555"/>
      <c r="B189" s="604"/>
      <c r="C189" s="607"/>
      <c r="D189" s="609"/>
      <c r="E189" s="608"/>
      <c r="F189" s="609"/>
      <c r="G189" s="609"/>
      <c r="H189" s="603"/>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27"/>
        <v>0</v>
      </c>
      <c r="AE189" s="629">
        <f t="shared" si="28"/>
        <v>0</v>
      </c>
      <c r="AF189" s="634">
        <f t="shared" si="29"/>
        <v>0</v>
      </c>
      <c r="AG189" s="43"/>
    </row>
    <row r="190" spans="1:57" hidden="1">
      <c r="A190" s="555"/>
      <c r="B190" s="604"/>
      <c r="C190" s="607"/>
      <c r="D190" s="609"/>
      <c r="E190" s="608"/>
      <c r="F190" s="609"/>
      <c r="G190" s="609"/>
      <c r="H190" s="603"/>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27"/>
        <v>0</v>
      </c>
      <c r="AE190" s="629">
        <f t="shared" si="28"/>
        <v>0</v>
      </c>
      <c r="AF190" s="634">
        <f t="shared" si="29"/>
        <v>0</v>
      </c>
      <c r="AG190" s="43"/>
    </row>
    <row r="191" spans="1:57" hidden="1">
      <c r="A191" s="555"/>
      <c r="B191" s="604"/>
      <c r="C191" s="607"/>
      <c r="D191" s="609"/>
      <c r="E191" s="608"/>
      <c r="F191" s="609"/>
      <c r="G191" s="609"/>
      <c r="H191" s="585"/>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27"/>
        <v>0</v>
      </c>
      <c r="AE191" s="629">
        <f t="shared" si="28"/>
        <v>0</v>
      </c>
      <c r="AF191" s="634">
        <f t="shared" si="29"/>
        <v>0</v>
      </c>
      <c r="AG191" s="43">
        <f t="shared" ref="AG191:AG196" si="33">IF(AF191=0,0,"ERROR HERE")</f>
        <v>0</v>
      </c>
      <c r="AH191" s="7">
        <f t="shared" ref="AH191:AV191" si="34">IF(OR(ISERROR(+H191/($D191+$E191-$G191)*$G191+H191),LEFT(F191,1)="x"),0,+H191/($D191+$E191-$G191)*$G191+H191)</f>
        <v>0</v>
      </c>
      <c r="AI191" s="7">
        <f t="shared" si="34"/>
        <v>0</v>
      </c>
      <c r="AJ191" s="7">
        <f t="shared" si="34"/>
        <v>0</v>
      </c>
      <c r="AK191" s="7">
        <f t="shared" si="34"/>
        <v>0</v>
      </c>
      <c r="AL191" s="7">
        <f t="shared" si="34"/>
        <v>0</v>
      </c>
      <c r="AM191" s="7">
        <f t="shared" si="34"/>
        <v>0</v>
      </c>
      <c r="AN191" s="7">
        <f t="shared" si="34"/>
        <v>0</v>
      </c>
      <c r="AO191" s="7">
        <f t="shared" si="34"/>
        <v>0</v>
      </c>
      <c r="AP191" s="7">
        <f t="shared" si="34"/>
        <v>0</v>
      </c>
      <c r="AQ191" s="7">
        <f t="shared" si="34"/>
        <v>0</v>
      </c>
      <c r="AR191" s="7">
        <f t="shared" si="34"/>
        <v>0</v>
      </c>
      <c r="AS191" s="7">
        <f t="shared" si="34"/>
        <v>0</v>
      </c>
      <c r="AT191" s="7">
        <f t="shared" si="34"/>
        <v>0</v>
      </c>
      <c r="AU191" s="7">
        <f t="shared" si="34"/>
        <v>0</v>
      </c>
      <c r="AV191" s="7">
        <f t="shared" si="34"/>
        <v>0</v>
      </c>
      <c r="AW191" s="7">
        <f t="shared" ref="AW191:AW201" si="35">IF(OR(ISERROR(+W191/($D191+$E191-$G191)*$G191+W191),LEFT(U191,1)="x"),0,+W191/($D191+$E191-$G191)*$G191+W191)</f>
        <v>0</v>
      </c>
      <c r="AX191" s="7">
        <f t="shared" ref="AX191:AX201" si="36">IF(OR(ISERROR(+X191/($D191+$E191-$G191)*$G191+X191),LEFT(V191,1)="x"),0,+X191/($D191+$E191-$G191)*$G191+X191)</f>
        <v>0</v>
      </c>
      <c r="AY191" s="7">
        <f t="shared" ref="AY191:AY201" si="37">IF(OR(ISERROR(+Y191/($D191+$E191-$G191)*$G191+Y191),LEFT(W191,1)="x"),0,+Y191/($D191+$E191-$G191)*$G191+Y191)</f>
        <v>0</v>
      </c>
      <c r="AZ191" s="7">
        <f t="shared" ref="AZ191:AZ201" si="38">IF(OR(ISERROR(+Z191/($D191+$E191-$G191)*$G191+Z191),LEFT(X191,1)="x"),0,+Z191/($D191+$E191-$G191)*$G191+Z191)</f>
        <v>0</v>
      </c>
      <c r="BA191" s="7">
        <f t="shared" ref="BA191:BA201" si="39">IF(OR(ISERROR(+AA191/($D191+$E191-$G191)*$G191+AA191),LEFT(Y191,1)="x"),0,+AA191/($D191+$E191-$G191)*$G191+AA191)</f>
        <v>0</v>
      </c>
      <c r="BB191" s="7">
        <f t="shared" ref="BB191:BB201" si="40">IF(OR(ISERROR(+AB191/($D191+$E191-$G191)*$G191+AB191),LEFT(Z191,1)="x"),0,+AB191/($D191+$E191-$G191)*$G191+AB191)</f>
        <v>0</v>
      </c>
      <c r="BC191" s="7">
        <f>IF(OR(ISERROR(+#REF!/($D191+$E191-$G191)*$G191+#REF!),LEFT(AA191,1)="x"),0,+#REF!/($D191+$E191-$G191)*$G191+#REF!)</f>
        <v>0</v>
      </c>
      <c r="BD191" s="7">
        <f>IF(OR(ISERROR(+#REF!/($D191+$E191-$G191)*$G191+#REF!),LEFT(AB191,1)="x"),0,+#REF!/($D191+$E191-$G191)*$G191+#REF!)</f>
        <v>0</v>
      </c>
      <c r="BE191" s="7" t="e">
        <f>IF(OR(ISERROR(+AC191/($D191+$E191-$G191)*$G191+AC191),LEFT(#REF!,1)="x"),0,+AC191/($D191+$E191-$G191)*$G191+AC191)</f>
        <v>#REF!</v>
      </c>
    </row>
    <row r="192" spans="1:57" hidden="1">
      <c r="A192" s="555"/>
      <c r="B192" s="604"/>
      <c r="C192" s="607"/>
      <c r="D192" s="609"/>
      <c r="E192" s="608"/>
      <c r="F192" s="609"/>
      <c r="G192" s="609"/>
      <c r="H192" s="585"/>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27"/>
        <v>0</v>
      </c>
      <c r="AE192" s="629">
        <f t="shared" si="28"/>
        <v>0</v>
      </c>
      <c r="AF192" s="634">
        <f t="shared" si="29"/>
        <v>0</v>
      </c>
      <c r="AG192" s="43">
        <f t="shared" si="33"/>
        <v>0</v>
      </c>
      <c r="AH192" s="7">
        <f t="shared" ref="AH192:AV197" si="41">IF(OR(ISERROR(+H192/($D192+$E192-$G192)*$G192+H192),LEFT(F192,1)="x"),0,+H192/($D192+$E192-$G192)*$G192+H192)</f>
        <v>0</v>
      </c>
      <c r="AI192" s="7">
        <f t="shared" si="41"/>
        <v>0</v>
      </c>
      <c r="AJ192" s="7">
        <f t="shared" si="41"/>
        <v>0</v>
      </c>
      <c r="AK192" s="7">
        <f t="shared" si="41"/>
        <v>0</v>
      </c>
      <c r="AL192" s="7">
        <f t="shared" si="41"/>
        <v>0</v>
      </c>
      <c r="AM192" s="7">
        <f t="shared" si="41"/>
        <v>0</v>
      </c>
      <c r="AN192" s="7">
        <f t="shared" si="41"/>
        <v>0</v>
      </c>
      <c r="AO192" s="7">
        <f t="shared" si="41"/>
        <v>0</v>
      </c>
      <c r="AP192" s="7">
        <f t="shared" si="41"/>
        <v>0</v>
      </c>
      <c r="AQ192" s="7">
        <f t="shared" si="41"/>
        <v>0</v>
      </c>
      <c r="AR192" s="7">
        <f t="shared" si="41"/>
        <v>0</v>
      </c>
      <c r="AS192" s="7">
        <f t="shared" si="41"/>
        <v>0</v>
      </c>
      <c r="AT192" s="7">
        <f t="shared" si="41"/>
        <v>0</v>
      </c>
      <c r="AU192" s="7">
        <f t="shared" si="41"/>
        <v>0</v>
      </c>
      <c r="AV192" s="7">
        <f t="shared" si="41"/>
        <v>0</v>
      </c>
      <c r="AW192" s="7">
        <f t="shared" si="35"/>
        <v>0</v>
      </c>
      <c r="AX192" s="7">
        <f t="shared" si="36"/>
        <v>0</v>
      </c>
      <c r="AY192" s="7">
        <f t="shared" si="37"/>
        <v>0</v>
      </c>
      <c r="AZ192" s="7">
        <f t="shared" si="38"/>
        <v>0</v>
      </c>
      <c r="BA192" s="7">
        <f t="shared" si="39"/>
        <v>0</v>
      </c>
      <c r="BB192" s="7">
        <f t="shared" si="40"/>
        <v>0</v>
      </c>
      <c r="BC192" s="7">
        <f>IF(OR(ISERROR(+#REF!/($D192+$E192-$G192)*$G192+#REF!),LEFT(AA192,1)="x"),0,+#REF!/($D192+$E192-$G192)*$G192+#REF!)</f>
        <v>0</v>
      </c>
      <c r="BD192" s="7">
        <f>IF(OR(ISERROR(+#REF!/($D192+$E192-$G192)*$G192+#REF!),LEFT(AB192,1)="x"),0,+#REF!/($D192+$E192-$G192)*$G192+#REF!)</f>
        <v>0</v>
      </c>
      <c r="BE192" s="7" t="e">
        <f>IF(OR(ISERROR(+AC192/($D192+$E192-$G192)*$G192+AC192),LEFT(#REF!,1)="x"),0,+AC192/($D192+$E192-$G192)*$G192+AC192)</f>
        <v>#REF!</v>
      </c>
    </row>
    <row r="193" spans="1:57" hidden="1">
      <c r="A193" s="555"/>
      <c r="B193" s="604"/>
      <c r="C193" s="607"/>
      <c r="D193" s="609"/>
      <c r="E193" s="608"/>
      <c r="F193" s="609"/>
      <c r="G193" s="60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27"/>
        <v>0</v>
      </c>
      <c r="AE193" s="629">
        <f t="shared" si="28"/>
        <v>0</v>
      </c>
      <c r="AF193" s="634">
        <f t="shared" si="29"/>
        <v>0</v>
      </c>
      <c r="AG193" s="43">
        <f t="shared" si="33"/>
        <v>0</v>
      </c>
      <c r="AH193" s="7">
        <f t="shared" si="41"/>
        <v>0</v>
      </c>
      <c r="AI193" s="7">
        <f t="shared" si="41"/>
        <v>0</v>
      </c>
      <c r="AJ193" s="7">
        <f t="shared" si="41"/>
        <v>0</v>
      </c>
      <c r="AK193" s="7">
        <f t="shared" si="41"/>
        <v>0</v>
      </c>
      <c r="AL193" s="7">
        <f t="shared" si="41"/>
        <v>0</v>
      </c>
      <c r="AM193" s="7">
        <f t="shared" si="41"/>
        <v>0</v>
      </c>
      <c r="AN193" s="7">
        <f t="shared" si="41"/>
        <v>0</v>
      </c>
      <c r="AO193" s="7">
        <f t="shared" si="41"/>
        <v>0</v>
      </c>
      <c r="AP193" s="7">
        <f t="shared" si="41"/>
        <v>0</v>
      </c>
      <c r="AQ193" s="7">
        <f t="shared" si="41"/>
        <v>0</v>
      </c>
      <c r="AR193" s="7">
        <f t="shared" si="41"/>
        <v>0</v>
      </c>
      <c r="AS193" s="7">
        <f t="shared" si="41"/>
        <v>0</v>
      </c>
      <c r="AT193" s="7">
        <f t="shared" si="41"/>
        <v>0</v>
      </c>
      <c r="AU193" s="7">
        <f t="shared" si="41"/>
        <v>0</v>
      </c>
      <c r="AV193" s="7">
        <f t="shared" si="41"/>
        <v>0</v>
      </c>
      <c r="AW193" s="7">
        <f t="shared" si="35"/>
        <v>0</v>
      </c>
      <c r="AX193" s="7">
        <f t="shared" si="36"/>
        <v>0</v>
      </c>
      <c r="AY193" s="7">
        <f t="shared" si="37"/>
        <v>0</v>
      </c>
      <c r="AZ193" s="7">
        <f t="shared" si="38"/>
        <v>0</v>
      </c>
      <c r="BA193" s="7">
        <f t="shared" si="39"/>
        <v>0</v>
      </c>
      <c r="BB193" s="7">
        <f t="shared" si="40"/>
        <v>0</v>
      </c>
      <c r="BC193" s="7">
        <f>IF(OR(ISERROR(+#REF!/($D193+$E193-$G193)*$G193+#REF!),LEFT(AA193,1)="x"),0,+#REF!/($D193+$E193-$G193)*$G193+#REF!)</f>
        <v>0</v>
      </c>
      <c r="BD193" s="7">
        <f>IF(OR(ISERROR(+#REF!/($D193+$E193-$G193)*$G193+#REF!),LEFT(AB193,1)="x"),0,+#REF!/($D193+$E193-$G193)*$G193+#REF!)</f>
        <v>0</v>
      </c>
      <c r="BE193" s="7" t="e">
        <f>IF(OR(ISERROR(+AC193/($D193+$E193-$G193)*$G193+AC193),LEFT(#REF!,1)="x"),0,+AC193/($D193+$E193-$G193)*$G193+AC193)</f>
        <v>#REF!</v>
      </c>
    </row>
    <row r="194" spans="1:57" hidden="1">
      <c r="A194" s="555"/>
      <c r="B194" s="604"/>
      <c r="C194" s="607"/>
      <c r="D194" s="609"/>
      <c r="E194" s="608"/>
      <c r="F194" s="609"/>
      <c r="G194" s="60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27"/>
        <v>0</v>
      </c>
      <c r="AE194" s="629">
        <f t="shared" si="28"/>
        <v>0</v>
      </c>
      <c r="AF194" s="634">
        <f t="shared" si="29"/>
        <v>0</v>
      </c>
      <c r="AG194" s="43">
        <f t="shared" si="33"/>
        <v>0</v>
      </c>
      <c r="AH194" s="7">
        <f t="shared" si="41"/>
        <v>0</v>
      </c>
      <c r="AI194" s="7">
        <f t="shared" si="41"/>
        <v>0</v>
      </c>
      <c r="AJ194" s="7">
        <f t="shared" si="41"/>
        <v>0</v>
      </c>
      <c r="AK194" s="7">
        <f t="shared" si="41"/>
        <v>0</v>
      </c>
      <c r="AL194" s="7">
        <f t="shared" si="41"/>
        <v>0</v>
      </c>
      <c r="AM194" s="7">
        <f t="shared" si="41"/>
        <v>0</v>
      </c>
      <c r="AN194" s="7">
        <f t="shared" si="41"/>
        <v>0</v>
      </c>
      <c r="AO194" s="7">
        <f t="shared" si="41"/>
        <v>0</v>
      </c>
      <c r="AP194" s="7">
        <f t="shared" si="41"/>
        <v>0</v>
      </c>
      <c r="AQ194" s="7">
        <f t="shared" si="41"/>
        <v>0</v>
      </c>
      <c r="AR194" s="7">
        <f t="shared" si="41"/>
        <v>0</v>
      </c>
      <c r="AS194" s="7">
        <f t="shared" si="41"/>
        <v>0</v>
      </c>
      <c r="AT194" s="7">
        <f t="shared" si="41"/>
        <v>0</v>
      </c>
      <c r="AU194" s="7">
        <f t="shared" si="41"/>
        <v>0</v>
      </c>
      <c r="AV194" s="7">
        <f t="shared" si="41"/>
        <v>0</v>
      </c>
      <c r="AW194" s="7">
        <f t="shared" si="35"/>
        <v>0</v>
      </c>
      <c r="AX194" s="7">
        <f t="shared" si="36"/>
        <v>0</v>
      </c>
      <c r="AY194" s="7">
        <f t="shared" si="37"/>
        <v>0</v>
      </c>
      <c r="AZ194" s="7">
        <f t="shared" si="38"/>
        <v>0</v>
      </c>
      <c r="BA194" s="7">
        <f t="shared" si="39"/>
        <v>0</v>
      </c>
      <c r="BB194" s="7">
        <f t="shared" si="40"/>
        <v>0</v>
      </c>
      <c r="BC194" s="7">
        <f>IF(OR(ISERROR(+#REF!/($D194+$E194-$G194)*$G194+#REF!),LEFT(AA194,1)="x"),0,+#REF!/($D194+$E194-$G194)*$G194+#REF!)</f>
        <v>0</v>
      </c>
      <c r="BD194" s="7">
        <f>IF(OR(ISERROR(+#REF!/($D194+$E194-$G194)*$G194+#REF!),LEFT(AB194,1)="x"),0,+#REF!/($D194+$E194-$G194)*$G194+#REF!)</f>
        <v>0</v>
      </c>
      <c r="BE194" s="7" t="e">
        <f>IF(OR(ISERROR(+AC194/($D194+$E194-$G194)*$G194+AC194),LEFT(#REF!,1)="x"),0,+AC194/($D194+$E194-$G194)*$G194+AC194)</f>
        <v>#REF!</v>
      </c>
    </row>
    <row r="195" spans="1:57" hidden="1">
      <c r="A195" s="555"/>
      <c r="B195" s="604"/>
      <c r="C195" s="607"/>
      <c r="D195" s="609"/>
      <c r="E195" s="608"/>
      <c r="F195" s="609"/>
      <c r="G195" s="60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27"/>
        <v>0</v>
      </c>
      <c r="AE195" s="629">
        <f t="shared" si="28"/>
        <v>0</v>
      </c>
      <c r="AF195" s="634">
        <f t="shared" si="29"/>
        <v>0</v>
      </c>
      <c r="AG195" s="43">
        <f t="shared" si="33"/>
        <v>0</v>
      </c>
      <c r="AH195" s="7">
        <f t="shared" si="41"/>
        <v>0</v>
      </c>
      <c r="AI195" s="7">
        <f t="shared" si="41"/>
        <v>0</v>
      </c>
      <c r="AJ195" s="7">
        <f t="shared" si="41"/>
        <v>0</v>
      </c>
      <c r="AK195" s="7">
        <f t="shared" si="41"/>
        <v>0</v>
      </c>
      <c r="AL195" s="7">
        <f t="shared" si="41"/>
        <v>0</v>
      </c>
      <c r="AM195" s="7">
        <f t="shared" si="41"/>
        <v>0</v>
      </c>
      <c r="AN195" s="7">
        <f t="shared" si="41"/>
        <v>0</v>
      </c>
      <c r="AO195" s="7">
        <f t="shared" si="41"/>
        <v>0</v>
      </c>
      <c r="AP195" s="7">
        <f t="shared" si="41"/>
        <v>0</v>
      </c>
      <c r="AQ195" s="7">
        <f t="shared" si="41"/>
        <v>0</v>
      </c>
      <c r="AR195" s="7">
        <f t="shared" si="41"/>
        <v>0</v>
      </c>
      <c r="AS195" s="7">
        <f t="shared" si="41"/>
        <v>0</v>
      </c>
      <c r="AT195" s="7">
        <f t="shared" si="41"/>
        <v>0</v>
      </c>
      <c r="AU195" s="7">
        <f t="shared" si="41"/>
        <v>0</v>
      </c>
      <c r="AV195" s="7">
        <f t="shared" si="41"/>
        <v>0</v>
      </c>
      <c r="AW195" s="7">
        <f t="shared" si="35"/>
        <v>0</v>
      </c>
      <c r="AX195" s="7">
        <f t="shared" si="36"/>
        <v>0</v>
      </c>
      <c r="AY195" s="7">
        <f t="shared" si="37"/>
        <v>0</v>
      </c>
      <c r="AZ195" s="7">
        <f t="shared" si="38"/>
        <v>0</v>
      </c>
      <c r="BA195" s="7">
        <f t="shared" si="39"/>
        <v>0</v>
      </c>
      <c r="BB195" s="7">
        <f t="shared" si="40"/>
        <v>0</v>
      </c>
      <c r="BC195" s="7">
        <f>IF(OR(ISERROR(+#REF!/($D195+$E195-$G195)*$G195+#REF!),LEFT(AA195,1)="x"),0,+#REF!/($D195+$E195-$G195)*$G195+#REF!)</f>
        <v>0</v>
      </c>
      <c r="BD195" s="7">
        <f>IF(OR(ISERROR(+#REF!/($D195+$E195-$G195)*$G195+#REF!),LEFT(AB195,1)="x"),0,+#REF!/($D195+$E195-$G195)*$G195+#REF!)</f>
        <v>0</v>
      </c>
      <c r="BE195" s="7" t="e">
        <f>IF(OR(ISERROR(+AC195/($D195+$E195-$G195)*$G195+AC195),LEFT(#REF!,1)="x"),0,+AC195/($D195+$E195-$G195)*$G195+AC195)</f>
        <v>#REF!</v>
      </c>
    </row>
    <row r="196" spans="1:57" ht="13.5" hidden="1" thickBot="1">
      <c r="A196" s="556"/>
      <c r="B196" s="606"/>
      <c r="C196" s="611"/>
      <c r="D196" s="610"/>
      <c r="E196" s="612"/>
      <c r="F196" s="610"/>
      <c r="G196" s="610"/>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27"/>
        <v>0</v>
      </c>
      <c r="AE196" s="629">
        <f t="shared" si="28"/>
        <v>0</v>
      </c>
      <c r="AF196" s="634">
        <f t="shared" si="29"/>
        <v>0</v>
      </c>
      <c r="AG196" s="43">
        <f t="shared" si="33"/>
        <v>0</v>
      </c>
      <c r="AH196" s="7">
        <f t="shared" si="41"/>
        <v>0</v>
      </c>
      <c r="AI196" s="7">
        <f t="shared" si="41"/>
        <v>0</v>
      </c>
      <c r="AJ196" s="7">
        <f t="shared" si="41"/>
        <v>0</v>
      </c>
      <c r="AK196" s="7">
        <f t="shared" si="41"/>
        <v>0</v>
      </c>
      <c r="AL196" s="7">
        <f t="shared" si="41"/>
        <v>0</v>
      </c>
      <c r="AM196" s="7">
        <f t="shared" si="41"/>
        <v>0</v>
      </c>
      <c r="AN196" s="7">
        <f t="shared" si="41"/>
        <v>0</v>
      </c>
      <c r="AO196" s="7">
        <f t="shared" si="41"/>
        <v>0</v>
      </c>
      <c r="AP196" s="7">
        <f t="shared" si="41"/>
        <v>0</v>
      </c>
      <c r="AQ196" s="7">
        <f t="shared" si="41"/>
        <v>0</v>
      </c>
      <c r="AR196" s="7">
        <f t="shared" si="41"/>
        <v>0</v>
      </c>
      <c r="AS196" s="7">
        <f t="shared" si="41"/>
        <v>0</v>
      </c>
      <c r="AT196" s="7">
        <f t="shared" si="41"/>
        <v>0</v>
      </c>
      <c r="AU196" s="7">
        <f t="shared" si="41"/>
        <v>0</v>
      </c>
      <c r="AV196" s="7">
        <f t="shared" si="41"/>
        <v>0</v>
      </c>
      <c r="AW196" s="7">
        <f t="shared" si="35"/>
        <v>0</v>
      </c>
      <c r="AX196" s="7">
        <f t="shared" si="36"/>
        <v>0</v>
      </c>
      <c r="AY196" s="7">
        <f t="shared" si="37"/>
        <v>0</v>
      </c>
      <c r="AZ196" s="7">
        <f t="shared" si="38"/>
        <v>0</v>
      </c>
      <c r="BA196" s="7">
        <f t="shared" si="39"/>
        <v>0</v>
      </c>
      <c r="BB196" s="7">
        <f t="shared" si="40"/>
        <v>0</v>
      </c>
      <c r="BC196" s="7">
        <f>IF(OR(ISERROR(+#REF!/($D196+$E196-$G196)*$G196+#REF!),LEFT(AA196,1)="x"),0,+#REF!/($D196+$E196-$G196)*$G196+#REF!)</f>
        <v>0</v>
      </c>
      <c r="BD196" s="7">
        <f>IF(OR(ISERROR(+#REF!/($D196+$E196-$G196)*$G196+#REF!),LEFT(AB196,1)="x"),0,+#REF!/($D196+$E196-$G196)*$G196+#REF!)</f>
        <v>0</v>
      </c>
      <c r="BE196" s="7" t="e">
        <f>IF(OR(ISERROR(+AC196/($D196+$E196-$G196)*$G196+AC196),LEFT(#REF!,1)="x"),0,+AC196/($D196+$E196-$G196)*$G196+AC196)</f>
        <v>#REF!</v>
      </c>
    </row>
    <row r="197" spans="1:57" ht="14.25">
      <c r="A197" s="99" t="s">
        <v>20</v>
      </c>
      <c r="B197" s="100"/>
      <c r="C197" s="97" t="s">
        <v>26</v>
      </c>
      <c r="D197" s="92">
        <f t="shared" ref="D197:AC197" si="42">SUM(D80:D196)</f>
        <v>2868.5</v>
      </c>
      <c r="E197" s="92">
        <f t="shared" si="42"/>
        <v>0</v>
      </c>
      <c r="F197" s="208">
        <f t="shared" si="42"/>
        <v>0</v>
      </c>
      <c r="G197" s="92">
        <f t="shared" si="42"/>
        <v>0</v>
      </c>
      <c r="H197" s="92">
        <f t="shared" si="42"/>
        <v>225</v>
      </c>
      <c r="I197" s="92">
        <f t="shared" si="42"/>
        <v>164</v>
      </c>
      <c r="J197" s="92">
        <f t="shared" si="42"/>
        <v>35</v>
      </c>
      <c r="K197" s="92">
        <f t="shared" si="42"/>
        <v>0</v>
      </c>
      <c r="L197" s="92">
        <f t="shared" si="42"/>
        <v>1824</v>
      </c>
      <c r="M197" s="92">
        <f t="shared" si="42"/>
        <v>0</v>
      </c>
      <c r="N197" s="92">
        <f t="shared" si="42"/>
        <v>0</v>
      </c>
      <c r="O197" s="92">
        <f t="shared" si="42"/>
        <v>0</v>
      </c>
      <c r="P197" s="92">
        <f t="shared" si="42"/>
        <v>20</v>
      </c>
      <c r="Q197" s="92">
        <f t="shared" si="42"/>
        <v>0</v>
      </c>
      <c r="R197" s="92">
        <f t="shared" si="42"/>
        <v>65</v>
      </c>
      <c r="S197" s="92">
        <f t="shared" si="42"/>
        <v>55</v>
      </c>
      <c r="T197" s="92">
        <f t="shared" si="42"/>
        <v>85</v>
      </c>
      <c r="U197" s="92">
        <f t="shared" si="42"/>
        <v>138</v>
      </c>
      <c r="V197" s="92">
        <f t="shared" si="42"/>
        <v>5.5</v>
      </c>
      <c r="W197" s="92">
        <f t="shared" si="42"/>
        <v>95</v>
      </c>
      <c r="X197" s="92">
        <f t="shared" si="42"/>
        <v>0</v>
      </c>
      <c r="Y197" s="92">
        <f t="shared" si="42"/>
        <v>0</v>
      </c>
      <c r="Z197" s="92">
        <f t="shared" si="42"/>
        <v>0</v>
      </c>
      <c r="AA197" s="92">
        <f t="shared" si="42"/>
        <v>0</v>
      </c>
      <c r="AB197" s="92">
        <f t="shared" si="42"/>
        <v>157</v>
      </c>
      <c r="AC197" s="208">
        <f t="shared" si="42"/>
        <v>0</v>
      </c>
      <c r="AH197" s="7">
        <f t="shared" si="41"/>
        <v>225</v>
      </c>
      <c r="AI197" s="7">
        <f t="shared" si="41"/>
        <v>164</v>
      </c>
      <c r="AJ197" s="7">
        <f t="shared" si="41"/>
        <v>35</v>
      </c>
      <c r="AK197" s="7">
        <f t="shared" si="41"/>
        <v>0</v>
      </c>
      <c r="AL197" s="7">
        <f t="shared" si="41"/>
        <v>1824</v>
      </c>
      <c r="AM197" s="7">
        <f t="shared" si="41"/>
        <v>0</v>
      </c>
      <c r="AN197" s="7">
        <f t="shared" si="41"/>
        <v>0</v>
      </c>
      <c r="AO197" s="7">
        <f t="shared" si="41"/>
        <v>0</v>
      </c>
      <c r="AP197" s="7">
        <f t="shared" si="41"/>
        <v>20</v>
      </c>
      <c r="AQ197" s="7">
        <f t="shared" si="41"/>
        <v>0</v>
      </c>
      <c r="AR197" s="7">
        <f t="shared" si="41"/>
        <v>65</v>
      </c>
      <c r="AS197" s="7">
        <f t="shared" si="41"/>
        <v>55</v>
      </c>
      <c r="AT197" s="7">
        <f t="shared" si="41"/>
        <v>85</v>
      </c>
      <c r="AU197" s="7">
        <f t="shared" si="41"/>
        <v>138</v>
      </c>
      <c r="AV197" s="7">
        <f t="shared" si="41"/>
        <v>5.5</v>
      </c>
      <c r="AW197" s="7">
        <f t="shared" si="35"/>
        <v>95</v>
      </c>
      <c r="AX197" s="7">
        <f t="shared" si="36"/>
        <v>0</v>
      </c>
      <c r="AY197" s="7">
        <f t="shared" si="37"/>
        <v>0</v>
      </c>
      <c r="AZ197" s="7">
        <f t="shared" si="38"/>
        <v>0</v>
      </c>
      <c r="BA197" s="7">
        <f t="shared" si="39"/>
        <v>0</v>
      </c>
      <c r="BB197" s="7">
        <f t="shared" si="40"/>
        <v>157</v>
      </c>
      <c r="BC197" s="7">
        <f>IF(OR(ISERROR(+#REF!/($D197+$E197-$G197)*$G197+#REF!),LEFT(AA197,1)="x"),0,+#REF!/($D197+$E197-$G197)*$G197+#REF!)</f>
        <v>0</v>
      </c>
      <c r="BD197" s="7">
        <f>IF(OR(ISERROR(+AC197/($D197+$E197-$G197)*$G197+AC197),LEFT(Z197,1)="x"),0,+AC197/($D197+$E197-$G197)*$G197+AC197)</f>
        <v>0</v>
      </c>
    </row>
    <row r="198" spans="1:57" ht="13.5" thickBot="1">
      <c r="A198" s="50"/>
      <c r="B198" s="51"/>
      <c r="C198" s="39" t="s">
        <v>27</v>
      </c>
      <c r="D198" s="643">
        <f t="shared" ref="D198:AC198" si="43">SUM(D79:D196)</f>
        <v>68855.489999999991</v>
      </c>
      <c r="E198" s="643">
        <f t="shared" si="43"/>
        <v>-901</v>
      </c>
      <c r="F198" s="644">
        <f t="shared" si="43"/>
        <v>0</v>
      </c>
      <c r="G198" s="643">
        <f t="shared" si="43"/>
        <v>0</v>
      </c>
      <c r="H198" s="643">
        <f t="shared" si="43"/>
        <v>675</v>
      </c>
      <c r="I198" s="643">
        <f t="shared" si="43"/>
        <v>492</v>
      </c>
      <c r="J198" s="643">
        <f t="shared" si="43"/>
        <v>105</v>
      </c>
      <c r="K198" s="643">
        <f t="shared" si="43"/>
        <v>0</v>
      </c>
      <c r="L198" s="643">
        <f t="shared" si="43"/>
        <v>7296</v>
      </c>
      <c r="M198" s="643">
        <f t="shared" si="43"/>
        <v>0</v>
      </c>
      <c r="N198" s="643">
        <f t="shared" si="43"/>
        <v>0</v>
      </c>
      <c r="O198" s="643">
        <f t="shared" si="43"/>
        <v>0</v>
      </c>
      <c r="P198" s="643">
        <f t="shared" si="43"/>
        <v>60</v>
      </c>
      <c r="Q198" s="643">
        <f t="shared" si="43"/>
        <v>0</v>
      </c>
      <c r="R198" s="643">
        <f t="shared" si="43"/>
        <v>195</v>
      </c>
      <c r="S198" s="643">
        <f t="shared" si="43"/>
        <v>165</v>
      </c>
      <c r="T198" s="643">
        <f t="shared" si="43"/>
        <v>255</v>
      </c>
      <c r="U198" s="643">
        <f t="shared" si="43"/>
        <v>414</v>
      </c>
      <c r="V198" s="643">
        <f t="shared" si="43"/>
        <v>16.5</v>
      </c>
      <c r="W198" s="643">
        <f t="shared" si="43"/>
        <v>285</v>
      </c>
      <c r="X198" s="643">
        <f t="shared" si="43"/>
        <v>50555.39</v>
      </c>
      <c r="Y198" s="643">
        <f t="shared" si="43"/>
        <v>6969.6</v>
      </c>
      <c r="Z198" s="643">
        <f t="shared" si="43"/>
        <v>0</v>
      </c>
      <c r="AA198" s="643">
        <f t="shared" si="43"/>
        <v>0</v>
      </c>
      <c r="AB198" s="643">
        <f t="shared" si="43"/>
        <v>471</v>
      </c>
      <c r="AC198" s="645">
        <f t="shared" si="43"/>
        <v>0</v>
      </c>
      <c r="AG198" s="57"/>
      <c r="AH198" s="7">
        <f t="shared" ref="AH198:AV201" si="44">IF(OR(ISERROR(+H198/($D198+$E198-$G198)*$G198+H198),LEFT(F198,1)="x"),0,+H198/($D198+$E198-$G198)*$G198+H198)</f>
        <v>675</v>
      </c>
      <c r="AI198" s="7">
        <f t="shared" si="44"/>
        <v>492</v>
      </c>
      <c r="AJ198" s="7">
        <f t="shared" si="44"/>
        <v>105</v>
      </c>
      <c r="AK198" s="7">
        <f t="shared" si="44"/>
        <v>0</v>
      </c>
      <c r="AL198" s="7">
        <f t="shared" si="44"/>
        <v>7296</v>
      </c>
      <c r="AM198" s="7">
        <f t="shared" si="44"/>
        <v>0</v>
      </c>
      <c r="AN198" s="7">
        <f t="shared" si="44"/>
        <v>0</v>
      </c>
      <c r="AO198" s="7">
        <f t="shared" si="44"/>
        <v>0</v>
      </c>
      <c r="AP198" s="7">
        <f t="shared" si="44"/>
        <v>60</v>
      </c>
      <c r="AQ198" s="7">
        <f t="shared" si="44"/>
        <v>0</v>
      </c>
      <c r="AR198" s="7">
        <f t="shared" si="44"/>
        <v>195</v>
      </c>
      <c r="AS198" s="7">
        <f t="shared" si="44"/>
        <v>165</v>
      </c>
      <c r="AT198" s="7">
        <f t="shared" si="44"/>
        <v>255</v>
      </c>
      <c r="AU198" s="7">
        <f t="shared" si="44"/>
        <v>414</v>
      </c>
      <c r="AV198" s="7">
        <f t="shared" si="44"/>
        <v>16.5</v>
      </c>
      <c r="AW198" s="7">
        <f t="shared" si="35"/>
        <v>285</v>
      </c>
      <c r="AX198" s="7">
        <f t="shared" si="36"/>
        <v>50555.39</v>
      </c>
      <c r="AY198" s="7">
        <f t="shared" si="37"/>
        <v>6969.6</v>
      </c>
      <c r="AZ198" s="7">
        <f t="shared" si="38"/>
        <v>0</v>
      </c>
      <c r="BA198" s="7">
        <f t="shared" si="39"/>
        <v>0</v>
      </c>
      <c r="BB198" s="7">
        <f t="shared" si="40"/>
        <v>471</v>
      </c>
      <c r="BC198" s="7">
        <f>IF(OR(ISERROR(+#REF!/($D198+$E198-$G198)*$G198+#REF!),LEFT(AA198,1)="x"),0,+#REF!/($D198+$E198-$G198)*$G198+#REF!)</f>
        <v>0</v>
      </c>
      <c r="BD198" s="7">
        <f>IF(OR(ISERROR(+AC198/($D198+$E198-$G198)*$G198+AC198),LEFT(Z198,1)="x"),0,+AC198/($D198+$E198-$G198)*$G198+AC198)</f>
        <v>0</v>
      </c>
    </row>
    <row r="199" spans="1:5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H199" s="7">
        <f t="shared" si="44"/>
        <v>0</v>
      </c>
      <c r="AI199" s="7">
        <f t="shared" si="44"/>
        <v>0</v>
      </c>
      <c r="AJ199" s="7">
        <f t="shared" si="44"/>
        <v>0</v>
      </c>
      <c r="AK199" s="7">
        <f t="shared" si="44"/>
        <v>0</v>
      </c>
      <c r="AL199" s="7">
        <f t="shared" si="44"/>
        <v>0</v>
      </c>
      <c r="AM199" s="7">
        <f t="shared" si="44"/>
        <v>0</v>
      </c>
      <c r="AN199" s="7">
        <f t="shared" si="44"/>
        <v>0</v>
      </c>
      <c r="AO199" s="7">
        <f t="shared" si="44"/>
        <v>0</v>
      </c>
      <c r="AP199" s="7">
        <f t="shared" si="44"/>
        <v>0</v>
      </c>
      <c r="AQ199" s="7">
        <f t="shared" si="44"/>
        <v>0</v>
      </c>
      <c r="AR199" s="7">
        <f t="shared" si="44"/>
        <v>0</v>
      </c>
      <c r="AS199" s="7">
        <f t="shared" si="44"/>
        <v>0</v>
      </c>
      <c r="AT199" s="7">
        <f t="shared" si="44"/>
        <v>0</v>
      </c>
      <c r="AU199" s="7">
        <f t="shared" si="44"/>
        <v>0</v>
      </c>
      <c r="AV199" s="7">
        <f t="shared" si="44"/>
        <v>0</v>
      </c>
      <c r="AW199" s="7">
        <f t="shared" si="35"/>
        <v>0</v>
      </c>
      <c r="AX199" s="7">
        <f t="shared" si="36"/>
        <v>0</v>
      </c>
      <c r="AY199" s="7">
        <f t="shared" si="37"/>
        <v>0</v>
      </c>
      <c r="AZ199" s="7">
        <f t="shared" si="38"/>
        <v>0</v>
      </c>
      <c r="BA199" s="7">
        <f t="shared" si="39"/>
        <v>0</v>
      </c>
      <c r="BB199" s="7">
        <f t="shared" si="40"/>
        <v>0</v>
      </c>
      <c r="BC199" s="7">
        <f>IF(OR(ISERROR(+#REF!/($D199+$E199-$G199)*$G199+#REF!),LEFT(AA199,1)="x"),0,+#REF!/($D199+$E199-$G199)*$G199+#REF!)</f>
        <v>0</v>
      </c>
      <c r="BD199" s="7">
        <f>IF(OR(ISERROR(+AC199/($D199+$E199-$G199)*$G199+AC199),LEFT(Z199,1)="x"),0,+AC199/($D199+$E199-$G199)*$G199+AC199)</f>
        <v>0</v>
      </c>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H200" s="7">
        <f t="shared" si="44"/>
        <v>0</v>
      </c>
      <c r="AI200" s="7">
        <f t="shared" si="44"/>
        <v>0</v>
      </c>
      <c r="AJ200" s="7">
        <f t="shared" si="44"/>
        <v>0</v>
      </c>
      <c r="AK200" s="7">
        <f t="shared" si="44"/>
        <v>0</v>
      </c>
      <c r="AL200" s="7">
        <f t="shared" si="44"/>
        <v>0</v>
      </c>
      <c r="AM200" s="7">
        <f t="shared" si="44"/>
        <v>0</v>
      </c>
      <c r="AN200" s="7">
        <f t="shared" si="44"/>
        <v>0</v>
      </c>
      <c r="AO200" s="7">
        <f t="shared" si="44"/>
        <v>0</v>
      </c>
      <c r="AP200" s="7">
        <f t="shared" si="44"/>
        <v>0</v>
      </c>
      <c r="AQ200" s="7">
        <f t="shared" si="44"/>
        <v>0</v>
      </c>
      <c r="AR200" s="7">
        <f t="shared" si="44"/>
        <v>0</v>
      </c>
      <c r="AS200" s="7">
        <f t="shared" si="44"/>
        <v>0</v>
      </c>
      <c r="AT200" s="7">
        <f t="shared" si="44"/>
        <v>0</v>
      </c>
      <c r="AU200" s="7">
        <f t="shared" si="44"/>
        <v>0</v>
      </c>
      <c r="AV200" s="7">
        <f t="shared" si="44"/>
        <v>0</v>
      </c>
      <c r="AW200" s="7">
        <f t="shared" si="35"/>
        <v>0</v>
      </c>
      <c r="AX200" s="7">
        <f t="shared" si="36"/>
        <v>0</v>
      </c>
      <c r="AY200" s="7">
        <f t="shared" si="37"/>
        <v>0</v>
      </c>
      <c r="AZ200" s="7">
        <f t="shared" si="38"/>
        <v>0</v>
      </c>
      <c r="BA200" s="7">
        <f t="shared" si="39"/>
        <v>0</v>
      </c>
      <c r="BB200" s="7">
        <f t="shared" si="40"/>
        <v>0</v>
      </c>
      <c r="BC200" s="7">
        <f>IF(OR(ISERROR(+#REF!/($D200+$E200-$G200)*$G200+#REF!),LEFT(AA200,1)="x"),0,+#REF!/($D200+$E200-$G200)*$G200+#REF!)</f>
        <v>0</v>
      </c>
      <c r="BD200" s="7">
        <f>IF(OR(ISERROR(+AC200/($D200+$E200-$G200)*$G200+AC200),LEFT(Z200,1)="x"),0,+AC200/($D200+$E200-$G200)*$G200+AC200)</f>
        <v>0</v>
      </c>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H201" s="7">
        <f t="shared" si="44"/>
        <v>0</v>
      </c>
      <c r="AI201" s="7">
        <f t="shared" si="44"/>
        <v>0</v>
      </c>
      <c r="AJ201" s="7">
        <f t="shared" si="44"/>
        <v>0</v>
      </c>
      <c r="AK201" s="7">
        <f t="shared" si="44"/>
        <v>0</v>
      </c>
      <c r="AL201" s="7">
        <f t="shared" si="44"/>
        <v>0</v>
      </c>
      <c r="AM201" s="7">
        <f t="shared" si="44"/>
        <v>0</v>
      </c>
      <c r="AN201" s="7">
        <f t="shared" si="44"/>
        <v>0</v>
      </c>
      <c r="AO201" s="7">
        <f t="shared" si="44"/>
        <v>0</v>
      </c>
      <c r="AP201" s="7">
        <f t="shared" si="44"/>
        <v>0</v>
      </c>
      <c r="AQ201" s="7">
        <f t="shared" si="44"/>
        <v>0</v>
      </c>
      <c r="AR201" s="7">
        <f t="shared" si="44"/>
        <v>0</v>
      </c>
      <c r="AS201" s="7">
        <f t="shared" si="44"/>
        <v>0</v>
      </c>
      <c r="AT201" s="7">
        <f t="shared" si="44"/>
        <v>0</v>
      </c>
      <c r="AU201" s="7">
        <f t="shared" si="44"/>
        <v>0</v>
      </c>
      <c r="AV201" s="7">
        <f t="shared" si="44"/>
        <v>0</v>
      </c>
      <c r="AW201" s="7">
        <f t="shared" si="35"/>
        <v>0</v>
      </c>
      <c r="AX201" s="7">
        <f t="shared" si="36"/>
        <v>0</v>
      </c>
      <c r="AY201" s="7">
        <f t="shared" si="37"/>
        <v>0</v>
      </c>
      <c r="AZ201" s="7">
        <f t="shared" si="38"/>
        <v>0</v>
      </c>
      <c r="BA201" s="7">
        <f t="shared" si="39"/>
        <v>0</v>
      </c>
      <c r="BB201" s="7">
        <f t="shared" si="40"/>
        <v>0</v>
      </c>
      <c r="BC201" s="7">
        <f>IF(OR(ISERROR(+#REF!/($D201+$E201-$G201)*$G201+#REF!),LEFT(AA201,1)="x"),0,+#REF!/($D201+$E201-$G201)*$G201+#REF!)</f>
        <v>0</v>
      </c>
      <c r="BD201" s="7">
        <f>IF(OR(ISERROR(+AC201/($D201+$E201-$G201)*$G201+AC201),LEFT(Z201,1)="x"),0,+AC201/($D201+$E201-$G201)*$G201+AC201)</f>
        <v>0</v>
      </c>
    </row>
    <row r="202" spans="1:57" ht="15.75">
      <c r="A202" s="52" t="s">
        <v>226</v>
      </c>
      <c r="B202" s="52"/>
      <c r="C202" s="52"/>
      <c r="D202" s="19">
        <f>E202-H202</f>
        <v>0</v>
      </c>
      <c r="E202" s="53">
        <f>D197+E197+F197</f>
        <v>2868.5</v>
      </c>
      <c r="F202" s="53" t="s">
        <v>20</v>
      </c>
      <c r="G202" s="17"/>
      <c r="H202" s="53">
        <f>SUM(G197:AC197)</f>
        <v>2868.5</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
      <c r="A203" s="17"/>
      <c r="B203" s="17"/>
      <c r="C203" s="17"/>
      <c r="D203" s="54">
        <f>IF(D202=0,0,"Error - check totals do not balance, please see column AF - at the right side of the expenditure table for corrections to be made")</f>
        <v>0</v>
      </c>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ht="15">
      <c r="A205" s="17"/>
      <c r="B205" s="17"/>
      <c r="C205" s="17"/>
      <c r="D205" s="54"/>
      <c r="E205" s="5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c r="A209" s="161" t="s">
        <v>166</v>
      </c>
      <c r="B209" s="17"/>
      <c r="C209" s="73"/>
      <c r="D209" s="73"/>
      <c r="E209" s="639">
        <f>'Nov 17'!K10+L54+M54+N54+O54-D198</f>
        <v>56775.210000000006</v>
      </c>
      <c r="F209" s="639">
        <f>'Nov 17'!K11+P54+X198-O54</f>
        <v>87017.14</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c r="A210" s="161"/>
      <c r="B210" s="17"/>
      <c r="C210" s="73"/>
      <c r="D210" s="73"/>
      <c r="E210" s="637"/>
      <c r="F210" s="6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c r="A211" s="161" t="s">
        <v>63</v>
      </c>
      <c r="B211" s="17"/>
      <c r="C211" s="642"/>
      <c r="D211" s="642"/>
      <c r="E211" s="637"/>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c r="B212" s="162" t="s">
        <v>187</v>
      </c>
      <c r="C212" s="642"/>
      <c r="D212" s="642"/>
      <c r="E212" s="637" t="s">
        <v>20</v>
      </c>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c r="A213" s="17"/>
      <c r="B213" s="162" t="s">
        <v>164</v>
      </c>
      <c r="C213" s="642"/>
      <c r="D213" s="642"/>
      <c r="E213" s="637" t="s">
        <v>20</v>
      </c>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c r="A215" s="17"/>
      <c r="B215" s="17"/>
      <c r="C215" s="642"/>
      <c r="D215" s="642"/>
      <c r="E215" s="637"/>
      <c r="F215" s="6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13.5" thickBot="1">
      <c r="A216" s="56" t="s">
        <v>165</v>
      </c>
      <c r="B216" s="56"/>
      <c r="C216" s="17"/>
      <c r="D216" s="17"/>
      <c r="E216" s="641">
        <f>E209+SUM(E211:E215)</f>
        <v>56775.210000000006</v>
      </c>
      <c r="F216" s="641">
        <f>F209+SUM(F211:F215)</f>
        <v>87017.14</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13.5" thickTop="1">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c r="A218" s="56"/>
      <c r="B218" s="17"/>
      <c r="C218" s="17"/>
      <c r="D218" s="17"/>
      <c r="E218" s="53"/>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idden="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t="15" hidden="1">
      <c r="A221" s="211"/>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idden="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5" hidden="1">
      <c r="B246" s="213"/>
      <c r="C246" s="18"/>
      <c r="D246" s="18"/>
      <c r="E246" s="18"/>
      <c r="F246" s="215"/>
      <c r="G246" s="18"/>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2.6" hidden="1" customHeight="1">
      <c r="B247" s="213" t="s">
        <v>196</v>
      </c>
      <c r="C247" s="214"/>
      <c r="D247" s="214">
        <f>$C$58+$C$59-D249</f>
        <v>0</v>
      </c>
      <c r="E247" s="18"/>
      <c r="F247" s="215" t="s">
        <v>197</v>
      </c>
      <c r="G247" s="18"/>
      <c r="H247" s="18"/>
      <c r="I247" s="18"/>
      <c r="J247" s="18"/>
      <c r="K247" s="18"/>
      <c r="L247" s="18"/>
      <c r="M247" s="18"/>
      <c r="N247" s="17"/>
      <c r="O247" s="17"/>
      <c r="P247" s="17"/>
      <c r="Q247" s="17"/>
      <c r="R247" s="17"/>
      <c r="S247" s="17"/>
      <c r="T247" s="17"/>
      <c r="U247" s="17"/>
      <c r="V247" s="17"/>
      <c r="W247" s="17"/>
      <c r="X247" s="17"/>
      <c r="Y247" s="17"/>
      <c r="Z247" s="17"/>
      <c r="AA247" s="17"/>
      <c r="AB247" s="17"/>
      <c r="AC247" s="17"/>
    </row>
    <row r="248" spans="1:29" ht="14.25" hidden="1" customHeight="1">
      <c r="B248" s="216" t="s">
        <v>64</v>
      </c>
      <c r="C248" s="18">
        <f>($C$58+$C$59-663)/113.8*13.8</f>
        <v>-80.398945518453431</v>
      </c>
      <c r="D248" s="18"/>
      <c r="E248" s="7"/>
      <c r="F248" s="393" t="s">
        <v>397</v>
      </c>
      <c r="G248" s="18"/>
      <c r="H248" s="18"/>
      <c r="I248" s="18"/>
      <c r="J248" s="18"/>
      <c r="K248" s="18"/>
      <c r="L248" s="18"/>
      <c r="M248" s="18"/>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8"/>
      <c r="I249" s="18"/>
      <c r="J249" s="18"/>
      <c r="K249" s="18"/>
      <c r="L249" s="18"/>
      <c r="M249" s="18"/>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8"/>
      <c r="I250" s="18"/>
      <c r="J250" s="18"/>
      <c r="K250" s="18"/>
      <c r="L250" s="18"/>
      <c r="M250" s="18"/>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8"/>
      <c r="I251" s="18"/>
      <c r="J251" s="18"/>
      <c r="K251" s="18"/>
      <c r="L251" s="18"/>
      <c r="M251" s="18"/>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8"/>
      <c r="I252" s="18"/>
      <c r="J252" s="18"/>
      <c r="K252" s="18"/>
      <c r="L252" s="18"/>
      <c r="M252" s="18"/>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8"/>
      <c r="I253" s="18"/>
      <c r="J253" s="18"/>
      <c r="K253" s="18"/>
      <c r="L253" s="18"/>
      <c r="M253" s="18"/>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8"/>
      <c r="I254" s="18"/>
      <c r="J254" s="18"/>
      <c r="K254" s="18"/>
      <c r="L254" s="18"/>
      <c r="M254" s="18"/>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8"/>
      <c r="I255" s="18"/>
      <c r="J255" s="18"/>
      <c r="K255" s="18"/>
      <c r="L255" s="18"/>
      <c r="M255" s="18"/>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8"/>
      <c r="I256" s="18"/>
      <c r="J256" s="18"/>
      <c r="K256" s="18"/>
      <c r="L256" s="18"/>
      <c r="M256" s="18"/>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8"/>
      <c r="I257" s="18"/>
      <c r="J257" s="18"/>
      <c r="K257" s="18"/>
      <c r="L257" s="18"/>
      <c r="M257" s="18"/>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8"/>
      <c r="I258" s="18"/>
      <c r="J258" s="18"/>
      <c r="K258" s="18"/>
      <c r="L258" s="18"/>
      <c r="M258" s="18"/>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8"/>
      <c r="I259" s="18"/>
      <c r="J259" s="18"/>
      <c r="K259" s="18"/>
      <c r="L259" s="18"/>
      <c r="M259" s="18"/>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8"/>
      <c r="I260" s="18"/>
      <c r="J260" s="18"/>
      <c r="K260" s="18"/>
      <c r="L260" s="18"/>
      <c r="M260" s="18"/>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c r="H261" s="18"/>
      <c r="I261" s="18"/>
      <c r="J261" s="18"/>
      <c r="K261" s="18"/>
      <c r="L261" s="18"/>
      <c r="M261" s="18"/>
      <c r="N261" s="17"/>
      <c r="O261" s="17"/>
      <c r="P261" s="17"/>
      <c r="Q261" s="17"/>
      <c r="R261" s="17"/>
      <c r="S261" s="17"/>
      <c r="T261" s="17"/>
      <c r="U261" s="17"/>
      <c r="V261" s="17"/>
      <c r="W261" s="17"/>
      <c r="X261" s="17"/>
      <c r="Y261" s="17"/>
      <c r="Z261" s="17"/>
      <c r="AA261" s="17"/>
      <c r="AB261" s="17"/>
      <c r="AC261" s="17"/>
    </row>
    <row r="262" spans="1:29" ht="15" hidden="1">
      <c r="B262" s="216"/>
      <c r="C262" s="214">
        <v>0</v>
      </c>
      <c r="D262" s="214">
        <f>MAX(C261:C262)</f>
        <v>0</v>
      </c>
      <c r="E262" s="220"/>
      <c r="H262" s="18"/>
      <c r="I262" s="18"/>
      <c r="J262" s="18"/>
      <c r="K262" s="18"/>
      <c r="L262" s="18"/>
      <c r="M262" s="18"/>
      <c r="N262" s="17"/>
      <c r="O262" s="17"/>
      <c r="P262" s="17"/>
      <c r="Q262" s="17"/>
      <c r="R262" s="17"/>
      <c r="S262" s="17"/>
      <c r="T262" s="17"/>
      <c r="U262" s="17"/>
      <c r="V262" s="17"/>
      <c r="W262" s="17"/>
      <c r="X262" s="17"/>
      <c r="Y262" s="17"/>
      <c r="Z262" s="17"/>
      <c r="AA262" s="17"/>
      <c r="AB262" s="17"/>
      <c r="AC262" s="17"/>
    </row>
    <row r="263" spans="1:29" ht="15" hidden="1">
      <c r="B263" s="216" t="s">
        <v>203</v>
      </c>
      <c r="C263" s="329">
        <v>0</v>
      </c>
      <c r="D263" s="329">
        <v>0</v>
      </c>
      <c r="E263" s="220"/>
    </row>
    <row r="264" spans="1:29" ht="15" hidden="1">
      <c r="B264" s="330" t="s">
        <v>204</v>
      </c>
      <c r="C264" s="20"/>
      <c r="E264" s="219">
        <f>D263+D262+D260+D258+D256</f>
        <v>0</v>
      </c>
    </row>
    <row r="265" spans="1:29" ht="15.75" hidden="1" thickBot="1">
      <c r="B265" s="330" t="s">
        <v>69</v>
      </c>
      <c r="C265" s="20"/>
      <c r="E265" s="331">
        <f>E254+E264</f>
        <v>0</v>
      </c>
    </row>
    <row r="266" spans="1:29" ht="13.5" hidden="1" thickTop="1"/>
    <row r="267" spans="1:29" hidden="1"/>
    <row r="268" spans="1:29" ht="15" hidden="1">
      <c r="A268" s="211" t="s">
        <v>318</v>
      </c>
      <c r="B268" s="17"/>
      <c r="D268" s="212"/>
      <c r="E268" s="17"/>
      <c r="F268" s="17"/>
    </row>
    <row r="269" spans="1:29" hidden="1">
      <c r="B269" s="18"/>
      <c r="C269" s="18"/>
      <c r="D269" s="18"/>
      <c r="E269" s="18"/>
      <c r="F269" s="18"/>
    </row>
    <row r="270" spans="1:29" ht="15" hidden="1">
      <c r="B270" s="213" t="s">
        <v>196</v>
      </c>
      <c r="C270" s="214"/>
      <c r="D270" s="214">
        <f>$C$58+$C$59-D272</f>
        <v>0</v>
      </c>
      <c r="E270" s="18"/>
      <c r="F270" s="215" t="s">
        <v>197</v>
      </c>
    </row>
    <row r="271" spans="1:29" hidden="1">
      <c r="B271" s="216" t="s">
        <v>64</v>
      </c>
      <c r="C271" s="18">
        <f>($C$58+$C$59-641)/113.8*13.8</f>
        <v>-77.7311072056239</v>
      </c>
      <c r="D271" s="18"/>
      <c r="E271" s="7"/>
      <c r="F271" s="393" t="s">
        <v>324</v>
      </c>
    </row>
    <row r="272" spans="1:29" hidden="1">
      <c r="B272" s="216"/>
      <c r="C272" s="214">
        <v>0</v>
      </c>
      <c r="D272" s="214">
        <f>MAX(C271:C272)</f>
        <v>0</v>
      </c>
      <c r="E272" s="7"/>
      <c r="F272" s="216"/>
    </row>
    <row r="273" spans="2:6" hidden="1">
      <c r="B273" s="216" t="s">
        <v>65</v>
      </c>
      <c r="C273" s="18">
        <f>IF((D248&lt;3454.17), ((D248-645)*0.12),((3539.58-645)*0.12))</f>
        <v>-77.399999999999991</v>
      </c>
      <c r="D273" s="18"/>
      <c r="E273" s="7"/>
      <c r="F273" s="393" t="s">
        <v>323</v>
      </c>
    </row>
    <row r="274" spans="2:6" hidden="1">
      <c r="B274" s="216"/>
      <c r="C274" s="214">
        <v>0</v>
      </c>
      <c r="D274" s="214">
        <f>MAX(C273:C274)</f>
        <v>0</v>
      </c>
      <c r="E274" s="7"/>
      <c r="F274" s="216"/>
    </row>
    <row r="275" spans="2:6" hidden="1">
      <c r="B275" s="216" t="s">
        <v>120</v>
      </c>
      <c r="C275" s="18">
        <f>(D248-3454.17)*0.02</f>
        <v>-69.083399999999997</v>
      </c>
      <c r="D275" s="18"/>
      <c r="E275" s="7"/>
      <c r="F275" s="393" t="s">
        <v>322</v>
      </c>
    </row>
    <row r="276" spans="2:6" hidden="1">
      <c r="B276" s="217"/>
      <c r="C276" s="214">
        <v>0</v>
      </c>
      <c r="D276" s="214">
        <f>MAX(C275:C276)</f>
        <v>0</v>
      </c>
      <c r="E276" s="7"/>
      <c r="F276" s="216"/>
    </row>
    <row r="277" spans="2:6" ht="15" hidden="1">
      <c r="B277" s="218" t="s">
        <v>198</v>
      </c>
      <c r="C277" s="71"/>
      <c r="D277" s="71"/>
      <c r="E277" s="219">
        <f>D276+D274+D272</f>
        <v>0</v>
      </c>
      <c r="F277" s="216"/>
    </row>
    <row r="278" spans="2:6" ht="15" hidden="1">
      <c r="D278" s="18"/>
      <c r="E278" s="220"/>
      <c r="F278" s="327" t="s">
        <v>210</v>
      </c>
    </row>
    <row r="279" spans="2:6" ht="15" hidden="1">
      <c r="B279" s="217" t="s">
        <v>199</v>
      </c>
      <c r="C279" s="328">
        <f>IF((D248&lt;12500),0,((D248-12500)*0.45))</f>
        <v>0</v>
      </c>
      <c r="D279" s="214">
        <f>C279</f>
        <v>0</v>
      </c>
      <c r="E279" s="220"/>
      <c r="F279" s="216"/>
    </row>
    <row r="280" spans="2:6" ht="15" hidden="1">
      <c r="B280" s="217" t="s">
        <v>200</v>
      </c>
      <c r="C280" s="20">
        <f>IF((D248&lt;12500),(((D248-8333.33)*0.4)+(786.67*0.4)),(((12500-8333.33)*0.4)+(786.67*0.4)))</f>
        <v>-3018.6640000000002</v>
      </c>
      <c r="D280" s="18"/>
      <c r="E280" s="220"/>
      <c r="F280" s="327" t="s">
        <v>209</v>
      </c>
    </row>
    <row r="281" spans="2:6" ht="15" hidden="1">
      <c r="B281" s="217"/>
      <c r="C281" s="214">
        <v>0</v>
      </c>
      <c r="D281" s="214">
        <f>MAX(C280:C281)</f>
        <v>0</v>
      </c>
      <c r="E281" s="220"/>
      <c r="F281" s="217"/>
    </row>
    <row r="282" spans="2:6" ht="15" hidden="1">
      <c r="B282" s="216" t="s">
        <v>201</v>
      </c>
      <c r="C282" s="20">
        <f>IF((D248&lt;8333.33),((D248-3454.17)*0.4),((8333.33-3454.17)*0.4))</f>
        <v>-1381.6680000000001</v>
      </c>
      <c r="D282" s="18"/>
      <c r="E282" s="220"/>
      <c r="F282" s="393" t="s">
        <v>321</v>
      </c>
    </row>
    <row r="283" spans="2:6" ht="15" hidden="1">
      <c r="B283" s="216"/>
      <c r="C283" s="214">
        <v>0</v>
      </c>
      <c r="D283" s="214">
        <f>MAX(C282:C283)</f>
        <v>0</v>
      </c>
      <c r="E283" s="220"/>
      <c r="F283" s="393" t="s">
        <v>320</v>
      </c>
    </row>
    <row r="284" spans="2:6" ht="15" hidden="1">
      <c r="B284" s="216" t="s">
        <v>202</v>
      </c>
      <c r="C284" s="20">
        <f>IF((D248&lt;3454.17),((D248-786.67)*0.2),(2667.5*0.2))</f>
        <v>-157.334</v>
      </c>
      <c r="D284" s="18"/>
      <c r="E284" s="221"/>
      <c r="F284" s="393" t="s">
        <v>319</v>
      </c>
    </row>
    <row r="285" spans="2:6" ht="15" hidden="1">
      <c r="B285" s="216"/>
      <c r="C285" s="214">
        <v>0</v>
      </c>
      <c r="D285" s="214">
        <f>MAX(C284:C285)</f>
        <v>0</v>
      </c>
      <c r="E285" s="220"/>
    </row>
    <row r="286" spans="2:6" ht="15" hidden="1">
      <c r="B286" s="216" t="s">
        <v>203</v>
      </c>
      <c r="C286" s="329">
        <v>0</v>
      </c>
      <c r="D286" s="329">
        <v>0</v>
      </c>
      <c r="E286" s="220"/>
    </row>
    <row r="287" spans="2:6" ht="15" hidden="1">
      <c r="B287" s="330" t="s">
        <v>204</v>
      </c>
      <c r="C287" s="20"/>
      <c r="E287" s="219">
        <f>D286+D285+D283+D281+D279</f>
        <v>0</v>
      </c>
    </row>
    <row r="288" spans="2:6"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sheetData>
  <sheetProtection password="CE8E" sheet="1" objects="1" scenarios="1"/>
  <phoneticPr fontId="0" type="noConversion"/>
  <conditionalFormatting sqref="G79 G93:G196">
    <cfRule type="expression" dxfId="352" priority="31" stopIfTrue="1">
      <formula>$E$12&gt;0</formula>
    </cfRule>
  </conditionalFormatting>
  <conditionalFormatting sqref="G79 G93:G196">
    <cfRule type="expression" dxfId="351" priority="32" stopIfTrue="1">
      <formula>$E$12&gt;0</formula>
    </cfRule>
    <cfRule type="expression" priority="33" stopIfTrue="1">
      <formula>$E$12 &gt;0</formula>
    </cfRule>
  </conditionalFormatting>
  <conditionalFormatting sqref="G79 G93:G196">
    <cfRule type="expression" dxfId="350" priority="30" stopIfTrue="1">
      <formula>"e12&gt;0"</formula>
    </cfRule>
  </conditionalFormatting>
  <conditionalFormatting sqref="G91">
    <cfRule type="expression" dxfId="349" priority="28" stopIfTrue="1">
      <formula>$E$12&gt;0</formula>
    </cfRule>
    <cfRule type="expression" priority="29" stopIfTrue="1">
      <formula>$E$12 &gt;0</formula>
    </cfRule>
  </conditionalFormatting>
  <conditionalFormatting sqref="G91">
    <cfRule type="expression" dxfId="348" priority="27" stopIfTrue="1">
      <formula>$E$12&gt;0</formula>
    </cfRule>
  </conditionalFormatting>
  <conditionalFormatting sqref="G91">
    <cfRule type="expression" dxfId="347" priority="26" stopIfTrue="1">
      <formula>"e12&gt;0"</formula>
    </cfRule>
  </conditionalFormatting>
  <conditionalFormatting sqref="G90">
    <cfRule type="expression" dxfId="346" priority="24" stopIfTrue="1">
      <formula>$E$12&gt;0</formula>
    </cfRule>
    <cfRule type="expression" priority="25" stopIfTrue="1">
      <formula>$E$12 &gt;0</formula>
    </cfRule>
  </conditionalFormatting>
  <conditionalFormatting sqref="G90">
    <cfRule type="expression" dxfId="345" priority="23" stopIfTrue="1">
      <formula>$E$12&gt;0</formula>
    </cfRule>
  </conditionalFormatting>
  <conditionalFormatting sqref="G90">
    <cfRule type="expression" dxfId="344" priority="22" stopIfTrue="1">
      <formula>"e12&gt;0"</formula>
    </cfRule>
  </conditionalFormatting>
  <conditionalFormatting sqref="G80:G82 G87:G88">
    <cfRule type="expression" dxfId="343" priority="15">
      <formula>$E$12&gt;0</formula>
    </cfRule>
  </conditionalFormatting>
  <conditionalFormatting sqref="G80:G82 G87:G88">
    <cfRule type="expression" dxfId="342" priority="16">
      <formula>$E$12&gt;0</formula>
    </cfRule>
  </conditionalFormatting>
  <conditionalFormatting sqref="G80:G82 G87:G88">
    <cfRule type="expression" dxfId="341" priority="17">
      <formula>"e12&gt;0"</formula>
    </cfRule>
  </conditionalFormatting>
  <conditionalFormatting sqref="G80:G82 G87:G88">
    <cfRule type="expression" dxfId="340" priority="18">
      <formula>$E$12&gt;0</formula>
    </cfRule>
  </conditionalFormatting>
  <conditionalFormatting sqref="G80:G82 G87:G88">
    <cfRule type="expression" dxfId="339" priority="19">
      <formula>$E$12</formula>
    </cfRule>
  </conditionalFormatting>
  <conditionalFormatting sqref="G80:G82 G87:G88">
    <cfRule type="expression" dxfId="338" priority="20">
      <formula>$E$12</formula>
    </cfRule>
  </conditionalFormatting>
  <conditionalFormatting sqref="G80:G82 G87:G88">
    <cfRule type="expression" dxfId="337" priority="21">
      <formula>"e12&gt;0"</formula>
    </cfRule>
  </conditionalFormatting>
  <conditionalFormatting sqref="G89">
    <cfRule type="expression" dxfId="336" priority="12">
      <formula>$E$12&gt;0</formula>
    </cfRule>
  </conditionalFormatting>
  <conditionalFormatting sqref="G89">
    <cfRule type="expression" dxfId="335" priority="13">
      <formula>$E$12&gt;0</formula>
    </cfRule>
  </conditionalFormatting>
  <conditionalFormatting sqref="G89">
    <cfRule type="expression" dxfId="334" priority="14">
      <formula>"e12&gt;0"</formula>
    </cfRule>
  </conditionalFormatting>
  <conditionalFormatting sqref="G83:G86">
    <cfRule type="expression" dxfId="333" priority="5">
      <formula>$E$12&gt;0</formula>
    </cfRule>
  </conditionalFormatting>
  <conditionalFormatting sqref="G83:G86">
    <cfRule type="expression" dxfId="332" priority="6">
      <formula>$E$12&gt;0</formula>
    </cfRule>
  </conditionalFormatting>
  <conditionalFormatting sqref="G83:G86">
    <cfRule type="expression" dxfId="331" priority="7">
      <formula>"e12&gt;0"</formula>
    </cfRule>
  </conditionalFormatting>
  <conditionalFormatting sqref="G83:G86">
    <cfRule type="expression" dxfId="330" priority="8">
      <formula>$E$12&gt;0</formula>
    </cfRule>
  </conditionalFormatting>
  <conditionalFormatting sqref="G83:G86">
    <cfRule type="expression" dxfId="329" priority="9">
      <formula>$E$12</formula>
    </cfRule>
  </conditionalFormatting>
  <conditionalFormatting sqref="G83:G86">
    <cfRule type="expression" dxfId="328" priority="10">
      <formula>$E$12</formula>
    </cfRule>
  </conditionalFormatting>
  <conditionalFormatting sqref="G83:G86">
    <cfRule type="expression" dxfId="327" priority="11">
      <formula>"e12&gt;0"</formula>
    </cfRule>
  </conditionalFormatting>
  <conditionalFormatting sqref="G92">
    <cfRule type="expression" dxfId="326" priority="2" stopIfTrue="1">
      <formula>$E$12&gt;0</formula>
    </cfRule>
  </conditionalFormatting>
  <conditionalFormatting sqref="G92">
    <cfRule type="expression" dxfId="325" priority="3" stopIfTrue="1">
      <formula>$E$12&gt;0</formula>
    </cfRule>
    <cfRule type="expression" priority="4" stopIfTrue="1">
      <formula>$E$12 &gt;0</formula>
    </cfRule>
  </conditionalFormatting>
  <conditionalFormatting sqref="G92">
    <cfRule type="expression" dxfId="324" priority="1" stopIfTrue="1">
      <formula>"e12&gt;0"</formula>
    </cfRule>
  </conditionalFormatting>
  <pageMargins left="0.74803149606299213" right="0.74803149606299213" top="0.98425196850393704" bottom="0.98425196850393704" header="0.51181102362204722" footer="0.51181102362204722"/>
  <pageSetup paperSize="9" scale="47" fitToHeight="4" orientation="landscape" horizontalDpi="300" verticalDpi="300" r:id="rId1"/>
  <headerFooter alignWithMargins="0">
    <oddFooter>&amp;C&amp;"Bodoni Bd BT,Bold Italic"&amp;9Page &amp;P of &amp;N</oddFooter>
  </headerFooter>
  <ignoredErrors>
    <ignoredError sqref="E216:F216 D41:E52 B41 E9 E11:E1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0259" r:id="rId4" name="Check Box 19">
              <controlPr defaultSize="0" autoFill="0" autoLine="0" autoPict="0">
                <anchor moveWithCells="1">
                  <from>
                    <xdr:col>6</xdr:col>
                    <xdr:colOff>161925</xdr:colOff>
                    <xdr:row>214</xdr:row>
                    <xdr:rowOff>142875</xdr:rowOff>
                  </from>
                  <to>
                    <xdr:col>7</xdr:col>
                    <xdr:colOff>657225</xdr:colOff>
                    <xdr:row>215</xdr:row>
                    <xdr:rowOff>171450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BE294"/>
  <sheetViews>
    <sheetView showZeros="0" topLeftCell="A75" zoomScale="70" zoomScaleNormal="70" workbookViewId="0">
      <pane xSplit="7" topLeftCell="H1" activePane="topRight" state="frozen"/>
      <selection activeCell="L49" sqref="L49"/>
      <selection pane="topRight" activeCell="I101" sqref="I101"/>
    </sheetView>
  </sheetViews>
  <sheetFormatPr defaultColWidth="0" defaultRowHeight="12.75"/>
  <cols>
    <col min="1" max="1" width="10.7109375" style="7" customWidth="1"/>
    <col min="2" max="2" width="25.7109375" style="7" customWidth="1"/>
    <col min="3" max="3" width="17.7109375" style="7" customWidth="1"/>
    <col min="4"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1" width="10.42578125" style="629" hidden="1" customWidth="1"/>
    <col min="32" max="32" width="12.7109375" style="634" customWidth="1"/>
    <col min="33" max="33" width="17.140625" style="7" hidden="1" customWidth="1"/>
    <col min="34" max="16384" width="0" style="7" hidden="1"/>
  </cols>
  <sheetData>
    <row r="1" spans="1:29" ht="13.5" thickBot="1"/>
    <row r="2" spans="1:29" ht="29.45" customHeight="1" thickBot="1">
      <c r="A2" s="81" t="str">
        <f>'Nov 17'!A2</f>
        <v>Design-spectrum Limited</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86" t="s">
        <v>84</v>
      </c>
      <c r="B4" s="87"/>
      <c r="C4" s="85">
        <f>'Jan 18'!C4+31</f>
        <v>43133</v>
      </c>
      <c r="F4" s="21"/>
      <c r="G4" s="21"/>
      <c r="H4" s="21"/>
      <c r="I4" s="21"/>
      <c r="J4" s="21"/>
      <c r="K4" s="21"/>
      <c r="L4" s="21"/>
      <c r="M4" s="21"/>
      <c r="N4" s="21"/>
      <c r="O4" s="21"/>
      <c r="P4" s="21"/>
      <c r="Q4" s="22"/>
      <c r="R4" s="22"/>
      <c r="S4" s="22"/>
      <c r="T4" s="22"/>
      <c r="U4" s="22"/>
      <c r="V4" s="22"/>
      <c r="W4" s="22"/>
      <c r="X4" s="22"/>
      <c r="Y4" s="22"/>
      <c r="Z4" s="22"/>
      <c r="AA4" s="22"/>
      <c r="AB4" s="22"/>
      <c r="AC4" s="22"/>
    </row>
    <row r="6" spans="1:29" ht="13.5" thickBot="1"/>
    <row r="7" spans="1:29" ht="21" thickBot="1">
      <c r="A7" s="101" t="s">
        <v>0</v>
      </c>
      <c r="B7" s="102"/>
      <c r="C7" s="102"/>
      <c r="D7" s="102"/>
      <c r="E7" s="102"/>
      <c r="F7" s="102"/>
      <c r="G7" s="103"/>
      <c r="H7" s="23"/>
      <c r="I7" s="101" t="s">
        <v>211</v>
      </c>
      <c r="J7" s="102"/>
      <c r="K7" s="102"/>
      <c r="L7" s="103"/>
      <c r="M7" s="7"/>
    </row>
    <row r="8" spans="1:29" ht="13.5" thickBot="1">
      <c r="A8" s="24"/>
      <c r="B8" s="24"/>
      <c r="C8" s="24"/>
      <c r="D8" s="5"/>
      <c r="E8" s="5"/>
      <c r="F8" s="5"/>
      <c r="G8" s="5"/>
      <c r="H8" s="5"/>
      <c r="I8" s="5"/>
      <c r="J8" s="5"/>
      <c r="K8" s="5"/>
      <c r="L8" s="5"/>
      <c r="M8" s="7"/>
    </row>
    <row r="9" spans="1:29" ht="15.75" thickBot="1">
      <c r="A9" s="25" t="s">
        <v>2</v>
      </c>
      <c r="B9" s="24"/>
      <c r="C9" s="24"/>
      <c r="D9" s="26"/>
      <c r="E9" s="334" t="str">
        <f>'Jan 18'!E9</f>
        <v>n</v>
      </c>
      <c r="F9" s="241">
        <f>IF(E9="Both","enter sales invoices manually at row 30 onwards",0)</f>
        <v>0</v>
      </c>
      <c r="G9" s="5"/>
      <c r="H9" s="5"/>
      <c r="I9" s="5"/>
      <c r="J9" s="5"/>
      <c r="K9" s="5"/>
      <c r="L9" s="5"/>
      <c r="M9" s="5"/>
    </row>
    <row r="10" spans="1:29" ht="15.75" thickBot="1">
      <c r="A10" s="24"/>
      <c r="B10" s="24"/>
      <c r="C10" s="24"/>
      <c r="E10" s="27"/>
      <c r="F10" s="5"/>
      <c r="G10" s="5"/>
      <c r="H10" s="5"/>
      <c r="I10" s="5"/>
      <c r="J10" s="5"/>
      <c r="K10" s="5"/>
      <c r="L10" s="5"/>
      <c r="M10" s="5"/>
    </row>
    <row r="11" spans="1:29" ht="15.75" thickBot="1">
      <c r="A11" s="25" t="s">
        <v>4</v>
      </c>
      <c r="B11" s="24"/>
      <c r="C11" s="24"/>
      <c r="E11" s="334" t="str">
        <f>'Jan 18'!E11</f>
        <v>y</v>
      </c>
      <c r="F11" s="5"/>
      <c r="G11" s="5"/>
      <c r="H11" s="5"/>
      <c r="I11" s="5"/>
      <c r="J11" s="5"/>
      <c r="K11" s="65" t="s">
        <v>20</v>
      </c>
      <c r="L11" s="65"/>
      <c r="M11" s="5"/>
      <c r="N11" s="5"/>
      <c r="O11" s="14" t="s">
        <v>20</v>
      </c>
    </row>
    <row r="12" spans="1:29" ht="15.75" thickBot="1">
      <c r="A12" s="25" t="s">
        <v>306</v>
      </c>
      <c r="B12" s="24"/>
      <c r="C12" s="24"/>
      <c r="E12" s="335">
        <f>'Jan 18'!E12</f>
        <v>0.16500000000000001</v>
      </c>
      <c r="F12" s="5"/>
      <c r="G12" s="5"/>
      <c r="H12" s="5"/>
      <c r="I12" s="5"/>
      <c r="J12" s="5"/>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2"/>
      <c r="C16" s="33" t="s">
        <v>77</v>
      </c>
      <c r="D16" s="346">
        <f>'Jan 18'!D54</f>
        <v>0</v>
      </c>
      <c r="E16" s="346">
        <f>'Jan 18'!E54</f>
        <v>19250</v>
      </c>
      <c r="F16" s="346">
        <f>'Jan 18'!F54</f>
        <v>23100</v>
      </c>
      <c r="G16" s="259">
        <f>'Jan 18'!G54</f>
        <v>3850</v>
      </c>
      <c r="H16" s="34"/>
      <c r="I16" s="153" t="s">
        <v>20</v>
      </c>
      <c r="J16" s="152" t="s">
        <v>77</v>
      </c>
      <c r="K16" s="154"/>
      <c r="L16" s="486">
        <f>'Jan 18'!L54</f>
        <v>46200</v>
      </c>
      <c r="M16" s="263">
        <f>'Jan 18'!M54</f>
        <v>66.53</v>
      </c>
      <c r="N16" s="263">
        <f>'Jan 18'!N54</f>
        <v>0</v>
      </c>
      <c r="O16" s="263">
        <f>'Jan 18'!O54</f>
        <v>50488.86</v>
      </c>
      <c r="P16" s="257">
        <f>'Jan 18'!P54</f>
        <v>-61.079999999999991</v>
      </c>
      <c r="Q16" s="17"/>
    </row>
    <row r="17" spans="1:16">
      <c r="A17" s="555"/>
      <c r="B17" s="548" t="s">
        <v>475</v>
      </c>
      <c r="C17" s="2"/>
      <c r="D17" s="346">
        <f>IF(E$9="y",F17-G17,0)</f>
        <v>0</v>
      </c>
      <c r="E17" s="346">
        <f>IF(E$9="n",F17-G17,0)</f>
        <v>13200</v>
      </c>
      <c r="F17" s="742">
        <v>15840</v>
      </c>
      <c r="G17" s="551">
        <f>IF(($E$11="n"),0,IF((LEFT(C17,1)="v"),F17,IF((LEFT(C17,1)="z"),0,F17*1/6)))</f>
        <v>2640</v>
      </c>
      <c r="H17" s="34"/>
      <c r="I17" s="560"/>
      <c r="J17" s="743" t="s">
        <v>477</v>
      </c>
      <c r="K17" s="567"/>
      <c r="L17" s="585">
        <v>15840</v>
      </c>
      <c r="M17" s="562"/>
      <c r="N17" s="562"/>
      <c r="O17" s="562"/>
      <c r="P17" s="563"/>
    </row>
    <row r="18" spans="1:16">
      <c r="A18" s="555"/>
      <c r="B18" s="1"/>
      <c r="C18" s="2"/>
      <c r="D18" s="346">
        <f t="shared" ref="D18:D52" si="0">IF(E$9="y",F18-G18,0)</f>
        <v>0</v>
      </c>
      <c r="E18" s="346">
        <f t="shared" ref="E18:E52" si="1">IF(E$9="n",F18-G18,0)</f>
        <v>0</v>
      </c>
      <c r="F18" s="558"/>
      <c r="G18" s="551">
        <f t="shared" ref="G18:G52" si="2">IF(($E$11="n"),0,IF((LEFT(C18,1)="v"),F18,IF((LEFT(C18,1)="z"),0,F18*1/6)))</f>
        <v>0</v>
      </c>
      <c r="H18" s="34"/>
      <c r="I18" s="560"/>
      <c r="J18" s="565"/>
      <c r="K18" s="567"/>
      <c r="L18" s="585"/>
      <c r="M18" s="562"/>
      <c r="N18" s="562"/>
      <c r="O18" s="562"/>
      <c r="P18" s="563">
        <v>2.5</v>
      </c>
    </row>
    <row r="19" spans="1:16">
      <c r="A19" s="555"/>
      <c r="B19" s="1"/>
      <c r="C19" s="2"/>
      <c r="D19" s="346">
        <f t="shared" si="0"/>
        <v>0</v>
      </c>
      <c r="E19" s="346">
        <f t="shared" si="1"/>
        <v>0</v>
      </c>
      <c r="F19" s="558"/>
      <c r="G19" s="551">
        <f t="shared" si="2"/>
        <v>0</v>
      </c>
      <c r="H19" s="34"/>
      <c r="I19" s="560"/>
      <c r="J19" s="565"/>
      <c r="K19" s="567"/>
      <c r="L19" s="585"/>
      <c r="M19" s="562"/>
      <c r="N19" s="562"/>
      <c r="O19" s="562"/>
      <c r="P19" s="563"/>
    </row>
    <row r="20" spans="1:16">
      <c r="A20" s="555"/>
      <c r="B20" s="1"/>
      <c r="C20" s="2"/>
      <c r="D20" s="346">
        <f t="shared" si="0"/>
        <v>0</v>
      </c>
      <c r="E20" s="346">
        <f t="shared" si="1"/>
        <v>0</v>
      </c>
      <c r="F20" s="558"/>
      <c r="G20" s="551">
        <f t="shared" si="2"/>
        <v>0</v>
      </c>
      <c r="H20" s="34"/>
      <c r="I20" s="560"/>
      <c r="J20" s="565"/>
      <c r="K20" s="567"/>
      <c r="L20" s="585"/>
      <c r="M20" s="562"/>
      <c r="N20" s="562"/>
      <c r="O20" s="562"/>
      <c r="P20" s="563"/>
    </row>
    <row r="21" spans="1:16">
      <c r="A21" s="555"/>
      <c r="B21" s="1"/>
      <c r="C21" s="2"/>
      <c r="D21" s="346">
        <f t="shared" si="0"/>
        <v>0</v>
      </c>
      <c r="E21" s="346">
        <f t="shared" si="1"/>
        <v>0</v>
      </c>
      <c r="F21" s="558"/>
      <c r="G21" s="551">
        <f t="shared" si="2"/>
        <v>0</v>
      </c>
      <c r="H21" s="34"/>
      <c r="I21" s="560"/>
      <c r="J21" s="565"/>
      <c r="K21" s="567"/>
      <c r="L21" s="585"/>
      <c r="M21" s="562"/>
      <c r="N21" s="562"/>
      <c r="O21" s="562"/>
      <c r="P21" s="563"/>
    </row>
    <row r="22" spans="1:16">
      <c r="A22" s="555"/>
      <c r="B22" s="1"/>
      <c r="C22" s="2"/>
      <c r="D22" s="346">
        <f t="shared" si="0"/>
        <v>0</v>
      </c>
      <c r="E22" s="346">
        <f t="shared" si="1"/>
        <v>0</v>
      </c>
      <c r="F22" s="558"/>
      <c r="G22" s="551">
        <f t="shared" si="2"/>
        <v>0</v>
      </c>
      <c r="H22" s="34"/>
      <c r="I22" s="560"/>
      <c r="J22" s="565"/>
      <c r="K22" s="567"/>
      <c r="L22" s="585"/>
      <c r="M22" s="562"/>
      <c r="N22" s="562"/>
      <c r="O22" s="562"/>
      <c r="P22" s="563"/>
    </row>
    <row r="23" spans="1:16">
      <c r="A23" s="555"/>
      <c r="B23" s="1"/>
      <c r="C23" s="2"/>
      <c r="D23" s="346">
        <f t="shared" si="0"/>
        <v>0</v>
      </c>
      <c r="E23" s="346">
        <f t="shared" si="1"/>
        <v>0</v>
      </c>
      <c r="F23" s="558"/>
      <c r="G23" s="551">
        <f t="shared" si="2"/>
        <v>0</v>
      </c>
      <c r="H23" s="34"/>
      <c r="I23" s="560"/>
      <c r="J23" s="565"/>
      <c r="K23" s="567"/>
      <c r="L23" s="585"/>
      <c r="M23" s="562"/>
      <c r="N23" s="562"/>
      <c r="O23" s="562"/>
      <c r="P23" s="563"/>
    </row>
    <row r="24" spans="1:16">
      <c r="A24" s="555"/>
      <c r="B24" s="1"/>
      <c r="C24" s="2"/>
      <c r="D24" s="346">
        <f t="shared" si="0"/>
        <v>0</v>
      </c>
      <c r="E24" s="346">
        <f t="shared" si="1"/>
        <v>0</v>
      </c>
      <c r="F24" s="558"/>
      <c r="G24" s="551">
        <f t="shared" si="2"/>
        <v>0</v>
      </c>
      <c r="H24" s="34"/>
      <c r="I24" s="560"/>
      <c r="J24" s="565"/>
      <c r="K24" s="567"/>
      <c r="L24" s="585"/>
      <c r="M24" s="562"/>
      <c r="N24" s="562"/>
      <c r="O24" s="562"/>
      <c r="P24" s="563"/>
    </row>
    <row r="25" spans="1:16">
      <c r="A25" s="555"/>
      <c r="B25" s="1"/>
      <c r="C25" s="2"/>
      <c r="D25" s="346">
        <f t="shared" si="0"/>
        <v>0</v>
      </c>
      <c r="E25" s="346">
        <f t="shared" si="1"/>
        <v>0</v>
      </c>
      <c r="F25" s="558"/>
      <c r="G25" s="551">
        <f t="shared" si="2"/>
        <v>0</v>
      </c>
      <c r="H25" s="34"/>
      <c r="I25" s="560"/>
      <c r="J25" s="565"/>
      <c r="K25" s="567"/>
      <c r="L25" s="585"/>
      <c r="M25" s="562"/>
      <c r="N25" s="562"/>
      <c r="O25" s="562"/>
      <c r="P25" s="563"/>
    </row>
    <row r="26" spans="1:16">
      <c r="A26" s="555"/>
      <c r="B26" s="1"/>
      <c r="C26" s="2"/>
      <c r="D26" s="346">
        <f t="shared" si="0"/>
        <v>0</v>
      </c>
      <c r="E26" s="346">
        <f t="shared" si="1"/>
        <v>0</v>
      </c>
      <c r="F26" s="558"/>
      <c r="G26" s="551">
        <f t="shared" si="2"/>
        <v>0</v>
      </c>
      <c r="H26" s="34"/>
      <c r="I26" s="560"/>
      <c r="J26" s="565"/>
      <c r="K26" s="567"/>
      <c r="L26" s="585"/>
      <c r="M26" s="562"/>
      <c r="N26" s="562"/>
      <c r="O26" s="562"/>
      <c r="P26" s="563"/>
    </row>
    <row r="27" spans="1:16">
      <c r="A27" s="555"/>
      <c r="B27" s="1"/>
      <c r="C27" s="2"/>
      <c r="D27" s="346">
        <f t="shared" si="0"/>
        <v>0</v>
      </c>
      <c r="E27" s="346">
        <f t="shared" si="1"/>
        <v>0</v>
      </c>
      <c r="F27" s="558"/>
      <c r="G27" s="551">
        <f t="shared" si="2"/>
        <v>0</v>
      </c>
      <c r="H27" s="34"/>
      <c r="I27" s="560"/>
      <c r="J27" s="565"/>
      <c r="K27" s="567"/>
      <c r="L27" s="585"/>
      <c r="M27" s="562"/>
      <c r="N27" s="562"/>
      <c r="O27" s="562"/>
      <c r="P27" s="563"/>
    </row>
    <row r="28" spans="1:16">
      <c r="A28" s="555"/>
      <c r="B28" s="1"/>
      <c r="C28" s="2"/>
      <c r="D28" s="346">
        <f t="shared" si="0"/>
        <v>0</v>
      </c>
      <c r="E28" s="346">
        <f t="shared" si="1"/>
        <v>0</v>
      </c>
      <c r="F28" s="558"/>
      <c r="G28" s="551">
        <f t="shared" si="2"/>
        <v>0</v>
      </c>
      <c r="H28" s="34"/>
      <c r="I28" s="560"/>
      <c r="J28" s="565"/>
      <c r="K28" s="567"/>
      <c r="L28" s="585"/>
      <c r="M28" s="562"/>
      <c r="N28" s="562"/>
      <c r="O28" s="562"/>
      <c r="P28" s="563"/>
    </row>
    <row r="29" spans="1:16">
      <c r="A29" s="555"/>
      <c r="B29" s="1"/>
      <c r="C29" s="2"/>
      <c r="D29" s="346">
        <f t="shared" si="0"/>
        <v>0</v>
      </c>
      <c r="E29" s="346">
        <f t="shared" si="1"/>
        <v>0</v>
      </c>
      <c r="F29" s="558"/>
      <c r="G29" s="551">
        <f t="shared" si="2"/>
        <v>0</v>
      </c>
      <c r="H29" s="34"/>
      <c r="I29" s="560"/>
      <c r="J29" s="565"/>
      <c r="K29" s="567"/>
      <c r="L29" s="585"/>
      <c r="M29" s="562"/>
      <c r="N29" s="562"/>
      <c r="O29" s="562"/>
      <c r="P29" s="563"/>
    </row>
    <row r="30" spans="1:16">
      <c r="A30" s="555"/>
      <c r="B30" s="1"/>
      <c r="C30" s="2"/>
      <c r="D30" s="346">
        <f t="shared" si="0"/>
        <v>0</v>
      </c>
      <c r="E30" s="346">
        <f t="shared" si="1"/>
        <v>0</v>
      </c>
      <c r="F30" s="558"/>
      <c r="G30" s="551">
        <f t="shared" si="2"/>
        <v>0</v>
      </c>
      <c r="H30" s="34"/>
      <c r="I30" s="560"/>
      <c r="J30" s="565"/>
      <c r="K30" s="567"/>
      <c r="L30" s="585"/>
      <c r="M30" s="562"/>
      <c r="N30" s="562"/>
      <c r="O30" s="562"/>
      <c r="P30" s="563"/>
    </row>
    <row r="31" spans="1:16">
      <c r="A31" s="555"/>
      <c r="B31" s="1"/>
      <c r="C31" s="2"/>
      <c r="D31" s="346">
        <f t="shared" si="0"/>
        <v>0</v>
      </c>
      <c r="E31" s="346">
        <f t="shared" si="1"/>
        <v>0</v>
      </c>
      <c r="F31" s="558"/>
      <c r="G31" s="551">
        <f t="shared" si="2"/>
        <v>0</v>
      </c>
      <c r="H31" s="34"/>
      <c r="I31" s="560"/>
      <c r="J31" s="565"/>
      <c r="K31" s="567"/>
      <c r="L31" s="585"/>
      <c r="M31" s="562"/>
      <c r="N31" s="562"/>
      <c r="O31" s="562"/>
      <c r="P31" s="563"/>
    </row>
    <row r="32" spans="1:16">
      <c r="A32" s="555"/>
      <c r="B32" s="1"/>
      <c r="C32" s="2"/>
      <c r="D32" s="346">
        <f t="shared" si="0"/>
        <v>0</v>
      </c>
      <c r="E32" s="346">
        <f t="shared" si="1"/>
        <v>0</v>
      </c>
      <c r="F32" s="558"/>
      <c r="G32" s="551">
        <f t="shared" si="2"/>
        <v>0</v>
      </c>
      <c r="H32" s="34"/>
      <c r="I32" s="560"/>
      <c r="J32" s="565"/>
      <c r="K32" s="567"/>
      <c r="L32" s="585"/>
      <c r="M32" s="562"/>
      <c r="N32" s="562"/>
      <c r="O32" s="562"/>
      <c r="P32" s="563"/>
    </row>
    <row r="33" spans="1:16">
      <c r="A33" s="555"/>
      <c r="B33" s="1"/>
      <c r="C33" s="2"/>
      <c r="D33" s="346">
        <f t="shared" si="0"/>
        <v>0</v>
      </c>
      <c r="E33" s="346">
        <f t="shared" si="1"/>
        <v>0</v>
      </c>
      <c r="F33" s="558"/>
      <c r="G33" s="551">
        <f t="shared" si="2"/>
        <v>0</v>
      </c>
      <c r="H33" s="34"/>
      <c r="I33" s="560"/>
      <c r="J33" s="565"/>
      <c r="K33" s="567"/>
      <c r="L33" s="585"/>
      <c r="M33" s="562"/>
      <c r="N33" s="562"/>
      <c r="O33" s="562"/>
      <c r="P33" s="563"/>
    </row>
    <row r="34" spans="1:16">
      <c r="A34" s="555"/>
      <c r="B34" s="1"/>
      <c r="C34" s="2"/>
      <c r="D34" s="346">
        <f t="shared" si="0"/>
        <v>0</v>
      </c>
      <c r="E34" s="346">
        <f t="shared" si="1"/>
        <v>0</v>
      </c>
      <c r="F34" s="558"/>
      <c r="G34" s="551">
        <f t="shared" si="2"/>
        <v>0</v>
      </c>
      <c r="H34" s="34"/>
      <c r="I34" s="560"/>
      <c r="J34" s="565"/>
      <c r="K34" s="567"/>
      <c r="L34" s="585"/>
      <c r="M34" s="562"/>
      <c r="N34" s="562"/>
      <c r="O34" s="562"/>
      <c r="P34" s="563"/>
    </row>
    <row r="35" spans="1:16">
      <c r="A35" s="555"/>
      <c r="B35" s="1"/>
      <c r="C35" s="2"/>
      <c r="D35" s="346">
        <f t="shared" si="0"/>
        <v>0</v>
      </c>
      <c r="E35" s="346">
        <f t="shared" si="1"/>
        <v>0</v>
      </c>
      <c r="F35" s="558"/>
      <c r="G35" s="551">
        <f t="shared" si="2"/>
        <v>0</v>
      </c>
      <c r="H35" s="34"/>
      <c r="I35" s="560"/>
      <c r="J35" s="565"/>
      <c r="K35" s="567"/>
      <c r="L35" s="585"/>
      <c r="M35" s="562"/>
      <c r="N35" s="562"/>
      <c r="O35" s="562"/>
      <c r="P35" s="563"/>
    </row>
    <row r="36" spans="1:16">
      <c r="A36" s="555"/>
      <c r="B36" s="1"/>
      <c r="C36" s="2"/>
      <c r="D36" s="346">
        <f t="shared" si="0"/>
        <v>0</v>
      </c>
      <c r="E36" s="346">
        <f t="shared" si="1"/>
        <v>0</v>
      </c>
      <c r="F36" s="558"/>
      <c r="G36" s="551">
        <f t="shared" si="2"/>
        <v>0</v>
      </c>
      <c r="H36" s="34"/>
      <c r="I36" s="560"/>
      <c r="J36" s="565"/>
      <c r="K36" s="567"/>
      <c r="L36" s="585"/>
      <c r="M36" s="562"/>
      <c r="N36" s="562"/>
      <c r="O36" s="562"/>
      <c r="P36" s="563"/>
    </row>
    <row r="37" spans="1:16">
      <c r="A37" s="555"/>
      <c r="B37" s="1"/>
      <c r="C37" s="2"/>
      <c r="D37" s="346">
        <f t="shared" si="0"/>
        <v>0</v>
      </c>
      <c r="E37" s="346">
        <f t="shared" si="1"/>
        <v>0</v>
      </c>
      <c r="F37" s="558"/>
      <c r="G37" s="551">
        <f t="shared" si="2"/>
        <v>0</v>
      </c>
      <c r="H37" s="34"/>
      <c r="I37" s="560"/>
      <c r="J37" s="565"/>
      <c r="K37" s="567"/>
      <c r="L37" s="585"/>
      <c r="M37" s="562"/>
      <c r="N37" s="562"/>
      <c r="O37" s="562"/>
      <c r="P37" s="563"/>
    </row>
    <row r="38" spans="1:16">
      <c r="A38" s="555"/>
      <c r="B38" s="1"/>
      <c r="C38" s="2"/>
      <c r="D38" s="346">
        <f t="shared" si="0"/>
        <v>0</v>
      </c>
      <c r="E38" s="346">
        <f t="shared" si="1"/>
        <v>0</v>
      </c>
      <c r="F38" s="558"/>
      <c r="G38" s="551">
        <f t="shared" si="2"/>
        <v>0</v>
      </c>
      <c r="H38" s="34"/>
      <c r="I38" s="560"/>
      <c r="J38" s="565"/>
      <c r="K38" s="567"/>
      <c r="L38" s="585"/>
      <c r="M38" s="562"/>
      <c r="N38" s="562"/>
      <c r="O38" s="562"/>
      <c r="P38" s="563"/>
    </row>
    <row r="39" spans="1:16" hidden="1">
      <c r="A39" s="555"/>
      <c r="B39" s="1"/>
      <c r="C39" s="2"/>
      <c r="D39" s="346">
        <f t="shared" si="0"/>
        <v>0</v>
      </c>
      <c r="E39" s="346">
        <f t="shared" si="1"/>
        <v>0</v>
      </c>
      <c r="F39" s="558"/>
      <c r="G39" s="551">
        <f t="shared" si="2"/>
        <v>0</v>
      </c>
      <c r="H39" s="34"/>
      <c r="I39" s="560"/>
      <c r="J39" s="565"/>
      <c r="K39" s="567"/>
      <c r="L39" s="585"/>
      <c r="M39" s="562"/>
      <c r="N39" s="562"/>
      <c r="O39" s="562"/>
      <c r="P39" s="563"/>
    </row>
    <row r="40" spans="1:16" hidden="1">
      <c r="A40" s="555"/>
      <c r="B40" s="1"/>
      <c r="C40" s="2"/>
      <c r="D40" s="346">
        <f t="shared" si="0"/>
        <v>0</v>
      </c>
      <c r="E40" s="346">
        <f t="shared" si="1"/>
        <v>0</v>
      </c>
      <c r="F40" s="558"/>
      <c r="G40" s="551">
        <f t="shared" si="2"/>
        <v>0</v>
      </c>
      <c r="H40" s="34"/>
      <c r="I40" s="560"/>
      <c r="J40" s="565"/>
      <c r="K40" s="567"/>
      <c r="L40" s="585"/>
      <c r="M40" s="562"/>
      <c r="N40" s="562"/>
      <c r="O40" s="562"/>
      <c r="P40" s="563"/>
    </row>
    <row r="41" spans="1:16" hidden="1">
      <c r="A41" s="555"/>
      <c r="B41" s="549">
        <f>IF(E9="Both","Enter manual values here",0)</f>
        <v>0</v>
      </c>
      <c r="C41" s="2"/>
      <c r="D41" s="552">
        <f t="shared" si="0"/>
        <v>0</v>
      </c>
      <c r="E41" s="552">
        <f t="shared" si="1"/>
        <v>0</v>
      </c>
      <c r="F41" s="558"/>
      <c r="G41" s="551">
        <f t="shared" si="2"/>
        <v>0</v>
      </c>
      <c r="H41" s="34"/>
      <c r="I41" s="560"/>
      <c r="J41" s="565"/>
      <c r="K41" s="567"/>
      <c r="L41" s="585"/>
      <c r="M41" s="562"/>
      <c r="N41" s="562"/>
      <c r="O41" s="562"/>
      <c r="P41" s="563"/>
    </row>
    <row r="42" spans="1:16" hidden="1">
      <c r="A42" s="555"/>
      <c r="B42" s="1"/>
      <c r="C42" s="2"/>
      <c r="D42" s="552">
        <f t="shared" si="0"/>
        <v>0</v>
      </c>
      <c r="E42" s="552">
        <f t="shared" si="1"/>
        <v>0</v>
      </c>
      <c r="F42" s="558"/>
      <c r="G42" s="551">
        <f t="shared" si="2"/>
        <v>0</v>
      </c>
      <c r="H42" s="34"/>
      <c r="I42" s="560"/>
      <c r="J42" s="565"/>
      <c r="K42" s="567"/>
      <c r="L42" s="585"/>
      <c r="M42" s="562"/>
      <c r="N42" s="562"/>
      <c r="O42" s="562"/>
      <c r="P42" s="563"/>
    </row>
    <row r="43" spans="1:16" hidden="1">
      <c r="A43" s="555"/>
      <c r="B43" s="1"/>
      <c r="C43" s="2"/>
      <c r="D43" s="552">
        <f t="shared" si="0"/>
        <v>0</v>
      </c>
      <c r="E43" s="552">
        <f t="shared" si="1"/>
        <v>0</v>
      </c>
      <c r="F43" s="558"/>
      <c r="G43" s="551">
        <f t="shared" si="2"/>
        <v>0</v>
      </c>
      <c r="H43" s="34"/>
      <c r="I43" s="560"/>
      <c r="J43" s="565"/>
      <c r="K43" s="567"/>
      <c r="L43" s="585"/>
      <c r="M43" s="562"/>
      <c r="N43" s="562"/>
      <c r="O43" s="562"/>
      <c r="P43" s="563"/>
    </row>
    <row r="44" spans="1:16" hidden="1">
      <c r="A44" s="555"/>
      <c r="B44" s="1"/>
      <c r="C44" s="2"/>
      <c r="D44" s="552">
        <f t="shared" si="0"/>
        <v>0</v>
      </c>
      <c r="E44" s="552">
        <f t="shared" si="1"/>
        <v>0</v>
      </c>
      <c r="F44" s="558"/>
      <c r="G44" s="551">
        <f t="shared" si="2"/>
        <v>0</v>
      </c>
      <c r="H44" s="34"/>
      <c r="I44" s="560"/>
      <c r="J44" s="565"/>
      <c r="K44" s="567"/>
      <c r="L44" s="585"/>
      <c r="M44" s="562"/>
      <c r="N44" s="562"/>
      <c r="O44" s="562"/>
      <c r="P44" s="563"/>
    </row>
    <row r="45" spans="1:16" hidden="1">
      <c r="A45" s="555"/>
      <c r="B45" s="1"/>
      <c r="C45" s="2"/>
      <c r="D45" s="552">
        <f t="shared" si="0"/>
        <v>0</v>
      </c>
      <c r="E45" s="552">
        <f t="shared" si="1"/>
        <v>0</v>
      </c>
      <c r="F45" s="558"/>
      <c r="G45" s="551">
        <f t="shared" si="2"/>
        <v>0</v>
      </c>
      <c r="H45" s="34"/>
      <c r="I45" s="560"/>
      <c r="J45" s="565"/>
      <c r="K45" s="567"/>
      <c r="L45" s="585"/>
      <c r="M45" s="562"/>
      <c r="N45" s="562"/>
      <c r="O45" s="562"/>
      <c r="P45" s="563"/>
    </row>
    <row r="46" spans="1:16" hidden="1">
      <c r="A46" s="555"/>
      <c r="B46" s="1"/>
      <c r="C46" s="2"/>
      <c r="D46" s="552">
        <f t="shared" si="0"/>
        <v>0</v>
      </c>
      <c r="E46" s="552">
        <f t="shared" si="1"/>
        <v>0</v>
      </c>
      <c r="F46" s="558"/>
      <c r="G46" s="551">
        <f t="shared" si="2"/>
        <v>0</v>
      </c>
      <c r="H46" s="34"/>
      <c r="I46" s="560"/>
      <c r="J46" s="565"/>
      <c r="K46" s="567"/>
      <c r="L46" s="585"/>
      <c r="M46" s="562"/>
      <c r="N46" s="562"/>
      <c r="O46" s="562"/>
      <c r="P46" s="563"/>
    </row>
    <row r="47" spans="1:16" hidden="1">
      <c r="A47" s="555"/>
      <c r="B47" s="1"/>
      <c r="C47" s="2"/>
      <c r="D47" s="552">
        <f t="shared" si="0"/>
        <v>0</v>
      </c>
      <c r="E47" s="552">
        <f t="shared" si="1"/>
        <v>0</v>
      </c>
      <c r="F47" s="558"/>
      <c r="G47" s="551">
        <f t="shared" si="2"/>
        <v>0</v>
      </c>
      <c r="H47" s="34"/>
      <c r="I47" s="560"/>
      <c r="J47" s="565"/>
      <c r="K47" s="567"/>
      <c r="L47" s="585"/>
      <c r="M47" s="562"/>
      <c r="N47" s="562"/>
      <c r="O47" s="562"/>
      <c r="P47" s="563"/>
    </row>
    <row r="48" spans="1:16" hidden="1">
      <c r="A48" s="555"/>
      <c r="B48" s="1"/>
      <c r="C48" s="2"/>
      <c r="D48" s="552">
        <f t="shared" si="0"/>
        <v>0</v>
      </c>
      <c r="E48" s="552">
        <f t="shared" si="1"/>
        <v>0</v>
      </c>
      <c r="F48" s="558"/>
      <c r="G48" s="551">
        <f t="shared" si="2"/>
        <v>0</v>
      </c>
      <c r="H48" s="34"/>
      <c r="I48" s="560"/>
      <c r="J48" s="565"/>
      <c r="K48" s="567"/>
      <c r="L48" s="585"/>
      <c r="M48" s="562"/>
      <c r="N48" s="562"/>
      <c r="O48" s="562"/>
      <c r="P48" s="563"/>
    </row>
    <row r="49" spans="1:32" hidden="1">
      <c r="A49" s="555"/>
      <c r="B49" s="1"/>
      <c r="C49" s="2"/>
      <c r="D49" s="552">
        <f t="shared" si="0"/>
        <v>0</v>
      </c>
      <c r="E49" s="552">
        <f t="shared" si="1"/>
        <v>0</v>
      </c>
      <c r="F49" s="558"/>
      <c r="G49" s="551">
        <f t="shared" si="2"/>
        <v>0</v>
      </c>
      <c r="H49" s="34"/>
      <c r="I49" s="560"/>
      <c r="J49" s="565"/>
      <c r="K49" s="567"/>
      <c r="L49" s="585"/>
      <c r="M49" s="562"/>
      <c r="N49" s="562"/>
      <c r="O49" s="562"/>
      <c r="P49" s="563"/>
    </row>
    <row r="50" spans="1:32" hidden="1">
      <c r="A50" s="555"/>
      <c r="B50" s="1"/>
      <c r="C50" s="2"/>
      <c r="D50" s="552">
        <f t="shared" si="0"/>
        <v>0</v>
      </c>
      <c r="E50" s="552">
        <f t="shared" si="1"/>
        <v>0</v>
      </c>
      <c r="F50" s="558"/>
      <c r="G50" s="551">
        <f t="shared" si="2"/>
        <v>0</v>
      </c>
      <c r="H50" s="34"/>
      <c r="I50" s="560"/>
      <c r="J50" s="565"/>
      <c r="K50" s="567"/>
      <c r="L50" s="585"/>
      <c r="M50" s="562"/>
      <c r="N50" s="562"/>
      <c r="O50" s="562"/>
      <c r="P50" s="563"/>
    </row>
    <row r="51" spans="1:32" hidden="1">
      <c r="A51" s="555"/>
      <c r="B51" s="1"/>
      <c r="C51" s="2"/>
      <c r="D51" s="552">
        <f t="shared" si="0"/>
        <v>0</v>
      </c>
      <c r="E51" s="552">
        <f t="shared" si="1"/>
        <v>0</v>
      </c>
      <c r="F51" s="558"/>
      <c r="G51" s="551">
        <f t="shared" si="2"/>
        <v>0</v>
      </c>
      <c r="H51" s="34"/>
      <c r="I51" s="560"/>
      <c r="J51" s="565"/>
      <c r="K51" s="567"/>
      <c r="L51" s="585"/>
      <c r="M51" s="562"/>
      <c r="N51" s="562"/>
      <c r="O51" s="562"/>
      <c r="P51" s="563"/>
    </row>
    <row r="52" spans="1:32" ht="13.5" thickBot="1">
      <c r="A52" s="556"/>
      <c r="B52" s="3"/>
      <c r="C52" s="4"/>
      <c r="D52" s="552">
        <f t="shared" si="0"/>
        <v>0</v>
      </c>
      <c r="E52" s="552">
        <f t="shared" si="1"/>
        <v>0</v>
      </c>
      <c r="F52" s="558"/>
      <c r="G52" s="551">
        <f t="shared" si="2"/>
        <v>0</v>
      </c>
      <c r="H52" s="34"/>
      <c r="I52" s="561"/>
      <c r="J52" s="566"/>
      <c r="K52" s="568"/>
      <c r="L52" s="586"/>
      <c r="M52" s="564"/>
      <c r="N52" s="564"/>
      <c r="O52" s="564"/>
      <c r="P52" s="587"/>
    </row>
    <row r="53" spans="1:32" s="10" customFormat="1" ht="14.25">
      <c r="A53" s="89" t="s">
        <v>26</v>
      </c>
      <c r="B53" s="90"/>
      <c r="C53" s="91"/>
      <c r="D53" s="92">
        <f>SUM(D17:D52)</f>
        <v>0</v>
      </c>
      <c r="E53" s="92">
        <f>SUM(E17:E52)</f>
        <v>13200</v>
      </c>
      <c r="F53" s="92">
        <f>SUM(F17:F52)</f>
        <v>15840</v>
      </c>
      <c r="G53" s="208">
        <f>SUM(G17:G52)</f>
        <v>2640</v>
      </c>
      <c r="H53" s="588"/>
      <c r="I53" s="589" t="s">
        <v>26</v>
      </c>
      <c r="J53" s="91"/>
      <c r="K53" s="590"/>
      <c r="L53" s="92">
        <f>SUM(L17:L52)</f>
        <v>15840</v>
      </c>
      <c r="M53" s="92">
        <f>SUM(M17:M52)</f>
        <v>0</v>
      </c>
      <c r="N53" s="92">
        <f>SUM(N17:N52)</f>
        <v>0</v>
      </c>
      <c r="O53" s="92">
        <f>SUM(O17:O52)</f>
        <v>0</v>
      </c>
      <c r="P53" s="208">
        <f>SUM(P17:P52)</f>
        <v>2.5</v>
      </c>
      <c r="AD53" s="630"/>
      <c r="AE53" s="630"/>
      <c r="AF53" s="634"/>
    </row>
    <row r="54" spans="1:32" s="10" customFormat="1" ht="13.5" thickBot="1">
      <c r="A54" s="38" t="s">
        <v>27</v>
      </c>
      <c r="B54" s="38"/>
      <c r="C54" s="38"/>
      <c r="D54" s="643">
        <f>SUM(D16:D52)</f>
        <v>0</v>
      </c>
      <c r="E54" s="643">
        <f>SUM(E16:E52)</f>
        <v>32450</v>
      </c>
      <c r="F54" s="643">
        <f>SUM(F16:F52)</f>
        <v>38940</v>
      </c>
      <c r="G54" s="644">
        <f>SUM(G16:G52)</f>
        <v>6490</v>
      </c>
      <c r="H54" s="588"/>
      <c r="I54" s="591" t="s">
        <v>27</v>
      </c>
      <c r="J54" s="38"/>
      <c r="K54" s="151"/>
      <c r="L54" s="643">
        <f>SUM(L16:L52)</f>
        <v>62040</v>
      </c>
      <c r="M54" s="643">
        <f>SUM(M16:M52)</f>
        <v>66.53</v>
      </c>
      <c r="N54" s="643">
        <f>SUM(N16:N52)</f>
        <v>0</v>
      </c>
      <c r="O54" s="643">
        <f>SUM(O16:O52)</f>
        <v>50488.86</v>
      </c>
      <c r="P54" s="645">
        <f>SUM(P16:P52)</f>
        <v>-58.579999999999991</v>
      </c>
      <c r="AD54" s="630"/>
      <c r="AE54" s="630"/>
      <c r="AF54" s="634"/>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c r="N57" s="18"/>
    </row>
    <row r="58" spans="1:32" ht="18" hidden="1">
      <c r="A58" s="66" t="s">
        <v>28</v>
      </c>
      <c r="B58" s="17"/>
      <c r="C58" s="75">
        <f>IF(E9="y",G59*0.95-(SUM(H197:K197)),0)</f>
        <v>0</v>
      </c>
      <c r="E58" s="113" t="s">
        <v>136</v>
      </c>
      <c r="F58" s="70" t="s">
        <v>138</v>
      </c>
      <c r="G58" s="70" t="s">
        <v>137</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13200</v>
      </c>
      <c r="F60" s="70">
        <f>+G60-E60</f>
        <v>26.399999999999636</v>
      </c>
      <c r="G60" s="70">
        <f>IF(E59+E60&lt;&gt;0,E60/(E59+E60)*(G61-G62),0)</f>
        <v>13226.4</v>
      </c>
      <c r="H60" s="18"/>
      <c r="I60" s="18"/>
      <c r="J60" s="18"/>
      <c r="K60" s="18"/>
      <c r="L60" s="18"/>
      <c r="M60" s="18"/>
    </row>
    <row r="61" spans="1:32" hidden="1">
      <c r="A61" s="16"/>
      <c r="B61" s="17"/>
      <c r="C61" s="16"/>
      <c r="D61" s="70" t="s">
        <v>16</v>
      </c>
      <c r="E61" s="70">
        <f>+F53</f>
        <v>15840</v>
      </c>
      <c r="F61" s="70">
        <f>+G61-E61</f>
        <v>0</v>
      </c>
      <c r="G61" s="70">
        <f>+E61</f>
        <v>15840</v>
      </c>
      <c r="H61" s="18"/>
      <c r="I61" s="18"/>
      <c r="J61" s="18"/>
      <c r="K61" s="18"/>
      <c r="L61" s="18"/>
      <c r="M61" s="18"/>
    </row>
    <row r="62" spans="1:32" hidden="1">
      <c r="A62" s="67" t="s">
        <v>29</v>
      </c>
      <c r="B62" s="17"/>
      <c r="C62" s="70">
        <f>IF(E243&lt;=0,0,IF(C4&lt;42095,E265,E243))</f>
        <v>0</v>
      </c>
      <c r="D62" s="70" t="s">
        <v>17</v>
      </c>
      <c r="E62" s="70">
        <f>+G53</f>
        <v>2640</v>
      </c>
      <c r="F62" s="70">
        <f>+G62-E62</f>
        <v>-26.400000000000091</v>
      </c>
      <c r="G62" s="70">
        <f>IF(E12&gt;0,(G61)*E12,E62)</f>
        <v>2613.6</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D73" s="7"/>
      <c r="E73" s="7"/>
      <c r="F73" s="7"/>
      <c r="G73" s="7"/>
      <c r="H73" s="7"/>
      <c r="I73" s="7"/>
      <c r="J73" s="7"/>
      <c r="K73" s="7"/>
      <c r="L73" s="7"/>
      <c r="M73" s="7"/>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5"/>
    </row>
    <row r="75" spans="1:56" ht="15">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5" t="s">
        <v>20</v>
      </c>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0"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row>
    <row r="78" spans="1:56" ht="13.5" thickBot="1">
      <c r="A78" s="580" t="s">
        <v>11</v>
      </c>
      <c r="B78" s="580" t="s">
        <v>13</v>
      </c>
      <c r="C78" s="594" t="s">
        <v>38</v>
      </c>
      <c r="D78" s="569" t="s">
        <v>39</v>
      </c>
      <c r="E78" s="569" t="s">
        <v>40</v>
      </c>
      <c r="F78" s="569" t="s">
        <v>155</v>
      </c>
      <c r="G78" s="595" t="s">
        <v>17</v>
      </c>
      <c r="H78" s="571" t="s">
        <v>294</v>
      </c>
      <c r="I78" s="570" t="s">
        <v>42</v>
      </c>
      <c r="J78" s="571" t="s">
        <v>127</v>
      </c>
      <c r="K78" s="570" t="s">
        <v>44</v>
      </c>
      <c r="L78" s="597" t="s">
        <v>161</v>
      </c>
      <c r="M78" s="597" t="s">
        <v>160</v>
      </c>
      <c r="N78" s="597" t="s">
        <v>49</v>
      </c>
      <c r="O78" s="570" t="s">
        <v>132</v>
      </c>
      <c r="P78" s="570" t="s">
        <v>45</v>
      </c>
      <c r="Q78" s="570" t="s">
        <v>46</v>
      </c>
      <c r="R78" s="571" t="s">
        <v>171</v>
      </c>
      <c r="S78" s="570" t="s">
        <v>113</v>
      </c>
      <c r="T78" s="571" t="s">
        <v>57</v>
      </c>
      <c r="U78" s="570" t="s">
        <v>50</v>
      </c>
      <c r="V78" s="571" t="s">
        <v>207</v>
      </c>
      <c r="W78" s="571" t="s">
        <v>175</v>
      </c>
      <c r="X78" s="571" t="s">
        <v>302</v>
      </c>
      <c r="Y78" s="570" t="s">
        <v>121</v>
      </c>
      <c r="Z78" s="571" t="s">
        <v>173</v>
      </c>
      <c r="AA78" s="571" t="s">
        <v>302</v>
      </c>
      <c r="AB78" s="597" t="s">
        <v>152</v>
      </c>
      <c r="AC78" s="570" t="s">
        <v>51</v>
      </c>
      <c r="AF78" s="634" t="s">
        <v>52</v>
      </c>
    </row>
    <row r="79" spans="1:56">
      <c r="A79" s="614"/>
      <c r="B79" s="345" t="s">
        <v>77</v>
      </c>
      <c r="C79" s="45"/>
      <c r="D79" s="615">
        <f>'Jan 18'!D198</f>
        <v>68855.489999999991</v>
      </c>
      <c r="E79" s="615">
        <f>'Jan 18'!E198</f>
        <v>-901</v>
      </c>
      <c r="F79" s="616">
        <f>'Jan 18'!F198</f>
        <v>0</v>
      </c>
      <c r="G79" s="617">
        <f>'Jan 18'!G198</f>
        <v>0</v>
      </c>
      <c r="H79" s="625">
        <f>'Jan 18'!H198</f>
        <v>675</v>
      </c>
      <c r="I79" s="559">
        <f>'Jan 18'!I198</f>
        <v>492</v>
      </c>
      <c r="J79" s="559">
        <f>'Jan 18'!J198</f>
        <v>105</v>
      </c>
      <c r="K79" s="559">
        <f>'Jan 18'!K198</f>
        <v>0</v>
      </c>
      <c r="L79" s="559">
        <f>'Jan 18'!L198</f>
        <v>7296</v>
      </c>
      <c r="M79" s="559">
        <f>'Jan 18'!M198</f>
        <v>0</v>
      </c>
      <c r="N79" s="559">
        <f>'Jan 18'!N198</f>
        <v>0</v>
      </c>
      <c r="O79" s="559">
        <f>'Jan 18'!O198</f>
        <v>0</v>
      </c>
      <c r="P79" s="559">
        <f>'Jan 18'!P198</f>
        <v>60</v>
      </c>
      <c r="Q79" s="559">
        <f>'Jan 18'!Q198</f>
        <v>0</v>
      </c>
      <c r="R79" s="559">
        <f>'Jan 18'!R198</f>
        <v>195</v>
      </c>
      <c r="S79" s="559">
        <f>'Jan 18'!S198</f>
        <v>165</v>
      </c>
      <c r="T79" s="559">
        <f>'Jan 18'!T198</f>
        <v>255</v>
      </c>
      <c r="U79" s="559">
        <f>'Jan 18'!U198</f>
        <v>414</v>
      </c>
      <c r="V79" s="559">
        <f>'Jan 18'!V198</f>
        <v>16.5</v>
      </c>
      <c r="W79" s="559">
        <f>'Jan 18'!W198</f>
        <v>285</v>
      </c>
      <c r="X79" s="559">
        <f>'Jan 18'!X198</f>
        <v>50555.39</v>
      </c>
      <c r="Y79" s="559">
        <f>'Jan 18'!Y198</f>
        <v>6969.6</v>
      </c>
      <c r="Z79" s="559">
        <f>'Jan 18'!Z198</f>
        <v>0</v>
      </c>
      <c r="AA79" s="559">
        <f>'Jan 18'!AA198</f>
        <v>0</v>
      </c>
      <c r="AB79" s="559">
        <f>'Jan 18'!AB198</f>
        <v>471</v>
      </c>
      <c r="AC79" s="259">
        <f>'Jan 18'!AC198</f>
        <v>0</v>
      </c>
      <c r="AG79" s="43">
        <f>IF(AF79=0,0,"ERROR HERE")</f>
        <v>0</v>
      </c>
      <c r="AH79" s="7">
        <f t="shared" ref="AH79:AH87" si="3">IF(OR(ISERROR(+H79/($D79+$E79-$G79)*$G79+H79),LEFT(F79,1)="x"),0,+H79/($D79+$E79-$G79)*$G79+H79)</f>
        <v>675</v>
      </c>
      <c r="AI79" s="7">
        <f t="shared" ref="AI79:AI87" si="4">IF(OR(ISERROR(+I79/($D79+$E79-$G79)*$G79+I79),LEFT(G79,1)="x"),0,+I79/($D79+$E79-$G79)*$G79+I79)</f>
        <v>492</v>
      </c>
      <c r="AJ79" s="7">
        <f t="shared" ref="AJ79:AJ87" si="5">IF(OR(ISERROR(+J79/($D79+$E79-$G79)*$G79+J79),LEFT(H79,1)="x"),0,+J79/($D79+$E79-$G79)*$G79+J79)</f>
        <v>105</v>
      </c>
      <c r="AK79" s="7">
        <f t="shared" ref="AK79:AK87" si="6">IF(OR(ISERROR(+K79/($D79+$E79-$G79)*$G79+K79),LEFT(I79,1)="x"),0,+K79/($D79+$E79-$G79)*$G79+K79)</f>
        <v>0</v>
      </c>
      <c r="AL79" s="7">
        <f t="shared" ref="AL79:AL87" si="7">IF(OR(ISERROR(+L79/($D79+$E79-$G79)*$G79+L79),LEFT(J79,1)="x"),0,+L79/($D79+$E79-$G79)*$G79+L79)</f>
        <v>7296</v>
      </c>
      <c r="AM79" s="7">
        <f t="shared" ref="AM79:AM87" si="8">IF(OR(ISERROR(+M79/($D79+$E79-$G79)*$G79+M79),LEFT(K79,1)="x"),0,+M79/($D79+$E79-$G79)*$G79+M79)</f>
        <v>0</v>
      </c>
      <c r="AN79" s="7">
        <f t="shared" ref="AN79:AN87" si="9">IF(OR(ISERROR(+N79/($D79+$E79-$G79)*$G79+N79),LEFT(L79,1)="x"),0,+N79/($D79+$E79-$G79)*$G79+N79)</f>
        <v>0</v>
      </c>
      <c r="AO79" s="7">
        <f t="shared" ref="AO79:AO87" si="10">IF(OR(ISERROR(+O79/($D79+$E79-$G79)*$G79+O79),LEFT(M79,1)="x"),0,+O79/($D79+$E79-$G79)*$G79+O79)</f>
        <v>0</v>
      </c>
      <c r="AP79" s="7">
        <f t="shared" ref="AP79:AP87" si="11">IF(OR(ISERROR(+P79/($D79+$E79-$G79)*$G79+P79),LEFT(N79,1)="x"),0,+P79/($D79+$E79-$G79)*$G79+P79)</f>
        <v>60</v>
      </c>
      <c r="AQ79" s="7">
        <f t="shared" ref="AQ79:AQ87" si="12">IF(OR(ISERROR(+Q79/($D79+$E79-$G79)*$G79+Q79),LEFT(O79,1)="x"),0,+Q79/($D79+$E79-$G79)*$G79+Q79)</f>
        <v>0</v>
      </c>
      <c r="AR79" s="7">
        <f t="shared" ref="AR79:AR87" si="13">IF(OR(ISERROR(+R79/($D79+$E79-$G79)*$G79+R79),LEFT(P79,1)="x"),0,+R79/($D79+$E79-$G79)*$G79+R79)</f>
        <v>195</v>
      </c>
      <c r="AS79" s="7">
        <f t="shared" ref="AS79:AS87" si="14">IF(OR(ISERROR(+S79/($D79+$E79-$G79)*$G79+S79),LEFT(Q79,1)="x"),0,+S79/($D79+$E79-$G79)*$G79+S79)</f>
        <v>165</v>
      </c>
      <c r="AT79" s="7">
        <f t="shared" ref="AT79:AT87" si="15">IF(OR(ISERROR(+T79/($D79+$E79-$G79)*$G79+T79),LEFT(R79,1)="x"),0,+T79/($D79+$E79-$G79)*$G79+T79)</f>
        <v>255</v>
      </c>
      <c r="AU79" s="7">
        <f t="shared" ref="AU79:AU87" si="16">IF(OR(ISERROR(+U79/($D79+$E79-$G79)*$G79+U79),LEFT(S79,1)="x"),0,+U79/($D79+$E79-$G79)*$G79+U79)</f>
        <v>414</v>
      </c>
      <c r="AV79" s="7">
        <f t="shared" ref="AV79:AV87" si="17">IF(OR(ISERROR(+V79/($D79+$E79-$G79)*$G79+V79),LEFT(T79,1)="x"),0,+V79/($D79+$E79-$G79)*$G79+V79)</f>
        <v>16.5</v>
      </c>
      <c r="AW79" s="7">
        <f t="shared" ref="AW79:AW87" si="18">IF(OR(ISERROR(+W79/($D79+$E79-$G79)*$G79+W79),LEFT(U79,1)="x"),0,+W79/($D79+$E79-$G79)*$G79+W79)</f>
        <v>285</v>
      </c>
      <c r="AX79" s="7">
        <f t="shared" ref="AX79:AX87" si="19">IF(OR(ISERROR(+X79/($D79+$E79-$G79)*$G79+X79),LEFT(V79,1)="x"),0,+X79/($D79+$E79-$G79)*$G79+X79)</f>
        <v>50555.39</v>
      </c>
      <c r="AY79" s="7">
        <f t="shared" ref="AY79:AY87" si="20">IF(OR(ISERROR(+Y79/($D79+$E79-$G79)*$G79+Y79),LEFT(W79,1)="x"),0,+Y79/($D79+$E79-$G79)*$G79+Y79)</f>
        <v>6969.6</v>
      </c>
      <c r="AZ79" s="7">
        <f t="shared" ref="AZ79:AZ87" si="21">IF(OR(ISERROR(+Z79/($D79+$E79-$G79)*$G79+Z79),LEFT(X79,1)="x"),0,+Z79/($D79+$E79-$G79)*$G79+Z79)</f>
        <v>0</v>
      </c>
      <c r="BA79" s="7">
        <f t="shared" ref="BA79:BA87" si="22">IF(OR(ISERROR(+AA79/($D79+$E79-$G79)*$G79+AA79),LEFT(Y79,1)="x"),0,+AA79/($D79+$E79-$G79)*$G79+AA79)</f>
        <v>0</v>
      </c>
      <c r="BB79" s="7">
        <f t="shared" ref="BB79:BB87" si="23">IF(OR(ISERROR(+AB79/($D79+$E79-$G79)*$G79+AB79),LEFT(Z79,1)="x"),0,+AB79/($D79+$E79-$G79)*$G79+AB79)</f>
        <v>471</v>
      </c>
      <c r="BC79" s="7">
        <f>IF(OR(ISERROR(+#REF!/($D79+$E79-$G79)*$G79+#REF!),LEFT(AA79,1)="x"),0,+#REF!/($D79+$E79-$G79)*$G79+#REF!)</f>
        <v>0</v>
      </c>
      <c r="BD79" s="7">
        <f>IF(OR(ISERROR(+AC79/($D79+$E79-$G79)*$G79+AC79),LEFT(Z79,1)="x"),0,+AC79/($D79+$E79-$G79)*$G79+AC79)</f>
        <v>0</v>
      </c>
    </row>
    <row r="80" spans="1:56">
      <c r="A80" s="555"/>
      <c r="B80" s="719" t="s">
        <v>462</v>
      </c>
      <c r="C80" s="719"/>
      <c r="D80" s="720">
        <v>924</v>
      </c>
      <c r="E80" s="721"/>
      <c r="F80" s="722"/>
      <c r="G80" s="723"/>
      <c r="H80" s="724"/>
      <c r="I80" s="724"/>
      <c r="J80" s="724"/>
      <c r="K80" s="725"/>
      <c r="L80" s="720">
        <v>924</v>
      </c>
      <c r="M80" s="725"/>
      <c r="N80" s="725"/>
      <c r="O80" s="725"/>
      <c r="P80" s="725"/>
      <c r="Q80" s="725"/>
      <c r="R80" s="726"/>
      <c r="S80" s="727"/>
      <c r="T80" s="725"/>
      <c r="U80" s="726"/>
      <c r="V80" s="726"/>
      <c r="W80" s="727"/>
      <c r="X80" s="726"/>
      <c r="Y80" s="726"/>
      <c r="Z80" s="726"/>
      <c r="AA80" s="726"/>
      <c r="AB80" s="726"/>
      <c r="AC80" s="563"/>
      <c r="AD80" s="629">
        <f t="shared" ref="AD80:AD143" si="24">SUM(G80:AC80)</f>
        <v>924</v>
      </c>
      <c r="AE80" s="629">
        <f>SUM(D80:F80)</f>
        <v>924</v>
      </c>
      <c r="AF80" s="634">
        <f t="shared" ref="AF80:AF143" si="25">AD80-AE80</f>
        <v>0</v>
      </c>
      <c r="AG80" s="43">
        <f>IF(AF80=0,0,"ERROR HERE")</f>
        <v>0</v>
      </c>
      <c r="AH80" s="7">
        <f t="shared" si="3"/>
        <v>0</v>
      </c>
      <c r="AI80" s="7">
        <f t="shared" si="4"/>
        <v>0</v>
      </c>
      <c r="AJ80" s="7">
        <f t="shared" si="5"/>
        <v>0</v>
      </c>
      <c r="AK80" s="7">
        <f t="shared" si="6"/>
        <v>0</v>
      </c>
      <c r="AL80" s="7">
        <f t="shared" si="7"/>
        <v>924</v>
      </c>
      <c r="AM80" s="7">
        <f t="shared" si="8"/>
        <v>0</v>
      </c>
      <c r="AN80" s="7">
        <f t="shared" si="9"/>
        <v>0</v>
      </c>
      <c r="AO80" s="7">
        <f t="shared" si="10"/>
        <v>0</v>
      </c>
      <c r="AP80" s="7">
        <f t="shared" si="11"/>
        <v>0</v>
      </c>
      <c r="AQ80" s="7">
        <f t="shared" si="12"/>
        <v>0</v>
      </c>
      <c r="AR80" s="7">
        <f t="shared" si="13"/>
        <v>0</v>
      </c>
      <c r="AS80" s="7">
        <f t="shared" si="14"/>
        <v>0</v>
      </c>
      <c r="AT80" s="7">
        <f t="shared" si="15"/>
        <v>0</v>
      </c>
      <c r="AU80" s="7">
        <f t="shared" si="16"/>
        <v>0</v>
      </c>
      <c r="AV80" s="7">
        <f t="shared" si="17"/>
        <v>0</v>
      </c>
      <c r="AW80" s="7">
        <f t="shared" si="18"/>
        <v>0</v>
      </c>
      <c r="AX80" s="7">
        <f t="shared" si="19"/>
        <v>0</v>
      </c>
      <c r="AY80" s="7">
        <f t="shared" si="20"/>
        <v>0</v>
      </c>
      <c r="AZ80" s="7">
        <f t="shared" si="21"/>
        <v>0</v>
      </c>
      <c r="BA80" s="7">
        <f t="shared" si="22"/>
        <v>0</v>
      </c>
      <c r="BB80" s="7">
        <f t="shared" si="23"/>
        <v>0</v>
      </c>
      <c r="BC80" s="7">
        <f>IF(OR(ISERROR(+#REF!/($D80+$E80-$G80)*$G80+#REF!),LEFT(AA80,1)="x"),0,+#REF!/($D80+$E80-$G80)*$G80+#REF!)</f>
        <v>0</v>
      </c>
      <c r="BD80" s="7">
        <f>IF(OR(ISERROR(+AC80/($D80+$E80-$G80)*$G80+AC80),LEFT(Z80,1)="x"),0,+AC80/($D80+$E80-$G80)*$G80+AC80)</f>
        <v>0</v>
      </c>
    </row>
    <row r="81" spans="1:57">
      <c r="A81" s="555"/>
      <c r="B81" s="719" t="s">
        <v>463</v>
      </c>
      <c r="C81" s="719"/>
      <c r="D81" s="719">
        <v>900</v>
      </c>
      <c r="E81" s="721"/>
      <c r="F81" s="722"/>
      <c r="G81" s="723"/>
      <c r="H81" s="724"/>
      <c r="I81" s="724"/>
      <c r="J81" s="724"/>
      <c r="K81" s="725"/>
      <c r="L81" s="719">
        <v>900</v>
      </c>
      <c r="M81" s="725"/>
      <c r="N81" s="725"/>
      <c r="O81" s="725"/>
      <c r="P81" s="725"/>
      <c r="Q81" s="725"/>
      <c r="R81" s="726"/>
      <c r="S81" s="727"/>
      <c r="T81" s="725"/>
      <c r="U81" s="726"/>
      <c r="V81" s="726"/>
      <c r="W81" s="727"/>
      <c r="X81" s="726"/>
      <c r="Y81" s="726"/>
      <c r="Z81" s="726"/>
      <c r="AA81" s="726"/>
      <c r="AB81" s="726"/>
      <c r="AC81" s="563"/>
      <c r="AD81" s="629">
        <f t="shared" si="24"/>
        <v>900</v>
      </c>
      <c r="AE81" s="629">
        <f t="shared" ref="AE81:AE144" si="26">SUM(D81:F81)</f>
        <v>900</v>
      </c>
      <c r="AF81" s="634">
        <f t="shared" si="25"/>
        <v>0</v>
      </c>
      <c r="AG81" s="43">
        <f>IF(AF81=0,0,"ERROR HERE")</f>
        <v>0</v>
      </c>
      <c r="AH81" s="7">
        <f t="shared" si="3"/>
        <v>0</v>
      </c>
      <c r="AI81" s="7">
        <f t="shared" si="4"/>
        <v>0</v>
      </c>
      <c r="AJ81" s="7">
        <f t="shared" si="5"/>
        <v>0</v>
      </c>
      <c r="AK81" s="7">
        <f t="shared" si="6"/>
        <v>0</v>
      </c>
      <c r="AL81" s="7">
        <f t="shared" si="7"/>
        <v>900</v>
      </c>
      <c r="AM81" s="7">
        <f t="shared" si="8"/>
        <v>0</v>
      </c>
      <c r="AN81" s="7">
        <f t="shared" si="9"/>
        <v>0</v>
      </c>
      <c r="AO81" s="7">
        <f t="shared" si="10"/>
        <v>0</v>
      </c>
      <c r="AP81" s="7">
        <f t="shared" si="11"/>
        <v>0</v>
      </c>
      <c r="AQ81" s="7">
        <f t="shared" si="12"/>
        <v>0</v>
      </c>
      <c r="AR81" s="7">
        <f t="shared" si="13"/>
        <v>0</v>
      </c>
      <c r="AS81" s="7">
        <f t="shared" si="14"/>
        <v>0</v>
      </c>
      <c r="AT81" s="7">
        <f t="shared" si="15"/>
        <v>0</v>
      </c>
      <c r="AU81" s="7">
        <f t="shared" si="16"/>
        <v>0</v>
      </c>
      <c r="AV81" s="7">
        <f t="shared" si="17"/>
        <v>0</v>
      </c>
      <c r="AW81" s="7">
        <f t="shared" si="18"/>
        <v>0</v>
      </c>
      <c r="AX81" s="7">
        <f t="shared" si="19"/>
        <v>0</v>
      </c>
      <c r="AY81" s="7">
        <f t="shared" si="20"/>
        <v>0</v>
      </c>
      <c r="AZ81" s="7">
        <f t="shared" si="21"/>
        <v>0</v>
      </c>
      <c r="BA81" s="7">
        <f t="shared" si="22"/>
        <v>0</v>
      </c>
      <c r="BB81" s="7">
        <f t="shared" si="23"/>
        <v>0</v>
      </c>
      <c r="BC81" s="7">
        <f>IF(OR(ISERROR(+#REF!/($D81+$E81-$G81)*$G81+#REF!),LEFT(AA81,1)="x"),0,+#REF!/($D81+$E81-$G81)*$G81+#REF!)</f>
        <v>0</v>
      </c>
      <c r="BD81" s="7">
        <f>IF(OR(ISERROR(+AC81/($D81+$E81-$G81)*$G81+AC81),LEFT(Z81,1)="x"),0,+AC81/($D81+$E81-$G81)*$G81+AC81)</f>
        <v>0</v>
      </c>
    </row>
    <row r="82" spans="1:57">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719"/>
      <c r="Y82" s="719"/>
      <c r="Z82" s="719"/>
      <c r="AA82" s="719"/>
      <c r="AB82" s="719"/>
      <c r="AC82" s="563"/>
      <c r="AD82" s="629">
        <f t="shared" si="24"/>
        <v>138</v>
      </c>
      <c r="AE82" s="629">
        <f t="shared" si="26"/>
        <v>138</v>
      </c>
      <c r="AF82" s="634">
        <f t="shared" si="25"/>
        <v>0</v>
      </c>
      <c r="AG82" s="43">
        <f>IF(AF82=0,0,"ERROR HERE - CHECK NUMBER IS CORRECTLY EXTENDED")</f>
        <v>0</v>
      </c>
      <c r="AH82" s="7">
        <f t="shared" si="3"/>
        <v>0</v>
      </c>
      <c r="AI82" s="7">
        <f t="shared" si="4"/>
        <v>0</v>
      </c>
      <c r="AJ82" s="7">
        <f t="shared" si="5"/>
        <v>0</v>
      </c>
      <c r="AK82" s="7">
        <f t="shared" si="6"/>
        <v>0</v>
      </c>
      <c r="AL82" s="7">
        <f t="shared" si="7"/>
        <v>0</v>
      </c>
      <c r="AM82" s="7">
        <f t="shared" si="8"/>
        <v>0</v>
      </c>
      <c r="AN82" s="7">
        <f t="shared" si="9"/>
        <v>0</v>
      </c>
      <c r="AO82" s="7">
        <f t="shared" si="10"/>
        <v>0</v>
      </c>
      <c r="AP82" s="7">
        <f t="shared" si="11"/>
        <v>0</v>
      </c>
      <c r="AQ82" s="7">
        <f t="shared" si="12"/>
        <v>0</v>
      </c>
      <c r="AR82" s="7">
        <f t="shared" si="13"/>
        <v>0</v>
      </c>
      <c r="AS82" s="7">
        <f t="shared" si="14"/>
        <v>0</v>
      </c>
      <c r="AT82" s="7">
        <f t="shared" si="15"/>
        <v>0</v>
      </c>
      <c r="AU82" s="7">
        <f t="shared" si="16"/>
        <v>138</v>
      </c>
      <c r="AV82" s="7">
        <f t="shared" si="17"/>
        <v>0</v>
      </c>
      <c r="AW82" s="7">
        <f t="shared" si="18"/>
        <v>0</v>
      </c>
      <c r="AX82" s="7">
        <f t="shared" si="19"/>
        <v>0</v>
      </c>
      <c r="AY82" s="7">
        <f t="shared" si="20"/>
        <v>0</v>
      </c>
      <c r="AZ82" s="7">
        <f t="shared" si="21"/>
        <v>0</v>
      </c>
      <c r="BA82" s="7">
        <f t="shared" si="22"/>
        <v>0</v>
      </c>
      <c r="BB82" s="7">
        <f t="shared" si="23"/>
        <v>0</v>
      </c>
      <c r="BC82" s="7">
        <f>IF(OR(ISERROR(+#REF!/($D82+$E82-$G82)*$G82+#REF!),LEFT(AA82,1)="x"),0,+#REF!/($D82+$E82-$G82)*$G82+#REF!)</f>
        <v>0</v>
      </c>
      <c r="BD82" s="7">
        <f>IF(OR(ISERROR(+#REF!/($D82+$E82-$G82)*$G82+#REF!),LEFT(AB82,1)="x"),0,+#REF!/($D82+$E82-$G82)*$G82+#REF!)</f>
        <v>0</v>
      </c>
      <c r="BE82" s="7" t="e">
        <f>IF(OR(ISERROR(+AC82/($D82+$E82-$G82)*$G82+AC82),LEFT(#REF!,1)="x"),0,+AC82/($D82+$E82-$G82)*$G82+AC82)</f>
        <v>#REF!</v>
      </c>
    </row>
    <row r="83" spans="1:57">
      <c r="A83" s="555"/>
      <c r="B83" s="719" t="s">
        <v>465</v>
      </c>
      <c r="C83" s="719"/>
      <c r="D83" s="721"/>
      <c r="E83" s="719">
        <v>164</v>
      </c>
      <c r="F83" s="722"/>
      <c r="G83" s="723"/>
      <c r="H83" s="724"/>
      <c r="I83" s="719">
        <v>164</v>
      </c>
      <c r="J83" s="724"/>
      <c r="K83" s="725"/>
      <c r="L83" s="725"/>
      <c r="M83" s="725"/>
      <c r="N83" s="725"/>
      <c r="O83" s="725"/>
      <c r="P83" s="725"/>
      <c r="Q83" s="725"/>
      <c r="R83" s="726"/>
      <c r="S83" s="727"/>
      <c r="T83" s="725"/>
      <c r="U83" s="726"/>
      <c r="V83" s="726"/>
      <c r="W83" s="727"/>
      <c r="X83" s="726"/>
      <c r="Y83" s="726"/>
      <c r="Z83" s="726"/>
      <c r="AA83" s="726"/>
      <c r="AB83" s="726"/>
      <c r="AC83" s="563"/>
      <c r="AD83" s="629">
        <f t="shared" si="24"/>
        <v>164</v>
      </c>
      <c r="AE83" s="629">
        <f t="shared" si="26"/>
        <v>164</v>
      </c>
      <c r="AF83" s="634">
        <f t="shared" si="25"/>
        <v>0</v>
      </c>
      <c r="AG83" s="43">
        <f>IF(AF83=0,0,"ERROR HERE")</f>
        <v>0</v>
      </c>
      <c r="AH83" s="7">
        <f t="shared" si="3"/>
        <v>0</v>
      </c>
      <c r="AI83" s="7">
        <f t="shared" si="4"/>
        <v>164</v>
      </c>
      <c r="AJ83" s="7">
        <f t="shared" si="5"/>
        <v>0</v>
      </c>
      <c r="AK83" s="7">
        <f t="shared" si="6"/>
        <v>0</v>
      </c>
      <c r="AL83" s="7">
        <f t="shared" si="7"/>
        <v>0</v>
      </c>
      <c r="AM83" s="7">
        <f t="shared" si="8"/>
        <v>0</v>
      </c>
      <c r="AN83" s="7">
        <f t="shared" si="9"/>
        <v>0</v>
      </c>
      <c r="AO83" s="7">
        <f t="shared" si="10"/>
        <v>0</v>
      </c>
      <c r="AP83" s="7">
        <f t="shared" si="11"/>
        <v>0</v>
      </c>
      <c r="AQ83" s="7">
        <f t="shared" si="12"/>
        <v>0</v>
      </c>
      <c r="AR83" s="7">
        <f t="shared" si="13"/>
        <v>0</v>
      </c>
      <c r="AS83" s="7">
        <f t="shared" si="14"/>
        <v>0</v>
      </c>
      <c r="AT83" s="7">
        <f t="shared" si="15"/>
        <v>0</v>
      </c>
      <c r="AU83" s="7">
        <f t="shared" si="16"/>
        <v>0</v>
      </c>
      <c r="AV83" s="7">
        <f t="shared" si="17"/>
        <v>0</v>
      </c>
      <c r="AW83" s="7">
        <f t="shared" si="18"/>
        <v>0</v>
      </c>
      <c r="AX83" s="7">
        <f t="shared" si="19"/>
        <v>0</v>
      </c>
      <c r="AY83" s="7">
        <f t="shared" si="20"/>
        <v>0</v>
      </c>
      <c r="AZ83" s="7">
        <f t="shared" si="21"/>
        <v>0</v>
      </c>
      <c r="BA83" s="7">
        <f t="shared" si="22"/>
        <v>0</v>
      </c>
      <c r="BB83" s="7">
        <f t="shared" si="23"/>
        <v>0</v>
      </c>
      <c r="BC83" s="7">
        <f>IF(OR(ISERROR(+#REF!/($D83+$E83-$G83)*$G83+#REF!),LEFT(AA83,1)="x"),0,+#REF!/($D83+$E83-$G83)*$G83+#REF!)</f>
        <v>0</v>
      </c>
      <c r="BD83" s="7">
        <f>IF(OR(ISERROR(+#REF!/($D83+$E83-$G83)*$G83+#REF!),LEFT(AB83,1)="x"),0,+#REF!/($D83+$E83-$G83)*$G83+#REF!)</f>
        <v>0</v>
      </c>
      <c r="BE83" s="7" t="e">
        <f>IF(OR(ISERROR(+AC83/($D83+$E83-$G83)*$G83+AC83),LEFT(#REF!,1)="x"),0,+AC83/($D83+$E83-$G83)*$G83+AC83)</f>
        <v>#REF!</v>
      </c>
    </row>
    <row r="84" spans="1:57">
      <c r="A84" s="555"/>
      <c r="B84" s="719" t="s">
        <v>466</v>
      </c>
      <c r="C84" s="719"/>
      <c r="D84" s="721"/>
      <c r="E84" s="719">
        <v>20</v>
      </c>
      <c r="F84" s="722"/>
      <c r="G84" s="723"/>
      <c r="H84" s="724"/>
      <c r="I84" s="724"/>
      <c r="J84" s="724"/>
      <c r="K84" s="725"/>
      <c r="L84" s="725"/>
      <c r="M84" s="725"/>
      <c r="N84" s="725"/>
      <c r="O84" s="725"/>
      <c r="P84" s="719">
        <v>20</v>
      </c>
      <c r="Q84" s="725"/>
      <c r="R84" s="726"/>
      <c r="S84" s="727"/>
      <c r="T84" s="725"/>
      <c r="U84" s="726"/>
      <c r="V84" s="726"/>
      <c r="W84" s="727"/>
      <c r="X84" s="726"/>
      <c r="Y84" s="726"/>
      <c r="Z84" s="726"/>
      <c r="AA84" s="726"/>
      <c r="AB84" s="726"/>
      <c r="AC84" s="563"/>
      <c r="AD84" s="629">
        <f t="shared" si="24"/>
        <v>20</v>
      </c>
      <c r="AE84" s="629">
        <f t="shared" si="26"/>
        <v>20</v>
      </c>
      <c r="AF84" s="634">
        <f t="shared" si="25"/>
        <v>0</v>
      </c>
      <c r="AG84" s="43">
        <f>IF(AF84=0,0,"ERROR HERE")</f>
        <v>0</v>
      </c>
      <c r="AH84" s="7">
        <f t="shared" si="3"/>
        <v>0</v>
      </c>
      <c r="AI84" s="7">
        <f t="shared" si="4"/>
        <v>0</v>
      </c>
      <c r="AJ84" s="7">
        <f t="shared" si="5"/>
        <v>0</v>
      </c>
      <c r="AK84" s="7">
        <f t="shared" si="6"/>
        <v>0</v>
      </c>
      <c r="AL84" s="7">
        <f t="shared" si="7"/>
        <v>0</v>
      </c>
      <c r="AM84" s="7">
        <f t="shared" si="8"/>
        <v>0</v>
      </c>
      <c r="AN84" s="7">
        <f t="shared" si="9"/>
        <v>0</v>
      </c>
      <c r="AO84" s="7">
        <f t="shared" si="10"/>
        <v>0</v>
      </c>
      <c r="AP84" s="7">
        <f t="shared" si="11"/>
        <v>20</v>
      </c>
      <c r="AQ84" s="7">
        <f t="shared" si="12"/>
        <v>0</v>
      </c>
      <c r="AR84" s="7">
        <f t="shared" si="13"/>
        <v>0</v>
      </c>
      <c r="AS84" s="7">
        <f t="shared" si="14"/>
        <v>0</v>
      </c>
      <c r="AT84" s="7">
        <f t="shared" si="15"/>
        <v>0</v>
      </c>
      <c r="AU84" s="7">
        <f t="shared" si="16"/>
        <v>0</v>
      </c>
      <c r="AV84" s="7">
        <f t="shared" si="17"/>
        <v>0</v>
      </c>
      <c r="AW84" s="7">
        <f t="shared" si="18"/>
        <v>0</v>
      </c>
      <c r="AX84" s="7">
        <f t="shared" si="19"/>
        <v>0</v>
      </c>
      <c r="AY84" s="7">
        <f t="shared" si="20"/>
        <v>0</v>
      </c>
      <c r="AZ84" s="7">
        <f t="shared" si="21"/>
        <v>0</v>
      </c>
      <c r="BA84" s="7">
        <f t="shared" si="22"/>
        <v>0</v>
      </c>
      <c r="BB84" s="7">
        <f t="shared" si="23"/>
        <v>0</v>
      </c>
      <c r="BC84" s="7">
        <f>IF(OR(ISERROR(+#REF!/($D84+$E84-$G84)*$G84+#REF!),LEFT(AA84,1)="x"),0,+#REF!/($D84+$E84-$G84)*$G84+#REF!)</f>
        <v>0</v>
      </c>
      <c r="BD84" s="7">
        <f>IF(OR(ISERROR(+#REF!/($D84+$E84-$G84)*$G84+#REF!),LEFT(AB84,1)="x"),0,+#REF!/($D84+$E84-$G84)*$G84+#REF!)</f>
        <v>0</v>
      </c>
      <c r="BE84" s="7" t="e">
        <f>IF(OR(ISERROR(+AC84/($D84+$E84-$G84)*$G84+AC84),LEFT(#REF!,1)="x"),0,+AC84/($D84+$E84-$G84)*$G84+AC84)</f>
        <v>#REF!</v>
      </c>
    </row>
    <row r="85" spans="1:57">
      <c r="A85" s="555"/>
      <c r="B85" s="719" t="s">
        <v>467</v>
      </c>
      <c r="C85" s="719"/>
      <c r="D85" s="721"/>
      <c r="E85" s="719">
        <v>95</v>
      </c>
      <c r="F85" s="722"/>
      <c r="G85" s="723"/>
      <c r="H85" s="724"/>
      <c r="I85" s="724"/>
      <c r="J85" s="724"/>
      <c r="K85" s="725"/>
      <c r="L85" s="725"/>
      <c r="M85" s="725"/>
      <c r="N85" s="725"/>
      <c r="O85" s="725"/>
      <c r="P85" s="725"/>
      <c r="Q85" s="725"/>
      <c r="R85" s="726"/>
      <c r="S85" s="727"/>
      <c r="T85" s="725"/>
      <c r="U85" s="719"/>
      <c r="V85" s="726"/>
      <c r="W85" s="719">
        <v>95</v>
      </c>
      <c r="X85" s="726"/>
      <c r="Y85" s="726"/>
      <c r="Z85" s="726"/>
      <c r="AA85" s="726"/>
      <c r="AB85" s="726"/>
      <c r="AC85" s="563"/>
      <c r="AD85" s="629">
        <f t="shared" si="24"/>
        <v>95</v>
      </c>
      <c r="AE85" s="629">
        <f t="shared" si="26"/>
        <v>95</v>
      </c>
      <c r="AF85" s="634">
        <f t="shared" si="25"/>
        <v>0</v>
      </c>
      <c r="AG85" s="43">
        <f>IF(AF85=0,0,"ERROR HERE")</f>
        <v>0</v>
      </c>
      <c r="AH85" s="7">
        <f t="shared" si="3"/>
        <v>0</v>
      </c>
      <c r="AI85" s="7">
        <f t="shared" si="4"/>
        <v>0</v>
      </c>
      <c r="AJ85" s="7">
        <f t="shared" si="5"/>
        <v>0</v>
      </c>
      <c r="AK85" s="7">
        <f t="shared" si="6"/>
        <v>0</v>
      </c>
      <c r="AL85" s="7">
        <f t="shared" si="7"/>
        <v>0</v>
      </c>
      <c r="AM85" s="7">
        <f t="shared" si="8"/>
        <v>0</v>
      </c>
      <c r="AN85" s="7">
        <f t="shared" si="9"/>
        <v>0</v>
      </c>
      <c r="AO85" s="7">
        <f t="shared" si="10"/>
        <v>0</v>
      </c>
      <c r="AP85" s="7">
        <f t="shared" si="11"/>
        <v>0</v>
      </c>
      <c r="AQ85" s="7">
        <f t="shared" si="12"/>
        <v>0</v>
      </c>
      <c r="AR85" s="7">
        <f t="shared" si="13"/>
        <v>0</v>
      </c>
      <c r="AS85" s="7">
        <f t="shared" si="14"/>
        <v>0</v>
      </c>
      <c r="AT85" s="7">
        <f t="shared" si="15"/>
        <v>0</v>
      </c>
      <c r="AU85" s="7">
        <f t="shared" si="16"/>
        <v>0</v>
      </c>
      <c r="AV85" s="7">
        <f t="shared" si="17"/>
        <v>0</v>
      </c>
      <c r="AW85" s="7">
        <f t="shared" si="18"/>
        <v>95</v>
      </c>
      <c r="AX85" s="7">
        <f t="shared" si="19"/>
        <v>0</v>
      </c>
      <c r="AY85" s="7">
        <f t="shared" si="20"/>
        <v>0</v>
      </c>
      <c r="AZ85" s="7">
        <f t="shared" si="21"/>
        <v>0</v>
      </c>
      <c r="BA85" s="7">
        <f t="shared" si="22"/>
        <v>0</v>
      </c>
      <c r="BB85" s="7">
        <f t="shared" si="23"/>
        <v>0</v>
      </c>
      <c r="BC85" s="7">
        <f>IF(OR(ISERROR(+#REF!/($D85+$E85-$G85)*$G85+#REF!),LEFT(AA85,1)="x"),0,+#REF!/($D85+$E85-$G85)*$G85+#REF!)</f>
        <v>0</v>
      </c>
      <c r="BD85" s="7">
        <f>IF(OR(ISERROR(+#REF!/($D85+$E85-$G85)*$G85+#REF!),LEFT(AB85,1)="x"),0,+#REF!/($D85+$E85-$G85)*$G85+#REF!)</f>
        <v>0</v>
      </c>
      <c r="BE85" s="7" t="e">
        <f>IF(OR(ISERROR(+AC85/($D85+$E85-$G85)*$G85+AC85),LEFT(#REF!,1)="x"),0,+AC85/($D85+$E85-$G85)*$G85+AC85)</f>
        <v>#REF!</v>
      </c>
    </row>
    <row r="86" spans="1:57">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726"/>
      <c r="Y86" s="726"/>
      <c r="Z86" s="726"/>
      <c r="AA86" s="726"/>
      <c r="AB86" s="726"/>
      <c r="AC86" s="563"/>
      <c r="AD86" s="629">
        <f t="shared" si="24"/>
        <v>85</v>
      </c>
      <c r="AE86" s="629">
        <f t="shared" si="26"/>
        <v>85</v>
      </c>
      <c r="AF86" s="634">
        <f t="shared" si="25"/>
        <v>0</v>
      </c>
      <c r="AG86" s="43">
        <f>IF(AF86=0,0,"ERROR HERE")</f>
        <v>0</v>
      </c>
      <c r="AH86" s="7">
        <f t="shared" si="3"/>
        <v>0</v>
      </c>
      <c r="AI86" s="7">
        <f t="shared" si="4"/>
        <v>0</v>
      </c>
      <c r="AJ86" s="7">
        <f t="shared" si="5"/>
        <v>0</v>
      </c>
      <c r="AK86" s="7">
        <f t="shared" si="6"/>
        <v>0</v>
      </c>
      <c r="AL86" s="7">
        <f t="shared" si="7"/>
        <v>0</v>
      </c>
      <c r="AM86" s="7">
        <f t="shared" si="8"/>
        <v>0</v>
      </c>
      <c r="AN86" s="7">
        <f t="shared" si="9"/>
        <v>0</v>
      </c>
      <c r="AO86" s="7">
        <f t="shared" si="10"/>
        <v>0</v>
      </c>
      <c r="AP86" s="7">
        <f t="shared" si="11"/>
        <v>0</v>
      </c>
      <c r="AQ86" s="7">
        <f t="shared" si="12"/>
        <v>0</v>
      </c>
      <c r="AR86" s="7">
        <f t="shared" si="13"/>
        <v>0</v>
      </c>
      <c r="AS86" s="7">
        <f t="shared" si="14"/>
        <v>0</v>
      </c>
      <c r="AT86" s="7">
        <f t="shared" si="15"/>
        <v>85</v>
      </c>
      <c r="AU86" s="7">
        <f t="shared" si="16"/>
        <v>0</v>
      </c>
      <c r="AV86" s="7">
        <f t="shared" si="17"/>
        <v>0</v>
      </c>
      <c r="AW86" s="7">
        <f t="shared" si="18"/>
        <v>0</v>
      </c>
      <c r="AX86" s="7">
        <f t="shared" si="19"/>
        <v>0</v>
      </c>
      <c r="AY86" s="7">
        <f t="shared" si="20"/>
        <v>0</v>
      </c>
      <c r="AZ86" s="7">
        <f t="shared" si="21"/>
        <v>0</v>
      </c>
      <c r="BA86" s="7">
        <f t="shared" si="22"/>
        <v>0</v>
      </c>
      <c r="BB86" s="7">
        <f t="shared" si="23"/>
        <v>0</v>
      </c>
      <c r="BC86" s="7">
        <f>IF(OR(ISERROR(+#REF!/($D86+$E86-$G86)*$G86+#REF!),LEFT(AA86,1)="x"),0,+#REF!/($D86+$E86-$G86)*$G86+#REF!)</f>
        <v>0</v>
      </c>
      <c r="BD86" s="7">
        <f>IF(OR(ISERROR(+#REF!/($D86+$E86-$G86)*$G86+#REF!),LEFT(AB86,1)="x"),0,+#REF!/($D86+$E86-$G86)*$G86+#REF!)</f>
        <v>0</v>
      </c>
      <c r="BE86" s="7" t="e">
        <f>IF(OR(ISERROR(+AC86/($D86+$E86-$G86)*$G86+AC86),LEFT(#REF!,1)="x"),0,+AC86/($D86+$E86-$G86)*$G86+AC86)</f>
        <v>#REF!</v>
      </c>
    </row>
    <row r="87" spans="1:57">
      <c r="A87" s="555"/>
      <c r="B87" s="719" t="s">
        <v>469</v>
      </c>
      <c r="C87" s="719"/>
      <c r="D87" s="721"/>
      <c r="E87" s="719">
        <v>225</v>
      </c>
      <c r="F87" s="722"/>
      <c r="G87" s="723"/>
      <c r="H87" s="719">
        <v>225</v>
      </c>
      <c r="I87" s="724"/>
      <c r="J87" s="724"/>
      <c r="K87" s="725"/>
      <c r="L87" s="725"/>
      <c r="M87" s="725"/>
      <c r="N87" s="725"/>
      <c r="O87" s="725"/>
      <c r="P87" s="725"/>
      <c r="Q87" s="725"/>
      <c r="R87" s="726"/>
      <c r="S87" s="727"/>
      <c r="T87" s="719"/>
      <c r="U87" s="726"/>
      <c r="V87" s="726"/>
      <c r="W87" s="727"/>
      <c r="X87" s="726"/>
      <c r="Y87" s="726"/>
      <c r="Z87" s="726"/>
      <c r="AA87" s="726"/>
      <c r="AB87" s="726"/>
      <c r="AC87" s="563"/>
      <c r="AD87" s="629">
        <f t="shared" si="24"/>
        <v>225</v>
      </c>
      <c r="AE87" s="629">
        <f t="shared" si="26"/>
        <v>225</v>
      </c>
      <c r="AF87" s="634">
        <f t="shared" si="25"/>
        <v>0</v>
      </c>
      <c r="AG87" s="43">
        <f>IF(AF87=0,0,"ERROR HERE")</f>
        <v>0</v>
      </c>
      <c r="AH87" s="7">
        <f t="shared" si="3"/>
        <v>225</v>
      </c>
      <c r="AI87" s="7">
        <f t="shared" si="4"/>
        <v>0</v>
      </c>
      <c r="AJ87" s="7">
        <f t="shared" si="5"/>
        <v>0</v>
      </c>
      <c r="AK87" s="7">
        <f t="shared" si="6"/>
        <v>0</v>
      </c>
      <c r="AL87" s="7">
        <f t="shared" si="7"/>
        <v>0</v>
      </c>
      <c r="AM87" s="7">
        <f t="shared" si="8"/>
        <v>0</v>
      </c>
      <c r="AN87" s="7">
        <f t="shared" si="9"/>
        <v>0</v>
      </c>
      <c r="AO87" s="7">
        <f t="shared" si="10"/>
        <v>0</v>
      </c>
      <c r="AP87" s="7">
        <f t="shared" si="11"/>
        <v>0</v>
      </c>
      <c r="AQ87" s="7">
        <f t="shared" si="12"/>
        <v>0</v>
      </c>
      <c r="AR87" s="7">
        <f t="shared" si="13"/>
        <v>0</v>
      </c>
      <c r="AS87" s="7">
        <f t="shared" si="14"/>
        <v>0</v>
      </c>
      <c r="AT87" s="7">
        <f t="shared" si="15"/>
        <v>0</v>
      </c>
      <c r="AU87" s="7">
        <f t="shared" si="16"/>
        <v>0</v>
      </c>
      <c r="AV87" s="7">
        <f t="shared" si="17"/>
        <v>0</v>
      </c>
      <c r="AW87" s="7">
        <f t="shared" si="18"/>
        <v>0</v>
      </c>
      <c r="AX87" s="7">
        <f t="shared" si="19"/>
        <v>0</v>
      </c>
      <c r="AY87" s="7">
        <f t="shared" si="20"/>
        <v>0</v>
      </c>
      <c r="AZ87" s="7">
        <f t="shared" si="21"/>
        <v>0</v>
      </c>
      <c r="BA87" s="7">
        <f t="shared" si="22"/>
        <v>0</v>
      </c>
      <c r="BB87" s="7">
        <f t="shared" si="23"/>
        <v>0</v>
      </c>
      <c r="BC87" s="7">
        <f>IF(OR(ISERROR(+#REF!/($D87+$E87-$G87)*$G87+#REF!),LEFT(AA87,1)="x"),0,+#REF!/($D87+$E87-$G87)*$G87+#REF!)</f>
        <v>0</v>
      </c>
      <c r="BD87" s="7">
        <f>IF(OR(ISERROR(+#REF!/($D87+$E87-$G87)*$G87+#REF!),LEFT(AB87,1)="x"),0,+#REF!/($D87+$E87-$G87)*$G87+#REF!)</f>
        <v>0</v>
      </c>
      <c r="BE87" s="7" t="e">
        <f>IF(OR(ISERROR(+AC87/($D87+$E87-$G87)*$G87+AC87),LEFT(#REF!,1)="x"),0,+AC87/($D87+$E87-$G87)*$G87+AC87)</f>
        <v>#REF!</v>
      </c>
    </row>
    <row r="88" spans="1:57">
      <c r="A88" s="555"/>
      <c r="B88" s="719" t="s">
        <v>470</v>
      </c>
      <c r="C88" s="719"/>
      <c r="D88" s="721"/>
      <c r="E88" s="719">
        <v>157</v>
      </c>
      <c r="F88" s="722"/>
      <c r="G88" s="723"/>
      <c r="H88" s="719"/>
      <c r="I88" s="724"/>
      <c r="J88" s="724"/>
      <c r="K88" s="725"/>
      <c r="L88" s="725"/>
      <c r="M88" s="725"/>
      <c r="N88" s="725"/>
      <c r="O88" s="725"/>
      <c r="P88" s="725"/>
      <c r="Q88" s="725"/>
      <c r="R88" s="726"/>
      <c r="S88" s="727"/>
      <c r="T88" s="725"/>
      <c r="U88" s="726"/>
      <c r="V88" s="726"/>
      <c r="W88" s="727"/>
      <c r="X88" s="726"/>
      <c r="Y88" s="726"/>
      <c r="Z88" s="726"/>
      <c r="AA88" s="726"/>
      <c r="AB88" s="719">
        <v>157</v>
      </c>
      <c r="AC88" s="563"/>
      <c r="AD88" s="629">
        <f t="shared" si="24"/>
        <v>157</v>
      </c>
      <c r="AE88" s="629">
        <f t="shared" si="26"/>
        <v>157</v>
      </c>
      <c r="AF88" s="634">
        <f t="shared" si="25"/>
        <v>0</v>
      </c>
      <c r="AG88" s="43"/>
    </row>
    <row r="89" spans="1:57">
      <c r="A89" s="555"/>
      <c r="B89" s="719" t="s">
        <v>471</v>
      </c>
      <c r="C89" s="719"/>
      <c r="D89" s="721"/>
      <c r="E89" s="721">
        <v>55</v>
      </c>
      <c r="F89" s="728"/>
      <c r="G89" s="729"/>
      <c r="H89" s="724"/>
      <c r="I89" s="724"/>
      <c r="J89" s="724"/>
      <c r="K89" s="725"/>
      <c r="L89" s="725"/>
      <c r="M89" s="725"/>
      <c r="N89" s="725"/>
      <c r="O89" s="725"/>
      <c r="P89" s="725"/>
      <c r="Q89" s="725"/>
      <c r="R89" s="725"/>
      <c r="S89" s="725">
        <v>55</v>
      </c>
      <c r="T89" s="725"/>
      <c r="U89" s="725"/>
      <c r="V89" s="725"/>
      <c r="W89" s="725"/>
      <c r="X89" s="725"/>
      <c r="Y89" s="725"/>
      <c r="Z89" s="725"/>
      <c r="AA89" s="725"/>
      <c r="AB89" s="725"/>
      <c r="AC89" s="563"/>
      <c r="AD89" s="629">
        <f t="shared" si="24"/>
        <v>55</v>
      </c>
      <c r="AE89" s="629">
        <f t="shared" si="26"/>
        <v>55</v>
      </c>
      <c r="AF89" s="634">
        <f t="shared" si="25"/>
        <v>0</v>
      </c>
      <c r="AG89" s="43"/>
    </row>
    <row r="90" spans="1:57">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738"/>
      <c r="Y90" s="738"/>
      <c r="Z90" s="738"/>
      <c r="AA90" s="738"/>
      <c r="AB90" s="738"/>
      <c r="AC90" s="563"/>
      <c r="AD90" s="629">
        <f t="shared" si="24"/>
        <v>65</v>
      </c>
      <c r="AE90" s="629">
        <f t="shared" si="26"/>
        <v>65</v>
      </c>
      <c r="AF90" s="634">
        <f t="shared" si="25"/>
        <v>0</v>
      </c>
      <c r="AG90" s="43"/>
    </row>
    <row r="91" spans="1:57">
      <c r="A91" s="555"/>
      <c r="B91" s="605" t="s">
        <v>43</v>
      </c>
      <c r="C91" s="607"/>
      <c r="D91" s="608"/>
      <c r="E91" s="608">
        <v>35</v>
      </c>
      <c r="F91" s="608"/>
      <c r="G91" s="609"/>
      <c r="H91" s="585"/>
      <c r="I91" s="562"/>
      <c r="J91" s="562">
        <v>35</v>
      </c>
      <c r="K91" s="562"/>
      <c r="L91" s="562"/>
      <c r="M91" s="562"/>
      <c r="N91" s="602" t="s">
        <v>241</v>
      </c>
      <c r="O91" s="562"/>
      <c r="P91" s="562"/>
      <c r="Q91" s="562"/>
      <c r="R91" s="562"/>
      <c r="S91" s="562"/>
      <c r="T91" s="562"/>
      <c r="U91" s="562"/>
      <c r="V91" s="562"/>
      <c r="W91" s="562"/>
      <c r="X91" s="562"/>
      <c r="Y91" s="562"/>
      <c r="Z91" s="562"/>
      <c r="AA91" s="562"/>
      <c r="AB91" s="562"/>
      <c r="AC91" s="563"/>
      <c r="AD91" s="629">
        <f t="shared" si="24"/>
        <v>35</v>
      </c>
      <c r="AE91" s="629">
        <f t="shared" si="26"/>
        <v>35</v>
      </c>
      <c r="AF91" s="634">
        <f t="shared" si="25"/>
        <v>0</v>
      </c>
      <c r="AG91" s="43"/>
    </row>
    <row r="92" spans="1:57" ht="38.25">
      <c r="A92" s="555"/>
      <c r="B92" s="746" t="s">
        <v>485</v>
      </c>
      <c r="C92" s="607"/>
      <c r="D92" s="739">
        <v>9.5</v>
      </c>
      <c r="E92" s="608"/>
      <c r="F92" s="609"/>
      <c r="G92" s="609"/>
      <c r="H92" s="603"/>
      <c r="I92" s="562"/>
      <c r="J92" s="562"/>
      <c r="K92" s="562"/>
      <c r="L92" s="562"/>
      <c r="M92" s="562"/>
      <c r="N92" s="562"/>
      <c r="O92" s="562"/>
      <c r="P92" s="562"/>
      <c r="Q92" s="562"/>
      <c r="R92" s="562"/>
      <c r="S92" s="562"/>
      <c r="T92" s="562"/>
      <c r="U92" s="562"/>
      <c r="V92" s="740">
        <v>9.5</v>
      </c>
      <c r="W92" s="562"/>
      <c r="X92" s="562"/>
      <c r="Y92" s="562"/>
      <c r="Z92" s="562"/>
      <c r="AA92" s="562"/>
      <c r="AB92" s="562"/>
      <c r="AC92" s="563"/>
      <c r="AD92" s="629">
        <f t="shared" si="24"/>
        <v>9.5</v>
      </c>
      <c r="AE92" s="629">
        <f t="shared" si="26"/>
        <v>9.5</v>
      </c>
      <c r="AF92" s="634">
        <f t="shared" si="25"/>
        <v>0</v>
      </c>
      <c r="AG92" s="43"/>
    </row>
    <row r="93" spans="1:57">
      <c r="A93" s="555"/>
      <c r="B93" s="719"/>
      <c r="C93" s="719"/>
      <c r="D93" s="721">
        <v>0</v>
      </c>
      <c r="E93" s="721">
        <v>0</v>
      </c>
      <c r="F93" s="609"/>
      <c r="G93" s="609"/>
      <c r="H93" s="603"/>
      <c r="I93" s="562"/>
      <c r="J93" s="562"/>
      <c r="K93" s="562"/>
      <c r="L93" s="562"/>
      <c r="M93" s="562"/>
      <c r="N93" s="562"/>
      <c r="O93" s="562"/>
      <c r="P93" s="562"/>
      <c r="Q93" s="562"/>
      <c r="R93" s="562"/>
      <c r="S93" s="562"/>
      <c r="T93" s="562"/>
      <c r="U93" s="562"/>
      <c r="V93" s="562"/>
      <c r="W93" s="562"/>
      <c r="X93" s="562"/>
      <c r="Y93" s="562"/>
      <c r="Z93" s="562"/>
      <c r="AA93" s="562"/>
      <c r="AB93" s="562"/>
      <c r="AC93" s="563"/>
      <c r="AD93" s="629">
        <f t="shared" si="24"/>
        <v>0</v>
      </c>
      <c r="AE93" s="629">
        <f t="shared" si="26"/>
        <v>0</v>
      </c>
      <c r="AF93" s="634">
        <f t="shared" si="25"/>
        <v>0</v>
      </c>
      <c r="AG93" s="43"/>
    </row>
    <row r="94" spans="1:57">
      <c r="A94" s="555"/>
      <c r="B94" s="604"/>
      <c r="C94" s="607"/>
      <c r="D94" s="619"/>
      <c r="E94" s="620"/>
      <c r="F94" s="619"/>
      <c r="G94" s="619"/>
      <c r="H94" s="603"/>
      <c r="I94" s="562"/>
      <c r="J94" s="562"/>
      <c r="K94" s="562"/>
      <c r="L94" s="562"/>
      <c r="M94" s="562"/>
      <c r="N94" s="562"/>
      <c r="O94" s="562"/>
      <c r="P94" s="562"/>
      <c r="Q94" s="562"/>
      <c r="R94" s="562"/>
      <c r="S94" s="562"/>
      <c r="T94" s="562"/>
      <c r="U94" s="562"/>
      <c r="V94" s="562"/>
      <c r="W94" s="562"/>
      <c r="X94" s="562"/>
      <c r="Y94" s="562"/>
      <c r="Z94" s="562"/>
      <c r="AA94" s="562"/>
      <c r="AB94" s="562"/>
      <c r="AC94" s="563"/>
      <c r="AD94" s="629">
        <f t="shared" si="24"/>
        <v>0</v>
      </c>
      <c r="AE94" s="629">
        <f t="shared" si="26"/>
        <v>0</v>
      </c>
      <c r="AF94" s="634">
        <f t="shared" si="25"/>
        <v>0</v>
      </c>
      <c r="AG94" s="43"/>
    </row>
    <row r="95" spans="1:57">
      <c r="A95" s="555"/>
      <c r="B95" s="604"/>
      <c r="C95" s="607"/>
      <c r="D95" s="619"/>
      <c r="E95" s="620"/>
      <c r="F95" s="619"/>
      <c r="G95" s="619"/>
      <c r="H95" s="603"/>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24"/>
        <v>0</v>
      </c>
      <c r="AE95" s="629">
        <f t="shared" si="26"/>
        <v>0</v>
      </c>
      <c r="AF95" s="634">
        <f t="shared" si="25"/>
        <v>0</v>
      </c>
      <c r="AG95" s="43"/>
    </row>
    <row r="96" spans="1:57">
      <c r="A96" s="555"/>
      <c r="B96" s="604"/>
      <c r="C96" s="607"/>
      <c r="D96" s="619"/>
      <c r="E96" s="620"/>
      <c r="F96" s="619"/>
      <c r="G96" s="619"/>
      <c r="H96" s="603"/>
      <c r="I96" s="562"/>
      <c r="J96" s="562"/>
      <c r="K96" s="562"/>
      <c r="L96" s="562"/>
      <c r="M96" s="562"/>
      <c r="N96" s="562"/>
      <c r="O96" s="562"/>
      <c r="P96" s="562"/>
      <c r="Q96" s="562"/>
      <c r="R96" s="562"/>
      <c r="S96" s="562"/>
      <c r="T96" s="562"/>
      <c r="U96" s="562"/>
      <c r="V96" s="562"/>
      <c r="W96" s="562"/>
      <c r="X96" s="562"/>
      <c r="Y96" s="562"/>
      <c r="Z96" s="562"/>
      <c r="AA96" s="562"/>
      <c r="AB96" s="562"/>
      <c r="AC96" s="563"/>
      <c r="AD96" s="629">
        <f t="shared" si="24"/>
        <v>0</v>
      </c>
      <c r="AE96" s="629">
        <f t="shared" si="26"/>
        <v>0</v>
      </c>
      <c r="AF96" s="634">
        <f t="shared" si="25"/>
        <v>0</v>
      </c>
      <c r="AG96" s="43"/>
    </row>
    <row r="97" spans="1:33">
      <c r="A97" s="555"/>
      <c r="B97" s="604"/>
      <c r="C97" s="607"/>
      <c r="D97" s="619"/>
      <c r="E97" s="620"/>
      <c r="F97" s="619"/>
      <c r="G97" s="619"/>
      <c r="H97" s="603"/>
      <c r="I97" s="562"/>
      <c r="J97" s="562"/>
      <c r="K97" s="562"/>
      <c r="L97" s="562"/>
      <c r="M97" s="562"/>
      <c r="N97" s="562"/>
      <c r="O97" s="562"/>
      <c r="P97" s="562"/>
      <c r="Q97" s="562"/>
      <c r="R97" s="562"/>
      <c r="S97" s="562"/>
      <c r="T97" s="562"/>
      <c r="U97" s="562"/>
      <c r="V97" s="562"/>
      <c r="W97" s="562"/>
      <c r="X97" s="562"/>
      <c r="Y97" s="562"/>
      <c r="Z97" s="562"/>
      <c r="AA97" s="562"/>
      <c r="AB97" s="562"/>
      <c r="AC97" s="563"/>
      <c r="AD97" s="629">
        <f t="shared" si="24"/>
        <v>0</v>
      </c>
      <c r="AE97" s="629">
        <f t="shared" si="26"/>
        <v>0</v>
      </c>
      <c r="AF97" s="634">
        <f t="shared" si="25"/>
        <v>0</v>
      </c>
      <c r="AG97" s="43"/>
    </row>
    <row r="98" spans="1:33">
      <c r="A98" s="555"/>
      <c r="B98" s="604"/>
      <c r="C98" s="607"/>
      <c r="D98" s="619"/>
      <c r="E98" s="620"/>
      <c r="F98" s="619"/>
      <c r="G98" s="619"/>
      <c r="H98" s="603"/>
      <c r="I98" s="562"/>
      <c r="J98" s="562"/>
      <c r="K98" s="562"/>
      <c r="L98" s="562"/>
      <c r="M98" s="562"/>
      <c r="N98" s="562"/>
      <c r="O98" s="562"/>
      <c r="P98" s="562"/>
      <c r="Q98" s="562"/>
      <c r="R98" s="562"/>
      <c r="S98" s="562"/>
      <c r="T98" s="562"/>
      <c r="U98" s="562"/>
      <c r="V98" s="562"/>
      <c r="W98" s="562"/>
      <c r="X98" s="562"/>
      <c r="Y98" s="562"/>
      <c r="Z98" s="562"/>
      <c r="AA98" s="562"/>
      <c r="AB98" s="562"/>
      <c r="AC98" s="563"/>
      <c r="AD98" s="629">
        <f t="shared" si="24"/>
        <v>0</v>
      </c>
      <c r="AE98" s="629">
        <f t="shared" si="26"/>
        <v>0</v>
      </c>
      <c r="AF98" s="634">
        <f t="shared" si="25"/>
        <v>0</v>
      </c>
      <c r="AG98" s="43"/>
    </row>
    <row r="99" spans="1:33">
      <c r="A99" s="555"/>
      <c r="B99" s="604"/>
      <c r="C99" s="607"/>
      <c r="D99" s="619"/>
      <c r="E99" s="620"/>
      <c r="F99" s="619"/>
      <c r="G99" s="619"/>
      <c r="H99" s="603"/>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24"/>
        <v>0</v>
      </c>
      <c r="AE99" s="629">
        <f t="shared" si="26"/>
        <v>0</v>
      </c>
      <c r="AF99" s="634">
        <f t="shared" si="25"/>
        <v>0</v>
      </c>
      <c r="AG99" s="43"/>
    </row>
    <row r="100" spans="1:33">
      <c r="A100" s="555"/>
      <c r="B100" s="604"/>
      <c r="C100" s="607"/>
      <c r="D100" s="619"/>
      <c r="E100" s="620"/>
      <c r="F100" s="619"/>
      <c r="G100" s="619"/>
      <c r="H100" s="603"/>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24"/>
        <v>0</v>
      </c>
      <c r="AE100" s="629">
        <f t="shared" si="26"/>
        <v>0</v>
      </c>
      <c r="AF100" s="634">
        <f t="shared" si="25"/>
        <v>0</v>
      </c>
      <c r="AG100" s="43"/>
    </row>
    <row r="101" spans="1:33">
      <c r="A101" s="555"/>
      <c r="B101" s="604"/>
      <c r="C101" s="607"/>
      <c r="D101" s="619"/>
      <c r="E101" s="620"/>
      <c r="F101" s="619"/>
      <c r="G101" s="619"/>
      <c r="H101" s="603"/>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24"/>
        <v>0</v>
      </c>
      <c r="AE101" s="629">
        <f t="shared" si="26"/>
        <v>0</v>
      </c>
      <c r="AF101" s="634">
        <f t="shared" si="25"/>
        <v>0</v>
      </c>
      <c r="AG101" s="43"/>
    </row>
    <row r="102" spans="1:33">
      <c r="A102" s="555"/>
      <c r="B102" s="604"/>
      <c r="C102" s="607"/>
      <c r="D102" s="619"/>
      <c r="E102" s="620"/>
      <c r="F102" s="619"/>
      <c r="G102" s="619"/>
      <c r="H102" s="603"/>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24"/>
        <v>0</v>
      </c>
      <c r="AE102" s="629">
        <f t="shared" si="26"/>
        <v>0</v>
      </c>
      <c r="AF102" s="634">
        <f t="shared" si="25"/>
        <v>0</v>
      </c>
      <c r="AG102" s="43"/>
    </row>
    <row r="103" spans="1:33">
      <c r="A103" s="555"/>
      <c r="B103" s="604"/>
      <c r="C103" s="607"/>
      <c r="D103" s="619"/>
      <c r="E103" s="620"/>
      <c r="F103" s="619"/>
      <c r="G103" s="619"/>
      <c r="H103" s="603"/>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24"/>
        <v>0</v>
      </c>
      <c r="AE103" s="629">
        <f t="shared" si="26"/>
        <v>0</v>
      </c>
      <c r="AF103" s="634">
        <f t="shared" si="25"/>
        <v>0</v>
      </c>
      <c r="AG103" s="43"/>
    </row>
    <row r="104" spans="1:33">
      <c r="A104" s="555"/>
      <c r="B104" s="604"/>
      <c r="C104" s="607"/>
      <c r="D104" s="619"/>
      <c r="E104" s="620"/>
      <c r="F104" s="619"/>
      <c r="G104" s="619"/>
      <c r="H104" s="603"/>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24"/>
        <v>0</v>
      </c>
      <c r="AE104" s="629">
        <f t="shared" si="26"/>
        <v>0</v>
      </c>
      <c r="AF104" s="634">
        <f t="shared" si="25"/>
        <v>0</v>
      </c>
      <c r="AG104" s="43"/>
    </row>
    <row r="105" spans="1:33">
      <c r="A105" s="555"/>
      <c r="B105" s="604"/>
      <c r="C105" s="607"/>
      <c r="D105" s="619"/>
      <c r="E105" s="620"/>
      <c r="F105" s="619"/>
      <c r="G105" s="619"/>
      <c r="H105" s="603"/>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24"/>
        <v>0</v>
      </c>
      <c r="AE105" s="629">
        <f t="shared" si="26"/>
        <v>0</v>
      </c>
      <c r="AF105" s="634">
        <f t="shared" si="25"/>
        <v>0</v>
      </c>
      <c r="AG105" s="43"/>
    </row>
    <row r="106" spans="1:33">
      <c r="A106" s="555"/>
      <c r="B106" s="604"/>
      <c r="C106" s="607"/>
      <c r="D106" s="619"/>
      <c r="E106" s="620"/>
      <c r="F106" s="619"/>
      <c r="G106" s="619"/>
      <c r="H106" s="603"/>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24"/>
        <v>0</v>
      </c>
      <c r="AE106" s="629">
        <f t="shared" si="26"/>
        <v>0</v>
      </c>
      <c r="AF106" s="634">
        <f t="shared" si="25"/>
        <v>0</v>
      </c>
      <c r="AG106" s="43"/>
    </row>
    <row r="107" spans="1:33" ht="13.5" thickBot="1">
      <c r="A107" s="555"/>
      <c r="B107" s="604"/>
      <c r="C107" s="607"/>
      <c r="D107" s="619"/>
      <c r="E107" s="620"/>
      <c r="F107" s="619"/>
      <c r="G107" s="619"/>
      <c r="H107" s="603"/>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24"/>
        <v>0</v>
      </c>
      <c r="AE107" s="629">
        <f t="shared" si="26"/>
        <v>0</v>
      </c>
      <c r="AF107" s="634">
        <f t="shared" si="25"/>
        <v>0</v>
      </c>
      <c r="AG107" s="43"/>
    </row>
    <row r="108" spans="1:33" hidden="1">
      <c r="A108" s="555"/>
      <c r="B108" s="604"/>
      <c r="C108" s="607"/>
      <c r="D108" s="619"/>
      <c r="E108" s="620"/>
      <c r="F108" s="619"/>
      <c r="G108" s="619"/>
      <c r="H108" s="603"/>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24"/>
        <v>0</v>
      </c>
      <c r="AE108" s="629">
        <f t="shared" si="26"/>
        <v>0</v>
      </c>
      <c r="AF108" s="634">
        <f t="shared" si="25"/>
        <v>0</v>
      </c>
      <c r="AG108" s="43"/>
    </row>
    <row r="109" spans="1:33" hidden="1">
      <c r="A109" s="555"/>
      <c r="B109" s="604"/>
      <c r="C109" s="607"/>
      <c r="D109" s="619"/>
      <c r="E109" s="620"/>
      <c r="F109" s="619"/>
      <c r="G109" s="619"/>
      <c r="H109" s="603"/>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24"/>
        <v>0</v>
      </c>
      <c r="AE109" s="629">
        <f t="shared" si="26"/>
        <v>0</v>
      </c>
      <c r="AF109" s="634">
        <f t="shared" si="25"/>
        <v>0</v>
      </c>
      <c r="AG109" s="43"/>
    </row>
    <row r="110" spans="1:33" hidden="1">
      <c r="A110" s="555"/>
      <c r="B110" s="604"/>
      <c r="C110" s="607"/>
      <c r="D110" s="619"/>
      <c r="E110" s="620"/>
      <c r="F110" s="619"/>
      <c r="G110" s="619"/>
      <c r="H110" s="603"/>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24"/>
        <v>0</v>
      </c>
      <c r="AE110" s="629">
        <f t="shared" si="26"/>
        <v>0</v>
      </c>
      <c r="AF110" s="634">
        <f t="shared" si="25"/>
        <v>0</v>
      </c>
      <c r="AG110" s="43"/>
    </row>
    <row r="111" spans="1:33" hidden="1">
      <c r="A111" s="555"/>
      <c r="B111" s="604"/>
      <c r="C111" s="607"/>
      <c r="D111" s="619"/>
      <c r="E111" s="620"/>
      <c r="F111" s="619"/>
      <c r="G111" s="619"/>
      <c r="H111" s="603"/>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24"/>
        <v>0</v>
      </c>
      <c r="AE111" s="629">
        <f t="shared" si="26"/>
        <v>0</v>
      </c>
      <c r="AF111" s="634">
        <f t="shared" si="25"/>
        <v>0</v>
      </c>
      <c r="AG111" s="43"/>
    </row>
    <row r="112" spans="1:33" hidden="1">
      <c r="A112" s="555"/>
      <c r="B112" s="604"/>
      <c r="C112" s="607"/>
      <c r="D112" s="619"/>
      <c r="E112" s="620"/>
      <c r="F112" s="619"/>
      <c r="G112" s="619"/>
      <c r="H112" s="603"/>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24"/>
        <v>0</v>
      </c>
      <c r="AE112" s="629">
        <f t="shared" si="26"/>
        <v>0</v>
      </c>
      <c r="AF112" s="634">
        <f t="shared" si="25"/>
        <v>0</v>
      </c>
      <c r="AG112" s="43"/>
    </row>
    <row r="113" spans="1:33" hidden="1">
      <c r="A113" s="555"/>
      <c r="B113" s="604"/>
      <c r="C113" s="607"/>
      <c r="D113" s="619"/>
      <c r="E113" s="620"/>
      <c r="F113" s="619"/>
      <c r="G113" s="619"/>
      <c r="H113" s="603"/>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24"/>
        <v>0</v>
      </c>
      <c r="AE113" s="629">
        <f t="shared" si="26"/>
        <v>0</v>
      </c>
      <c r="AF113" s="634">
        <f t="shared" si="25"/>
        <v>0</v>
      </c>
      <c r="AG113" s="43"/>
    </row>
    <row r="114" spans="1:33" hidden="1">
      <c r="A114" s="555"/>
      <c r="B114" s="604"/>
      <c r="C114" s="607"/>
      <c r="D114" s="619"/>
      <c r="E114" s="620"/>
      <c r="F114" s="619"/>
      <c r="G114" s="619"/>
      <c r="H114" s="603"/>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24"/>
        <v>0</v>
      </c>
      <c r="AE114" s="629">
        <f t="shared" si="26"/>
        <v>0</v>
      </c>
      <c r="AF114" s="634">
        <f t="shared" si="25"/>
        <v>0</v>
      </c>
      <c r="AG114" s="43"/>
    </row>
    <row r="115" spans="1:33" hidden="1">
      <c r="A115" s="555"/>
      <c r="B115" s="604"/>
      <c r="C115" s="607"/>
      <c r="D115" s="619"/>
      <c r="E115" s="620"/>
      <c r="F115" s="619"/>
      <c r="G115" s="619"/>
      <c r="H115" s="603"/>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24"/>
        <v>0</v>
      </c>
      <c r="AE115" s="629">
        <f t="shared" si="26"/>
        <v>0</v>
      </c>
      <c r="AF115" s="634">
        <f t="shared" si="25"/>
        <v>0</v>
      </c>
      <c r="AG115" s="43"/>
    </row>
    <row r="116" spans="1:33" hidden="1">
      <c r="A116" s="555"/>
      <c r="B116" s="604"/>
      <c r="C116" s="607"/>
      <c r="D116" s="619"/>
      <c r="E116" s="620"/>
      <c r="F116" s="619"/>
      <c r="G116" s="619"/>
      <c r="H116" s="603"/>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24"/>
        <v>0</v>
      </c>
      <c r="AE116" s="629">
        <f t="shared" si="26"/>
        <v>0</v>
      </c>
      <c r="AF116" s="634">
        <f t="shared" si="25"/>
        <v>0</v>
      </c>
      <c r="AG116" s="43"/>
    </row>
    <row r="117" spans="1:33" hidden="1">
      <c r="A117" s="555"/>
      <c r="B117" s="604"/>
      <c r="C117" s="607"/>
      <c r="D117" s="619"/>
      <c r="E117" s="620"/>
      <c r="F117" s="619"/>
      <c r="G117" s="619"/>
      <c r="H117" s="603"/>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24"/>
        <v>0</v>
      </c>
      <c r="AE117" s="629">
        <f t="shared" si="26"/>
        <v>0</v>
      </c>
      <c r="AF117" s="634">
        <f t="shared" si="25"/>
        <v>0</v>
      </c>
      <c r="AG117" s="43"/>
    </row>
    <row r="118" spans="1:33" hidden="1">
      <c r="A118" s="555"/>
      <c r="B118" s="604"/>
      <c r="C118" s="607"/>
      <c r="D118" s="619"/>
      <c r="E118" s="620"/>
      <c r="F118" s="619"/>
      <c r="G118" s="619"/>
      <c r="H118" s="603"/>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24"/>
        <v>0</v>
      </c>
      <c r="AE118" s="629">
        <f t="shared" si="26"/>
        <v>0</v>
      </c>
      <c r="AF118" s="634">
        <f t="shared" si="25"/>
        <v>0</v>
      </c>
      <c r="AG118" s="43"/>
    </row>
    <row r="119" spans="1:33" hidden="1">
      <c r="A119" s="555"/>
      <c r="B119" s="604"/>
      <c r="C119" s="607"/>
      <c r="D119" s="619"/>
      <c r="E119" s="620"/>
      <c r="F119" s="619"/>
      <c r="G119" s="619"/>
      <c r="H119" s="603"/>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24"/>
        <v>0</v>
      </c>
      <c r="AE119" s="629">
        <f t="shared" si="26"/>
        <v>0</v>
      </c>
      <c r="AF119" s="634">
        <f t="shared" si="25"/>
        <v>0</v>
      </c>
      <c r="AG119" s="43"/>
    </row>
    <row r="120" spans="1:33" hidden="1">
      <c r="A120" s="555"/>
      <c r="B120" s="604"/>
      <c r="C120" s="607"/>
      <c r="D120" s="619"/>
      <c r="E120" s="620"/>
      <c r="F120" s="619"/>
      <c r="G120" s="619"/>
      <c r="H120" s="603"/>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24"/>
        <v>0</v>
      </c>
      <c r="AE120" s="629">
        <f t="shared" si="26"/>
        <v>0</v>
      </c>
      <c r="AF120" s="634">
        <f t="shared" si="25"/>
        <v>0</v>
      </c>
      <c r="AG120" s="43"/>
    </row>
    <row r="121" spans="1:33" hidden="1">
      <c r="A121" s="555"/>
      <c r="B121" s="604"/>
      <c r="C121" s="607"/>
      <c r="D121" s="619"/>
      <c r="E121" s="620"/>
      <c r="F121" s="619"/>
      <c r="G121" s="619"/>
      <c r="H121" s="603"/>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24"/>
        <v>0</v>
      </c>
      <c r="AE121" s="629">
        <f t="shared" si="26"/>
        <v>0</v>
      </c>
      <c r="AF121" s="634">
        <f t="shared" si="25"/>
        <v>0</v>
      </c>
      <c r="AG121" s="43"/>
    </row>
    <row r="122" spans="1:33" hidden="1">
      <c r="A122" s="555"/>
      <c r="B122" s="604"/>
      <c r="C122" s="607"/>
      <c r="D122" s="619"/>
      <c r="E122" s="620"/>
      <c r="F122" s="619"/>
      <c r="G122" s="619"/>
      <c r="H122" s="603"/>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24"/>
        <v>0</v>
      </c>
      <c r="AE122" s="629">
        <f t="shared" si="26"/>
        <v>0</v>
      </c>
      <c r="AF122" s="634">
        <f t="shared" si="25"/>
        <v>0</v>
      </c>
      <c r="AG122" s="43"/>
    </row>
    <row r="123" spans="1:33" hidden="1">
      <c r="A123" s="555"/>
      <c r="B123" s="604"/>
      <c r="C123" s="607"/>
      <c r="D123" s="619"/>
      <c r="E123" s="620"/>
      <c r="F123" s="619"/>
      <c r="G123" s="619"/>
      <c r="H123" s="603"/>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24"/>
        <v>0</v>
      </c>
      <c r="AE123" s="629">
        <f t="shared" si="26"/>
        <v>0</v>
      </c>
      <c r="AF123" s="634">
        <f t="shared" si="25"/>
        <v>0</v>
      </c>
      <c r="AG123" s="43"/>
    </row>
    <row r="124" spans="1:33" hidden="1">
      <c r="A124" s="555"/>
      <c r="B124" s="604"/>
      <c r="C124" s="607"/>
      <c r="D124" s="619"/>
      <c r="E124" s="620"/>
      <c r="F124" s="619"/>
      <c r="G124" s="619"/>
      <c r="H124" s="603"/>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24"/>
        <v>0</v>
      </c>
      <c r="AE124" s="629">
        <f t="shared" si="26"/>
        <v>0</v>
      </c>
      <c r="AF124" s="634">
        <f t="shared" si="25"/>
        <v>0</v>
      </c>
      <c r="AG124" s="43"/>
    </row>
    <row r="125" spans="1:33" hidden="1">
      <c r="A125" s="555"/>
      <c r="B125" s="604"/>
      <c r="C125" s="607"/>
      <c r="D125" s="619"/>
      <c r="E125" s="620"/>
      <c r="F125" s="619"/>
      <c r="G125" s="619"/>
      <c r="H125" s="603"/>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24"/>
        <v>0</v>
      </c>
      <c r="AE125" s="629">
        <f t="shared" si="26"/>
        <v>0</v>
      </c>
      <c r="AF125" s="634">
        <f t="shared" si="25"/>
        <v>0</v>
      </c>
      <c r="AG125" s="43"/>
    </row>
    <row r="126" spans="1:33" hidden="1">
      <c r="A126" s="555"/>
      <c r="B126" s="604"/>
      <c r="C126" s="607"/>
      <c r="D126" s="619"/>
      <c r="E126" s="620"/>
      <c r="F126" s="619"/>
      <c r="G126" s="619"/>
      <c r="H126" s="603"/>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24"/>
        <v>0</v>
      </c>
      <c r="AE126" s="629">
        <f t="shared" si="26"/>
        <v>0</v>
      </c>
      <c r="AF126" s="634">
        <f t="shared" si="25"/>
        <v>0</v>
      </c>
      <c r="AG126" s="43"/>
    </row>
    <row r="127" spans="1:33" hidden="1">
      <c r="A127" s="555"/>
      <c r="B127" s="604"/>
      <c r="C127" s="607"/>
      <c r="D127" s="619"/>
      <c r="E127" s="620"/>
      <c r="F127" s="619"/>
      <c r="G127" s="619"/>
      <c r="H127" s="603"/>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24"/>
        <v>0</v>
      </c>
      <c r="AE127" s="629">
        <f t="shared" si="26"/>
        <v>0</v>
      </c>
      <c r="AF127" s="634">
        <f t="shared" si="25"/>
        <v>0</v>
      </c>
      <c r="AG127" s="43"/>
    </row>
    <row r="128" spans="1:33" hidden="1">
      <c r="A128" s="555"/>
      <c r="B128" s="604"/>
      <c r="C128" s="607"/>
      <c r="D128" s="619"/>
      <c r="E128" s="620"/>
      <c r="F128" s="619"/>
      <c r="G128" s="619"/>
      <c r="H128" s="603"/>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24"/>
        <v>0</v>
      </c>
      <c r="AE128" s="629">
        <f t="shared" si="26"/>
        <v>0</v>
      </c>
      <c r="AF128" s="634">
        <f t="shared" si="25"/>
        <v>0</v>
      </c>
      <c r="AG128" s="43"/>
    </row>
    <row r="129" spans="1:33" hidden="1">
      <c r="A129" s="555"/>
      <c r="B129" s="604"/>
      <c r="C129" s="607"/>
      <c r="D129" s="619"/>
      <c r="E129" s="620"/>
      <c r="F129" s="619"/>
      <c r="G129" s="619"/>
      <c r="H129" s="603"/>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24"/>
        <v>0</v>
      </c>
      <c r="AE129" s="629">
        <f t="shared" si="26"/>
        <v>0</v>
      </c>
      <c r="AF129" s="634">
        <f t="shared" si="25"/>
        <v>0</v>
      </c>
      <c r="AG129" s="43"/>
    </row>
    <row r="130" spans="1:33" hidden="1">
      <c r="A130" s="555"/>
      <c r="B130" s="604"/>
      <c r="C130" s="607"/>
      <c r="D130" s="619"/>
      <c r="E130" s="620"/>
      <c r="F130" s="619"/>
      <c r="G130" s="619"/>
      <c r="H130" s="603"/>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24"/>
        <v>0</v>
      </c>
      <c r="AE130" s="629">
        <f t="shared" si="26"/>
        <v>0</v>
      </c>
      <c r="AF130" s="634">
        <f t="shared" si="25"/>
        <v>0</v>
      </c>
      <c r="AG130" s="43"/>
    </row>
    <row r="131" spans="1:33" hidden="1">
      <c r="A131" s="555"/>
      <c r="B131" s="604"/>
      <c r="C131" s="607"/>
      <c r="D131" s="619"/>
      <c r="E131" s="620"/>
      <c r="F131" s="619"/>
      <c r="G131" s="619"/>
      <c r="H131" s="603"/>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24"/>
        <v>0</v>
      </c>
      <c r="AE131" s="629">
        <f t="shared" si="26"/>
        <v>0</v>
      </c>
      <c r="AF131" s="634">
        <f t="shared" si="25"/>
        <v>0</v>
      </c>
      <c r="AG131" s="43"/>
    </row>
    <row r="132" spans="1:33" hidden="1">
      <c r="A132" s="555"/>
      <c r="B132" s="604"/>
      <c r="C132" s="607"/>
      <c r="D132" s="619"/>
      <c r="E132" s="620"/>
      <c r="F132" s="619"/>
      <c r="G132" s="619"/>
      <c r="H132" s="603"/>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24"/>
        <v>0</v>
      </c>
      <c r="AE132" s="629">
        <f t="shared" si="26"/>
        <v>0</v>
      </c>
      <c r="AF132" s="634">
        <f t="shared" si="25"/>
        <v>0</v>
      </c>
      <c r="AG132" s="43"/>
    </row>
    <row r="133" spans="1:33" hidden="1">
      <c r="A133" s="555"/>
      <c r="B133" s="604"/>
      <c r="C133" s="607"/>
      <c r="D133" s="619"/>
      <c r="E133" s="620"/>
      <c r="F133" s="619"/>
      <c r="G133" s="619"/>
      <c r="H133" s="603"/>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24"/>
        <v>0</v>
      </c>
      <c r="AE133" s="629">
        <f t="shared" si="26"/>
        <v>0</v>
      </c>
      <c r="AF133" s="634">
        <f t="shared" si="25"/>
        <v>0</v>
      </c>
      <c r="AG133" s="43"/>
    </row>
    <row r="134" spans="1:33" hidden="1">
      <c r="A134" s="555"/>
      <c r="B134" s="604"/>
      <c r="C134" s="607"/>
      <c r="D134" s="619"/>
      <c r="E134" s="620"/>
      <c r="F134" s="619"/>
      <c r="G134" s="619"/>
      <c r="H134" s="603"/>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24"/>
        <v>0</v>
      </c>
      <c r="AE134" s="629">
        <f t="shared" si="26"/>
        <v>0</v>
      </c>
      <c r="AF134" s="634">
        <f t="shared" si="25"/>
        <v>0</v>
      </c>
      <c r="AG134" s="43"/>
    </row>
    <row r="135" spans="1:33" hidden="1">
      <c r="A135" s="555"/>
      <c r="B135" s="604"/>
      <c r="C135" s="607"/>
      <c r="D135" s="619"/>
      <c r="E135" s="620"/>
      <c r="F135" s="619"/>
      <c r="G135" s="619"/>
      <c r="H135" s="603"/>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24"/>
        <v>0</v>
      </c>
      <c r="AE135" s="629">
        <f t="shared" si="26"/>
        <v>0</v>
      </c>
      <c r="AF135" s="634">
        <f t="shared" si="25"/>
        <v>0</v>
      </c>
      <c r="AG135" s="43"/>
    </row>
    <row r="136" spans="1:33" hidden="1">
      <c r="A136" s="555"/>
      <c r="B136" s="604"/>
      <c r="C136" s="607"/>
      <c r="D136" s="619"/>
      <c r="E136" s="620"/>
      <c r="F136" s="619"/>
      <c r="G136" s="619"/>
      <c r="H136" s="603"/>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24"/>
        <v>0</v>
      </c>
      <c r="AE136" s="629">
        <f t="shared" si="26"/>
        <v>0</v>
      </c>
      <c r="AF136" s="634">
        <f t="shared" si="25"/>
        <v>0</v>
      </c>
      <c r="AG136" s="43"/>
    </row>
    <row r="137" spans="1:33" hidden="1">
      <c r="A137" s="555"/>
      <c r="B137" s="604"/>
      <c r="C137" s="607"/>
      <c r="D137" s="619"/>
      <c r="E137" s="620"/>
      <c r="F137" s="619"/>
      <c r="G137" s="619"/>
      <c r="H137" s="603"/>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24"/>
        <v>0</v>
      </c>
      <c r="AE137" s="629">
        <f t="shared" si="26"/>
        <v>0</v>
      </c>
      <c r="AF137" s="634">
        <f t="shared" si="25"/>
        <v>0</v>
      </c>
      <c r="AG137" s="43"/>
    </row>
    <row r="138" spans="1:33" hidden="1">
      <c r="A138" s="555"/>
      <c r="B138" s="604"/>
      <c r="C138" s="607"/>
      <c r="D138" s="619"/>
      <c r="E138" s="620"/>
      <c r="F138" s="619"/>
      <c r="G138" s="619"/>
      <c r="H138" s="603"/>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24"/>
        <v>0</v>
      </c>
      <c r="AE138" s="629">
        <f t="shared" si="26"/>
        <v>0</v>
      </c>
      <c r="AF138" s="634">
        <f t="shared" si="25"/>
        <v>0</v>
      </c>
      <c r="AG138" s="43"/>
    </row>
    <row r="139" spans="1:33" hidden="1">
      <c r="A139" s="555"/>
      <c r="B139" s="604"/>
      <c r="C139" s="607"/>
      <c r="D139" s="619"/>
      <c r="E139" s="620"/>
      <c r="F139" s="619"/>
      <c r="G139" s="619"/>
      <c r="H139" s="603"/>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24"/>
        <v>0</v>
      </c>
      <c r="AE139" s="629">
        <f t="shared" si="26"/>
        <v>0</v>
      </c>
      <c r="AF139" s="634">
        <f t="shared" si="25"/>
        <v>0</v>
      </c>
      <c r="AG139" s="43"/>
    </row>
    <row r="140" spans="1:33" hidden="1">
      <c r="A140" s="555"/>
      <c r="B140" s="604"/>
      <c r="C140" s="607"/>
      <c r="D140" s="619"/>
      <c r="E140" s="620"/>
      <c r="F140" s="619"/>
      <c r="G140" s="619"/>
      <c r="H140" s="603"/>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24"/>
        <v>0</v>
      </c>
      <c r="AE140" s="629">
        <f t="shared" si="26"/>
        <v>0</v>
      </c>
      <c r="AF140" s="634">
        <f t="shared" si="25"/>
        <v>0</v>
      </c>
      <c r="AG140" s="43"/>
    </row>
    <row r="141" spans="1:33" hidden="1">
      <c r="A141" s="555"/>
      <c r="B141" s="604"/>
      <c r="C141" s="607"/>
      <c r="D141" s="619"/>
      <c r="E141" s="620"/>
      <c r="F141" s="619"/>
      <c r="G141" s="619"/>
      <c r="H141" s="603"/>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24"/>
        <v>0</v>
      </c>
      <c r="AE141" s="629">
        <f t="shared" si="26"/>
        <v>0</v>
      </c>
      <c r="AF141" s="634">
        <f t="shared" si="25"/>
        <v>0</v>
      </c>
      <c r="AG141" s="43"/>
    </row>
    <row r="142" spans="1:33" hidden="1">
      <c r="A142" s="555"/>
      <c r="B142" s="604"/>
      <c r="C142" s="607"/>
      <c r="D142" s="619"/>
      <c r="E142" s="620"/>
      <c r="F142" s="619"/>
      <c r="G142" s="619"/>
      <c r="H142" s="603"/>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24"/>
        <v>0</v>
      </c>
      <c r="AE142" s="629">
        <f t="shared" si="26"/>
        <v>0</v>
      </c>
      <c r="AF142" s="634">
        <f t="shared" si="25"/>
        <v>0</v>
      </c>
      <c r="AG142" s="43"/>
    </row>
    <row r="143" spans="1:33" hidden="1">
      <c r="A143" s="555"/>
      <c r="B143" s="604"/>
      <c r="C143" s="607"/>
      <c r="D143" s="619"/>
      <c r="E143" s="620"/>
      <c r="F143" s="619"/>
      <c r="G143" s="619"/>
      <c r="H143" s="603"/>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24"/>
        <v>0</v>
      </c>
      <c r="AE143" s="629">
        <f t="shared" si="26"/>
        <v>0</v>
      </c>
      <c r="AF143" s="634">
        <f t="shared" si="25"/>
        <v>0</v>
      </c>
      <c r="AG143" s="43"/>
    </row>
    <row r="144" spans="1:33" hidden="1">
      <c r="A144" s="555"/>
      <c r="B144" s="604"/>
      <c r="C144" s="607"/>
      <c r="D144" s="619"/>
      <c r="E144" s="620"/>
      <c r="F144" s="619"/>
      <c r="G144" s="619"/>
      <c r="H144" s="603"/>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ref="AD144:AD196" si="27">SUM(G144:AC144)</f>
        <v>0</v>
      </c>
      <c r="AE144" s="629">
        <f t="shared" si="26"/>
        <v>0</v>
      </c>
      <c r="AF144" s="634">
        <f t="shared" ref="AF144:AF196" si="28">AD144-AE144</f>
        <v>0</v>
      </c>
      <c r="AG144" s="43"/>
    </row>
    <row r="145" spans="1:33" hidden="1">
      <c r="A145" s="555"/>
      <c r="B145" s="604"/>
      <c r="C145" s="607"/>
      <c r="D145" s="619"/>
      <c r="E145" s="620"/>
      <c r="F145" s="619"/>
      <c r="G145" s="619"/>
      <c r="H145" s="603"/>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si="27"/>
        <v>0</v>
      </c>
      <c r="AE145" s="629">
        <f t="shared" ref="AE145:AE196" si="29">SUM(D145:F145)</f>
        <v>0</v>
      </c>
      <c r="AF145" s="634">
        <f t="shared" si="28"/>
        <v>0</v>
      </c>
      <c r="AG145" s="43"/>
    </row>
    <row r="146" spans="1:33" hidden="1">
      <c r="A146" s="555"/>
      <c r="B146" s="604"/>
      <c r="C146" s="607"/>
      <c r="D146" s="619"/>
      <c r="E146" s="620"/>
      <c r="F146" s="619"/>
      <c r="G146" s="619"/>
      <c r="H146" s="603"/>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27"/>
        <v>0</v>
      </c>
      <c r="AE146" s="629">
        <f t="shared" si="29"/>
        <v>0</v>
      </c>
      <c r="AF146" s="634">
        <f t="shared" si="28"/>
        <v>0</v>
      </c>
      <c r="AG146" s="43"/>
    </row>
    <row r="147" spans="1:33" hidden="1">
      <c r="A147" s="555"/>
      <c r="B147" s="604"/>
      <c r="C147" s="607"/>
      <c r="D147" s="619"/>
      <c r="E147" s="620"/>
      <c r="F147" s="619"/>
      <c r="G147" s="619"/>
      <c r="H147" s="603"/>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27"/>
        <v>0</v>
      </c>
      <c r="AE147" s="629">
        <f t="shared" si="29"/>
        <v>0</v>
      </c>
      <c r="AF147" s="634">
        <f t="shared" si="28"/>
        <v>0</v>
      </c>
      <c r="AG147" s="43"/>
    </row>
    <row r="148" spans="1:33" hidden="1">
      <c r="A148" s="555"/>
      <c r="B148" s="604"/>
      <c r="C148" s="607"/>
      <c r="D148" s="619"/>
      <c r="E148" s="620"/>
      <c r="F148" s="619"/>
      <c r="G148" s="619"/>
      <c r="H148" s="603"/>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27"/>
        <v>0</v>
      </c>
      <c r="AE148" s="629">
        <f t="shared" si="29"/>
        <v>0</v>
      </c>
      <c r="AF148" s="634">
        <f t="shared" si="28"/>
        <v>0</v>
      </c>
      <c r="AG148" s="43"/>
    </row>
    <row r="149" spans="1:33" hidden="1">
      <c r="A149" s="555"/>
      <c r="B149" s="604"/>
      <c r="C149" s="607"/>
      <c r="D149" s="619"/>
      <c r="E149" s="620"/>
      <c r="F149" s="619"/>
      <c r="G149" s="619"/>
      <c r="H149" s="603"/>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27"/>
        <v>0</v>
      </c>
      <c r="AE149" s="629">
        <f t="shared" si="29"/>
        <v>0</v>
      </c>
      <c r="AF149" s="634">
        <f t="shared" si="28"/>
        <v>0</v>
      </c>
      <c r="AG149" s="43"/>
    </row>
    <row r="150" spans="1:33" hidden="1">
      <c r="A150" s="555"/>
      <c r="B150" s="604"/>
      <c r="C150" s="607"/>
      <c r="D150" s="619"/>
      <c r="E150" s="620"/>
      <c r="F150" s="619"/>
      <c r="G150" s="619"/>
      <c r="H150" s="603"/>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27"/>
        <v>0</v>
      </c>
      <c r="AE150" s="629">
        <f t="shared" si="29"/>
        <v>0</v>
      </c>
      <c r="AF150" s="634">
        <f t="shared" si="28"/>
        <v>0</v>
      </c>
      <c r="AG150" s="43"/>
    </row>
    <row r="151" spans="1:33" hidden="1">
      <c r="A151" s="555"/>
      <c r="B151" s="604"/>
      <c r="C151" s="607"/>
      <c r="D151" s="619"/>
      <c r="E151" s="620"/>
      <c r="F151" s="619"/>
      <c r="G151" s="619"/>
      <c r="H151" s="603"/>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27"/>
        <v>0</v>
      </c>
      <c r="AE151" s="629">
        <f t="shared" si="29"/>
        <v>0</v>
      </c>
      <c r="AF151" s="634">
        <f t="shared" si="28"/>
        <v>0</v>
      </c>
      <c r="AG151" s="43"/>
    </row>
    <row r="152" spans="1:33" hidden="1">
      <c r="A152" s="555"/>
      <c r="B152" s="604"/>
      <c r="C152" s="607"/>
      <c r="D152" s="619"/>
      <c r="E152" s="620"/>
      <c r="F152" s="619"/>
      <c r="G152" s="619"/>
      <c r="H152" s="603"/>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27"/>
        <v>0</v>
      </c>
      <c r="AE152" s="629">
        <f t="shared" si="29"/>
        <v>0</v>
      </c>
      <c r="AF152" s="634">
        <f t="shared" si="28"/>
        <v>0</v>
      </c>
      <c r="AG152" s="43"/>
    </row>
    <row r="153" spans="1:33" hidden="1">
      <c r="A153" s="555"/>
      <c r="B153" s="604"/>
      <c r="C153" s="607"/>
      <c r="D153" s="619"/>
      <c r="E153" s="620"/>
      <c r="F153" s="619"/>
      <c r="G153" s="619"/>
      <c r="H153" s="603"/>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27"/>
        <v>0</v>
      </c>
      <c r="AE153" s="629">
        <f t="shared" si="29"/>
        <v>0</v>
      </c>
      <c r="AF153" s="634">
        <f t="shared" si="28"/>
        <v>0</v>
      </c>
      <c r="AG153" s="43"/>
    </row>
    <row r="154" spans="1:33" hidden="1">
      <c r="A154" s="555"/>
      <c r="B154" s="604"/>
      <c r="C154" s="607"/>
      <c r="D154" s="619"/>
      <c r="E154" s="620"/>
      <c r="F154" s="619"/>
      <c r="G154" s="619"/>
      <c r="H154" s="603"/>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27"/>
        <v>0</v>
      </c>
      <c r="AE154" s="629">
        <f t="shared" si="29"/>
        <v>0</v>
      </c>
      <c r="AF154" s="634">
        <f t="shared" si="28"/>
        <v>0</v>
      </c>
      <c r="AG154" s="43"/>
    </row>
    <row r="155" spans="1:33" hidden="1">
      <c r="A155" s="555"/>
      <c r="B155" s="604"/>
      <c r="C155" s="607"/>
      <c r="D155" s="619"/>
      <c r="E155" s="620"/>
      <c r="F155" s="619"/>
      <c r="G155" s="619"/>
      <c r="H155" s="603"/>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27"/>
        <v>0</v>
      </c>
      <c r="AE155" s="629">
        <f t="shared" si="29"/>
        <v>0</v>
      </c>
      <c r="AF155" s="634">
        <f t="shared" si="28"/>
        <v>0</v>
      </c>
      <c r="AG155" s="43"/>
    </row>
    <row r="156" spans="1:33" hidden="1">
      <c r="A156" s="555"/>
      <c r="B156" s="604"/>
      <c r="C156" s="607"/>
      <c r="D156" s="619"/>
      <c r="E156" s="620"/>
      <c r="F156" s="619"/>
      <c r="G156" s="619"/>
      <c r="H156" s="603"/>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27"/>
        <v>0</v>
      </c>
      <c r="AE156" s="629">
        <f t="shared" si="29"/>
        <v>0</v>
      </c>
      <c r="AF156" s="634">
        <f t="shared" si="28"/>
        <v>0</v>
      </c>
      <c r="AG156" s="43"/>
    </row>
    <row r="157" spans="1:33" hidden="1">
      <c r="A157" s="555"/>
      <c r="B157" s="604"/>
      <c r="C157" s="607"/>
      <c r="D157" s="619"/>
      <c r="E157" s="620"/>
      <c r="F157" s="619"/>
      <c r="G157" s="619"/>
      <c r="H157" s="603"/>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27"/>
        <v>0</v>
      </c>
      <c r="AE157" s="629">
        <f t="shared" si="29"/>
        <v>0</v>
      </c>
      <c r="AF157" s="634">
        <f t="shared" si="28"/>
        <v>0</v>
      </c>
      <c r="AG157" s="43"/>
    </row>
    <row r="158" spans="1:33" hidden="1">
      <c r="A158" s="555"/>
      <c r="B158" s="604"/>
      <c r="C158" s="607"/>
      <c r="D158" s="619"/>
      <c r="E158" s="620"/>
      <c r="F158" s="619"/>
      <c r="G158" s="619"/>
      <c r="H158" s="603"/>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27"/>
        <v>0</v>
      </c>
      <c r="AE158" s="629">
        <f t="shared" si="29"/>
        <v>0</v>
      </c>
      <c r="AF158" s="634">
        <f t="shared" si="28"/>
        <v>0</v>
      </c>
      <c r="AG158" s="43"/>
    </row>
    <row r="159" spans="1:33" hidden="1">
      <c r="A159" s="555"/>
      <c r="B159" s="604"/>
      <c r="C159" s="607"/>
      <c r="D159" s="619"/>
      <c r="E159" s="620"/>
      <c r="F159" s="619"/>
      <c r="G159" s="619"/>
      <c r="H159" s="603"/>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27"/>
        <v>0</v>
      </c>
      <c r="AE159" s="629">
        <f t="shared" si="29"/>
        <v>0</v>
      </c>
      <c r="AF159" s="634">
        <f t="shared" si="28"/>
        <v>0</v>
      </c>
      <c r="AG159" s="43"/>
    </row>
    <row r="160" spans="1:33" hidden="1">
      <c r="A160" s="555"/>
      <c r="B160" s="604"/>
      <c r="C160" s="607"/>
      <c r="D160" s="619"/>
      <c r="E160" s="620"/>
      <c r="F160" s="619"/>
      <c r="G160" s="619"/>
      <c r="H160" s="603"/>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27"/>
        <v>0</v>
      </c>
      <c r="AE160" s="629">
        <f t="shared" si="29"/>
        <v>0</v>
      </c>
      <c r="AF160" s="634">
        <f t="shared" si="28"/>
        <v>0</v>
      </c>
      <c r="AG160" s="43"/>
    </row>
    <row r="161" spans="1:57" hidden="1">
      <c r="A161" s="555"/>
      <c r="B161" s="604"/>
      <c r="C161" s="607"/>
      <c r="D161" s="619"/>
      <c r="E161" s="620"/>
      <c r="F161" s="619"/>
      <c r="G161" s="619"/>
      <c r="H161" s="603"/>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27"/>
        <v>0</v>
      </c>
      <c r="AE161" s="629">
        <f t="shared" si="29"/>
        <v>0</v>
      </c>
      <c r="AF161" s="634">
        <f t="shared" si="28"/>
        <v>0</v>
      </c>
      <c r="AG161" s="43"/>
    </row>
    <row r="162" spans="1:57" hidden="1">
      <c r="A162" s="555"/>
      <c r="B162" s="604"/>
      <c r="C162" s="607"/>
      <c r="D162" s="619"/>
      <c r="E162" s="620"/>
      <c r="F162" s="619"/>
      <c r="G162" s="619"/>
      <c r="H162" s="603"/>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27"/>
        <v>0</v>
      </c>
      <c r="AE162" s="629">
        <f t="shared" si="29"/>
        <v>0</v>
      </c>
      <c r="AF162" s="634">
        <f t="shared" si="28"/>
        <v>0</v>
      </c>
      <c r="AG162" s="43"/>
    </row>
    <row r="163" spans="1:57" hidden="1">
      <c r="A163" s="555"/>
      <c r="B163" s="604"/>
      <c r="C163" s="607"/>
      <c r="D163" s="619"/>
      <c r="E163" s="620"/>
      <c r="F163" s="619"/>
      <c r="G163" s="619"/>
      <c r="H163" s="603"/>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27"/>
        <v>0</v>
      </c>
      <c r="AE163" s="629">
        <f t="shared" si="29"/>
        <v>0</v>
      </c>
      <c r="AF163" s="634">
        <f t="shared" si="28"/>
        <v>0</v>
      </c>
      <c r="AG163" s="43"/>
    </row>
    <row r="164" spans="1:57" hidden="1">
      <c r="A164" s="555"/>
      <c r="B164" s="604"/>
      <c r="C164" s="607"/>
      <c r="D164" s="619"/>
      <c r="E164" s="620"/>
      <c r="F164" s="619"/>
      <c r="G164" s="619"/>
      <c r="H164" s="603"/>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27"/>
        <v>0</v>
      </c>
      <c r="AE164" s="629">
        <f t="shared" si="29"/>
        <v>0</v>
      </c>
      <c r="AF164" s="634">
        <f t="shared" si="28"/>
        <v>0</v>
      </c>
      <c r="AG164" s="43"/>
    </row>
    <row r="165" spans="1:57" hidden="1">
      <c r="A165" s="555"/>
      <c r="B165" s="604"/>
      <c r="C165" s="607"/>
      <c r="D165" s="619"/>
      <c r="E165" s="620"/>
      <c r="F165" s="619"/>
      <c r="G165" s="619"/>
      <c r="H165" s="603"/>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27"/>
        <v>0</v>
      </c>
      <c r="AE165" s="629">
        <f t="shared" si="29"/>
        <v>0</v>
      </c>
      <c r="AF165" s="634">
        <f t="shared" si="28"/>
        <v>0</v>
      </c>
      <c r="AG165" s="43"/>
    </row>
    <row r="166" spans="1:57" hidden="1">
      <c r="A166" s="555"/>
      <c r="B166" s="604"/>
      <c r="C166" s="607"/>
      <c r="D166" s="619"/>
      <c r="E166" s="620"/>
      <c r="F166" s="619"/>
      <c r="G166" s="619"/>
      <c r="H166" s="603"/>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27"/>
        <v>0</v>
      </c>
      <c r="AE166" s="629">
        <f t="shared" si="29"/>
        <v>0</v>
      </c>
      <c r="AF166" s="634">
        <f t="shared" si="28"/>
        <v>0</v>
      </c>
      <c r="AG166" s="43">
        <f>IF(AF166=0,0,"ERROR HERE")</f>
        <v>0</v>
      </c>
      <c r="AH166" s="7">
        <f t="shared" ref="AH166:BB166" si="30">IF(OR(ISERROR(+H166/($D166+$E166-$G166)*$G166+H166),LEFT(F166,1)="x"),0,+H166/($D166+$E166-$G166)*$G166+H166)</f>
        <v>0</v>
      </c>
      <c r="AI166" s="7">
        <f t="shared" si="30"/>
        <v>0</v>
      </c>
      <c r="AJ166" s="7">
        <f t="shared" si="30"/>
        <v>0</v>
      </c>
      <c r="AK166" s="7">
        <f t="shared" si="30"/>
        <v>0</v>
      </c>
      <c r="AL166" s="7">
        <f t="shared" si="30"/>
        <v>0</v>
      </c>
      <c r="AM166" s="7">
        <f t="shared" si="30"/>
        <v>0</v>
      </c>
      <c r="AN166" s="7">
        <f t="shared" si="30"/>
        <v>0</v>
      </c>
      <c r="AO166" s="7">
        <f t="shared" si="30"/>
        <v>0</v>
      </c>
      <c r="AP166" s="7">
        <f t="shared" si="30"/>
        <v>0</v>
      </c>
      <c r="AQ166" s="7">
        <f t="shared" si="30"/>
        <v>0</v>
      </c>
      <c r="AR166" s="7">
        <f t="shared" si="30"/>
        <v>0</v>
      </c>
      <c r="AS166" s="7">
        <f t="shared" si="30"/>
        <v>0</v>
      </c>
      <c r="AT166" s="7">
        <f t="shared" si="30"/>
        <v>0</v>
      </c>
      <c r="AU166" s="7">
        <f t="shared" si="30"/>
        <v>0</v>
      </c>
      <c r="AV166" s="7">
        <f t="shared" si="30"/>
        <v>0</v>
      </c>
      <c r="AW166" s="7">
        <f t="shared" si="30"/>
        <v>0</v>
      </c>
      <c r="AX166" s="7">
        <f t="shared" si="30"/>
        <v>0</v>
      </c>
      <c r="AY166" s="7">
        <f t="shared" si="30"/>
        <v>0</v>
      </c>
      <c r="AZ166" s="7">
        <f t="shared" si="30"/>
        <v>0</v>
      </c>
      <c r="BA166" s="7">
        <f t="shared" si="30"/>
        <v>0</v>
      </c>
      <c r="BB166" s="7">
        <f t="shared" si="30"/>
        <v>0</v>
      </c>
      <c r="BC166" s="7">
        <f>IF(OR(ISERROR(+#REF!/($D166+$E166-$G166)*$G166+#REF!),LEFT(AA166,1)="x"),0,+#REF!/($D166+$E166-$G166)*$G166+#REF!)</f>
        <v>0</v>
      </c>
      <c r="BD166" s="7">
        <f>IF(OR(ISERROR(+#REF!/($D166+$E166-$G166)*$G166+#REF!),LEFT(AB166,1)="x"),0,+#REF!/($D166+$E166-$G166)*$G166+#REF!)</f>
        <v>0</v>
      </c>
      <c r="BE166" s="7" t="e">
        <f>IF(OR(ISERROR(+AC166/($D166+$E166-$G166)*$G166+AC166),LEFT(#REF!,1)="x"),0,+AC166/($D166+$E166-$G166)*$G166+AC166)</f>
        <v>#REF!</v>
      </c>
    </row>
    <row r="167" spans="1:57" hidden="1">
      <c r="A167" s="555"/>
      <c r="B167" s="604"/>
      <c r="C167" s="607"/>
      <c r="D167" s="619"/>
      <c r="E167" s="620"/>
      <c r="F167" s="619"/>
      <c r="G167" s="619"/>
      <c r="H167" s="603"/>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27"/>
        <v>0</v>
      </c>
      <c r="AE167" s="629">
        <f t="shared" si="29"/>
        <v>0</v>
      </c>
      <c r="AF167" s="634">
        <f t="shared" si="28"/>
        <v>0</v>
      </c>
      <c r="AG167" s="43"/>
    </row>
    <row r="168" spans="1:57" hidden="1">
      <c r="A168" s="555"/>
      <c r="B168" s="604"/>
      <c r="C168" s="607"/>
      <c r="D168" s="619"/>
      <c r="E168" s="620"/>
      <c r="F168" s="619"/>
      <c r="G168" s="619"/>
      <c r="H168" s="603"/>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27"/>
        <v>0</v>
      </c>
      <c r="AE168" s="629">
        <f t="shared" si="29"/>
        <v>0</v>
      </c>
      <c r="AF168" s="634">
        <f t="shared" si="28"/>
        <v>0</v>
      </c>
      <c r="AG168" s="43">
        <f t="shared" ref="AG168:AG173" si="31">IF(AF168=0,0,"ERROR HERE")</f>
        <v>0</v>
      </c>
      <c r="AH168" s="7">
        <f t="shared" ref="AH168:AQ172" si="32">IF(OR(ISERROR(+H168/($D168+$E168-$G168)*$G168+H168),LEFT(F168,1)="x"),0,+H168/($D168+$E168-$G168)*$G168+H168)</f>
        <v>0</v>
      </c>
      <c r="AI168" s="7">
        <f t="shared" si="32"/>
        <v>0</v>
      </c>
      <c r="AJ168" s="7">
        <f t="shared" si="32"/>
        <v>0</v>
      </c>
      <c r="AK168" s="7">
        <f t="shared" si="32"/>
        <v>0</v>
      </c>
      <c r="AL168" s="7">
        <f t="shared" si="32"/>
        <v>0</v>
      </c>
      <c r="AM168" s="7">
        <f t="shared" si="32"/>
        <v>0</v>
      </c>
      <c r="AN168" s="7">
        <f t="shared" si="32"/>
        <v>0</v>
      </c>
      <c r="AO168" s="7">
        <f t="shared" si="32"/>
        <v>0</v>
      </c>
      <c r="AP168" s="7">
        <f t="shared" si="32"/>
        <v>0</v>
      </c>
      <c r="AQ168" s="7">
        <f t="shared" si="32"/>
        <v>0</v>
      </c>
      <c r="AR168" s="7">
        <f t="shared" ref="AR168:BA172" si="33">IF(OR(ISERROR(+R168/($D168+$E168-$G168)*$G168+R168),LEFT(P168,1)="x"),0,+R168/($D168+$E168-$G168)*$G168+R168)</f>
        <v>0</v>
      </c>
      <c r="AS168" s="7">
        <f t="shared" si="33"/>
        <v>0</v>
      </c>
      <c r="AT168" s="7">
        <f t="shared" si="33"/>
        <v>0</v>
      </c>
      <c r="AU168" s="7">
        <f t="shared" si="33"/>
        <v>0</v>
      </c>
      <c r="AV168" s="7">
        <f t="shared" si="33"/>
        <v>0</v>
      </c>
      <c r="AW168" s="7">
        <f t="shared" si="33"/>
        <v>0</v>
      </c>
      <c r="AX168" s="7">
        <f t="shared" si="33"/>
        <v>0</v>
      </c>
      <c r="AY168" s="7">
        <f t="shared" si="33"/>
        <v>0</v>
      </c>
      <c r="AZ168" s="7">
        <f t="shared" si="33"/>
        <v>0</v>
      </c>
      <c r="BA168" s="7">
        <f t="shared" si="33"/>
        <v>0</v>
      </c>
      <c r="BB168" s="7">
        <f t="shared" ref="BB168:BB173" si="34">IF(OR(ISERROR(+AB168/($D168+$E168-$G168)*$G168+AB168),LEFT(Z168,1)="x"),0,+AB168/($D168+$E168-$G168)*$G168+AB168)</f>
        <v>0</v>
      </c>
      <c r="BC168" s="7">
        <f>IF(OR(ISERROR(+#REF!/($D168+$E168-$G168)*$G168+#REF!),LEFT(AA168,1)="x"),0,+#REF!/($D168+$E168-$G168)*$G168+#REF!)</f>
        <v>0</v>
      </c>
      <c r="BD168" s="7">
        <f>IF(OR(ISERROR(+#REF!/($D168+$E168-$G168)*$G168+#REF!),LEFT(AB168,1)="x"),0,+#REF!/($D168+$E168-$G168)*$G168+#REF!)</f>
        <v>0</v>
      </c>
      <c r="BE168" s="7" t="e">
        <f>IF(OR(ISERROR(+AC168/($D168+$E168-$G168)*$G168+AC168),LEFT(#REF!,1)="x"),0,+AC168/($D168+$E168-$G168)*$G168+AC168)</f>
        <v>#REF!</v>
      </c>
    </row>
    <row r="169" spans="1:57" hidden="1">
      <c r="A169" s="555"/>
      <c r="B169" s="604"/>
      <c r="C169" s="607"/>
      <c r="D169" s="619"/>
      <c r="E169" s="620"/>
      <c r="F169" s="619"/>
      <c r="G169" s="619"/>
      <c r="H169" s="603"/>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27"/>
        <v>0</v>
      </c>
      <c r="AE169" s="629">
        <f t="shared" si="29"/>
        <v>0</v>
      </c>
      <c r="AF169" s="634">
        <f t="shared" si="28"/>
        <v>0</v>
      </c>
      <c r="AG169" s="43">
        <f t="shared" si="31"/>
        <v>0</v>
      </c>
      <c r="AH169" s="7">
        <f t="shared" si="32"/>
        <v>0</v>
      </c>
      <c r="AI169" s="7">
        <f t="shared" si="32"/>
        <v>0</v>
      </c>
      <c r="AJ169" s="7">
        <f t="shared" si="32"/>
        <v>0</v>
      </c>
      <c r="AK169" s="7">
        <f t="shared" si="32"/>
        <v>0</v>
      </c>
      <c r="AL169" s="7">
        <f t="shared" si="32"/>
        <v>0</v>
      </c>
      <c r="AM169" s="7">
        <f t="shared" si="32"/>
        <v>0</v>
      </c>
      <c r="AN169" s="7">
        <f t="shared" si="32"/>
        <v>0</v>
      </c>
      <c r="AO169" s="7">
        <f t="shared" si="32"/>
        <v>0</v>
      </c>
      <c r="AP169" s="7">
        <f t="shared" si="32"/>
        <v>0</v>
      </c>
      <c r="AQ169" s="7">
        <f t="shared" si="32"/>
        <v>0</v>
      </c>
      <c r="AR169" s="7">
        <f t="shared" si="33"/>
        <v>0</v>
      </c>
      <c r="AS169" s="7">
        <f t="shared" si="33"/>
        <v>0</v>
      </c>
      <c r="AT169" s="7">
        <f t="shared" si="33"/>
        <v>0</v>
      </c>
      <c r="AU169" s="7">
        <f t="shared" si="33"/>
        <v>0</v>
      </c>
      <c r="AV169" s="7">
        <f t="shared" si="33"/>
        <v>0</v>
      </c>
      <c r="AW169" s="7">
        <f t="shared" si="33"/>
        <v>0</v>
      </c>
      <c r="AX169" s="7">
        <f t="shared" si="33"/>
        <v>0</v>
      </c>
      <c r="AY169" s="7">
        <f t="shared" si="33"/>
        <v>0</v>
      </c>
      <c r="AZ169" s="7">
        <f t="shared" si="33"/>
        <v>0</v>
      </c>
      <c r="BA169" s="7">
        <f t="shared" si="33"/>
        <v>0</v>
      </c>
      <c r="BB169" s="7">
        <f t="shared" si="34"/>
        <v>0</v>
      </c>
      <c r="BC169" s="7">
        <f>IF(OR(ISERROR(+#REF!/($D169+$E169-$G169)*$G169+#REF!),LEFT(AA169,1)="x"),0,+#REF!/($D169+$E169-$G169)*$G169+#REF!)</f>
        <v>0</v>
      </c>
      <c r="BD169" s="7">
        <f>IF(OR(ISERROR(+#REF!/($D169+$E169-$G169)*$G169+#REF!),LEFT(AB169,1)="x"),0,+#REF!/($D169+$E169-$G169)*$G169+#REF!)</f>
        <v>0</v>
      </c>
      <c r="BE169" s="7" t="e">
        <f>IF(OR(ISERROR(+AC169/($D169+$E169-$G169)*$G169+AC169),LEFT(#REF!,1)="x"),0,+AC169/($D169+$E169-$G169)*$G169+AC169)</f>
        <v>#REF!</v>
      </c>
    </row>
    <row r="170" spans="1:57" hidden="1">
      <c r="A170" s="555"/>
      <c r="B170" s="604"/>
      <c r="C170" s="607"/>
      <c r="D170" s="619"/>
      <c r="E170" s="620"/>
      <c r="F170" s="619"/>
      <c r="G170" s="619"/>
      <c r="H170" s="603"/>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27"/>
        <v>0</v>
      </c>
      <c r="AE170" s="629">
        <f t="shared" si="29"/>
        <v>0</v>
      </c>
      <c r="AF170" s="634">
        <f t="shared" si="28"/>
        <v>0</v>
      </c>
      <c r="AG170" s="43">
        <f t="shared" si="31"/>
        <v>0</v>
      </c>
      <c r="AH170" s="7">
        <f t="shared" si="32"/>
        <v>0</v>
      </c>
      <c r="AI170" s="7">
        <f t="shared" si="32"/>
        <v>0</v>
      </c>
      <c r="AJ170" s="7">
        <f t="shared" si="32"/>
        <v>0</v>
      </c>
      <c r="AK170" s="7">
        <f t="shared" si="32"/>
        <v>0</v>
      </c>
      <c r="AL170" s="7">
        <f t="shared" si="32"/>
        <v>0</v>
      </c>
      <c r="AM170" s="7">
        <f t="shared" si="32"/>
        <v>0</v>
      </c>
      <c r="AN170" s="7">
        <f t="shared" si="32"/>
        <v>0</v>
      </c>
      <c r="AO170" s="7">
        <f t="shared" si="32"/>
        <v>0</v>
      </c>
      <c r="AP170" s="7">
        <f t="shared" si="32"/>
        <v>0</v>
      </c>
      <c r="AQ170" s="7">
        <f t="shared" si="32"/>
        <v>0</v>
      </c>
      <c r="AR170" s="7">
        <f t="shared" si="33"/>
        <v>0</v>
      </c>
      <c r="AS170" s="7">
        <f t="shared" si="33"/>
        <v>0</v>
      </c>
      <c r="AT170" s="7">
        <f t="shared" si="33"/>
        <v>0</v>
      </c>
      <c r="AU170" s="7">
        <f t="shared" si="33"/>
        <v>0</v>
      </c>
      <c r="AV170" s="7">
        <f t="shared" si="33"/>
        <v>0</v>
      </c>
      <c r="AW170" s="7">
        <f t="shared" si="33"/>
        <v>0</v>
      </c>
      <c r="AX170" s="7">
        <f t="shared" si="33"/>
        <v>0</v>
      </c>
      <c r="AY170" s="7">
        <f t="shared" si="33"/>
        <v>0</v>
      </c>
      <c r="AZ170" s="7">
        <f t="shared" si="33"/>
        <v>0</v>
      </c>
      <c r="BA170" s="7">
        <f t="shared" si="33"/>
        <v>0</v>
      </c>
      <c r="BB170" s="7">
        <f t="shared" si="34"/>
        <v>0</v>
      </c>
      <c r="BC170" s="7">
        <f>IF(OR(ISERROR(+#REF!/($D170+$E170-$G170)*$G170+#REF!),LEFT(AA170,1)="x"),0,+#REF!/($D170+$E170-$G170)*$G170+#REF!)</f>
        <v>0</v>
      </c>
      <c r="BD170" s="7">
        <f>IF(OR(ISERROR(+#REF!/($D170+$E170-$G170)*$G170+#REF!),LEFT(AB170,1)="x"),0,+#REF!/($D170+$E170-$G170)*$G170+#REF!)</f>
        <v>0</v>
      </c>
      <c r="BE170" s="7" t="e">
        <f>IF(OR(ISERROR(+AC170/($D170+$E170-$G170)*$G170+AC170),LEFT(#REF!,1)="x"),0,+AC170/($D170+$E170-$G170)*$G170+AC170)</f>
        <v>#REF!</v>
      </c>
    </row>
    <row r="171" spans="1:57" hidden="1">
      <c r="A171" s="555"/>
      <c r="B171" s="604"/>
      <c r="C171" s="607"/>
      <c r="D171" s="619"/>
      <c r="E171" s="620"/>
      <c r="F171" s="619"/>
      <c r="G171" s="619"/>
      <c r="H171" s="603"/>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27"/>
        <v>0</v>
      </c>
      <c r="AE171" s="629">
        <f t="shared" si="29"/>
        <v>0</v>
      </c>
      <c r="AF171" s="634">
        <f t="shared" si="28"/>
        <v>0</v>
      </c>
      <c r="AG171" s="43">
        <f t="shared" si="31"/>
        <v>0</v>
      </c>
      <c r="AH171" s="7">
        <f t="shared" si="32"/>
        <v>0</v>
      </c>
      <c r="AI171" s="7">
        <f t="shared" si="32"/>
        <v>0</v>
      </c>
      <c r="AJ171" s="7">
        <f t="shared" si="32"/>
        <v>0</v>
      </c>
      <c r="AK171" s="7">
        <f t="shared" si="32"/>
        <v>0</v>
      </c>
      <c r="AL171" s="7">
        <f t="shared" si="32"/>
        <v>0</v>
      </c>
      <c r="AM171" s="7">
        <f t="shared" si="32"/>
        <v>0</v>
      </c>
      <c r="AN171" s="7">
        <f t="shared" si="32"/>
        <v>0</v>
      </c>
      <c r="AO171" s="7">
        <f t="shared" si="32"/>
        <v>0</v>
      </c>
      <c r="AP171" s="7">
        <f t="shared" si="32"/>
        <v>0</v>
      </c>
      <c r="AQ171" s="7">
        <f t="shared" si="32"/>
        <v>0</v>
      </c>
      <c r="AR171" s="7">
        <f t="shared" si="33"/>
        <v>0</v>
      </c>
      <c r="AS171" s="7">
        <f t="shared" si="33"/>
        <v>0</v>
      </c>
      <c r="AT171" s="7">
        <f t="shared" si="33"/>
        <v>0</v>
      </c>
      <c r="AU171" s="7">
        <f t="shared" si="33"/>
        <v>0</v>
      </c>
      <c r="AV171" s="7">
        <f t="shared" si="33"/>
        <v>0</v>
      </c>
      <c r="AW171" s="7">
        <f t="shared" si="33"/>
        <v>0</v>
      </c>
      <c r="AX171" s="7">
        <f t="shared" si="33"/>
        <v>0</v>
      </c>
      <c r="AY171" s="7">
        <f t="shared" si="33"/>
        <v>0</v>
      </c>
      <c r="AZ171" s="7">
        <f t="shared" si="33"/>
        <v>0</v>
      </c>
      <c r="BA171" s="7">
        <f t="shared" si="33"/>
        <v>0</v>
      </c>
      <c r="BB171" s="7">
        <f t="shared" si="34"/>
        <v>0</v>
      </c>
      <c r="BC171" s="7">
        <f>IF(OR(ISERROR(+#REF!/($D171+$E171-$G171)*$G171+#REF!),LEFT(AA171,1)="x"),0,+#REF!/($D171+$E171-$G171)*$G171+#REF!)</f>
        <v>0</v>
      </c>
      <c r="BD171" s="7">
        <f>IF(OR(ISERROR(+#REF!/($D171+$E171-$G171)*$G171+#REF!),LEFT(AB171,1)="x"),0,+#REF!/($D171+$E171-$G171)*$G171+#REF!)</f>
        <v>0</v>
      </c>
      <c r="BE171" s="7" t="e">
        <f>IF(OR(ISERROR(+AC171/($D171+$E171-$G171)*$G171+AC171),LEFT(#REF!,1)="x"),0,+AC171/($D171+$E171-$G171)*$G171+AC171)</f>
        <v>#REF!</v>
      </c>
    </row>
    <row r="172" spans="1:57" hidden="1">
      <c r="A172" s="555"/>
      <c r="B172" s="604"/>
      <c r="C172" s="607"/>
      <c r="D172" s="619"/>
      <c r="E172" s="620"/>
      <c r="F172" s="619"/>
      <c r="G172" s="619"/>
      <c r="H172" s="603"/>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27"/>
        <v>0</v>
      </c>
      <c r="AE172" s="629">
        <f t="shared" si="29"/>
        <v>0</v>
      </c>
      <c r="AF172" s="634">
        <f t="shared" si="28"/>
        <v>0</v>
      </c>
      <c r="AG172" s="43">
        <f t="shared" si="31"/>
        <v>0</v>
      </c>
      <c r="AH172" s="7">
        <f t="shared" si="32"/>
        <v>0</v>
      </c>
      <c r="AI172" s="7">
        <f t="shared" si="32"/>
        <v>0</v>
      </c>
      <c r="AJ172" s="7">
        <f t="shared" si="32"/>
        <v>0</v>
      </c>
      <c r="AK172" s="7">
        <f t="shared" si="32"/>
        <v>0</v>
      </c>
      <c r="AL172" s="7">
        <f t="shared" si="32"/>
        <v>0</v>
      </c>
      <c r="AM172" s="7">
        <f t="shared" si="32"/>
        <v>0</v>
      </c>
      <c r="AN172" s="7">
        <f t="shared" si="32"/>
        <v>0</v>
      </c>
      <c r="AO172" s="7">
        <f t="shared" si="32"/>
        <v>0</v>
      </c>
      <c r="AP172" s="7">
        <f t="shared" si="32"/>
        <v>0</v>
      </c>
      <c r="AQ172" s="7">
        <f t="shared" si="32"/>
        <v>0</v>
      </c>
      <c r="AR172" s="7">
        <f t="shared" si="33"/>
        <v>0</v>
      </c>
      <c r="AS172" s="7">
        <f t="shared" si="33"/>
        <v>0</v>
      </c>
      <c r="AT172" s="7">
        <f t="shared" si="33"/>
        <v>0</v>
      </c>
      <c r="AU172" s="7">
        <f t="shared" si="33"/>
        <v>0</v>
      </c>
      <c r="AV172" s="7">
        <f t="shared" si="33"/>
        <v>0</v>
      </c>
      <c r="AW172" s="7">
        <f t="shared" si="33"/>
        <v>0</v>
      </c>
      <c r="AX172" s="7">
        <f t="shared" si="33"/>
        <v>0</v>
      </c>
      <c r="AY172" s="7">
        <f t="shared" si="33"/>
        <v>0</v>
      </c>
      <c r="AZ172" s="7">
        <f t="shared" si="33"/>
        <v>0</v>
      </c>
      <c r="BA172" s="7">
        <f t="shared" si="33"/>
        <v>0</v>
      </c>
      <c r="BB172" s="7">
        <f t="shared" si="34"/>
        <v>0</v>
      </c>
      <c r="BC172" s="7">
        <f>IF(OR(ISERROR(+#REF!/($D172+$E172-$G172)*$G172+#REF!),LEFT(AA172,1)="x"),0,+#REF!/($D172+$E172-$G172)*$G172+#REF!)</f>
        <v>0</v>
      </c>
      <c r="BD172" s="7">
        <f>IF(OR(ISERROR(+#REF!/($D172+$E172-$G172)*$G172+#REF!),LEFT(AB172,1)="x"),0,+#REF!/($D172+$E172-$G172)*$G172+#REF!)</f>
        <v>0</v>
      </c>
      <c r="BE172" s="7" t="e">
        <f>IF(OR(ISERROR(+AC172/($D172+$E172-$G172)*$G172+AC172),LEFT(#REF!,1)="x"),0,+AC172/($D172+$E172-$G172)*$G172+AC172)</f>
        <v>#REF!</v>
      </c>
    </row>
    <row r="173" spans="1:57" hidden="1">
      <c r="A173" s="555"/>
      <c r="B173" s="604"/>
      <c r="C173" s="607"/>
      <c r="D173" s="619"/>
      <c r="E173" s="620"/>
      <c r="F173" s="619"/>
      <c r="G173" s="619"/>
      <c r="H173" s="585"/>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27"/>
        <v>0</v>
      </c>
      <c r="AE173" s="629">
        <f t="shared" si="29"/>
        <v>0</v>
      </c>
      <c r="AF173" s="634">
        <f t="shared" si="28"/>
        <v>0</v>
      </c>
      <c r="AG173" s="43">
        <f t="shared" si="31"/>
        <v>0</v>
      </c>
      <c r="AH173" s="7">
        <f t="shared" ref="AH173:AV173" si="35">IF(OR(ISERROR(+H173/($D173+$E173-$G173)*$G173+H173),LEFT(F173,1)="x"),0,+H173/($D173+$E173-$G173)*$G173+H173)</f>
        <v>0</v>
      </c>
      <c r="AI173" s="7">
        <f t="shared" si="35"/>
        <v>0</v>
      </c>
      <c r="AJ173" s="7">
        <f t="shared" si="35"/>
        <v>0</v>
      </c>
      <c r="AK173" s="7">
        <f t="shared" si="35"/>
        <v>0</v>
      </c>
      <c r="AL173" s="7">
        <f t="shared" si="35"/>
        <v>0</v>
      </c>
      <c r="AM173" s="7">
        <f t="shared" si="35"/>
        <v>0</v>
      </c>
      <c r="AN173" s="7">
        <f t="shared" si="35"/>
        <v>0</v>
      </c>
      <c r="AO173" s="7">
        <f t="shared" si="35"/>
        <v>0</v>
      </c>
      <c r="AP173" s="7">
        <f t="shared" si="35"/>
        <v>0</v>
      </c>
      <c r="AQ173" s="7">
        <f t="shared" si="35"/>
        <v>0</v>
      </c>
      <c r="AR173" s="7">
        <f t="shared" si="35"/>
        <v>0</v>
      </c>
      <c r="AS173" s="7">
        <f t="shared" si="35"/>
        <v>0</v>
      </c>
      <c r="AT173" s="7">
        <f t="shared" si="35"/>
        <v>0</v>
      </c>
      <c r="AU173" s="7">
        <f t="shared" si="35"/>
        <v>0</v>
      </c>
      <c r="AV173" s="7">
        <f t="shared" si="35"/>
        <v>0</v>
      </c>
      <c r="AW173" s="7">
        <f t="shared" ref="AW173:AW201" si="36">IF(OR(ISERROR(+W173/($D173+$E173-$G173)*$G173+W173),LEFT(U173,1)="x"),0,+W173/($D173+$E173-$G173)*$G173+W173)</f>
        <v>0</v>
      </c>
      <c r="AX173" s="7">
        <f>IF(OR(ISERROR(+X173/($D173+$E173-$G173)*$G173+X173),LEFT(V173,1)="x"),0,+X173/($D173+$E173-$G173)*$G173+X173)</f>
        <v>0</v>
      </c>
      <c r="AY173" s="7">
        <f>IF(OR(ISERROR(+Y173/($D173+$E173-$G173)*$G173+Y173),LEFT(W173,1)="x"),0,+Y173/($D173+$E173-$G173)*$G173+Y173)</f>
        <v>0</v>
      </c>
      <c r="AZ173" s="7">
        <f>IF(OR(ISERROR(+Z173/($D173+$E173-$G173)*$G173+Z173),LEFT(X173,1)="x"),0,+Z173/($D173+$E173-$G173)*$G173+Z173)</f>
        <v>0</v>
      </c>
      <c r="BA173" s="7">
        <f>IF(OR(ISERROR(+AA173/($D173+$E173-$G173)*$G173+AA173),LEFT(Y173,1)="x"),0,+AA173/($D173+$E173-$G173)*$G173+AA173)</f>
        <v>0</v>
      </c>
      <c r="BB173" s="7">
        <f t="shared" si="34"/>
        <v>0</v>
      </c>
      <c r="BC173" s="7">
        <f>IF(OR(ISERROR(+#REF!/($D173+$E173-$G173)*$G173+#REF!),LEFT(AA173,1)="x"),0,+#REF!/($D173+$E173-$G173)*$G173+#REF!)</f>
        <v>0</v>
      </c>
      <c r="BD173" s="7">
        <f>IF(OR(ISERROR(+#REF!/($D173+$E173-$G173)*$G173+#REF!),LEFT(AB173,1)="x"),0,+#REF!/($D173+$E173-$G173)*$G173+#REF!)</f>
        <v>0</v>
      </c>
      <c r="BE173" s="7" t="e">
        <f>IF(OR(ISERROR(+AC173/($D173+$E173-$G173)*$G173+AC173),LEFT(#REF!,1)="x"),0,+AC173/($D173+$E173-$G173)*$G173+AC173)</f>
        <v>#REF!</v>
      </c>
    </row>
    <row r="174" spans="1:57" hidden="1">
      <c r="A174" s="555"/>
      <c r="B174" s="604"/>
      <c r="C174" s="607"/>
      <c r="D174" s="619"/>
      <c r="E174" s="620"/>
      <c r="F174" s="619"/>
      <c r="G174" s="619"/>
      <c r="H174" s="585"/>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27"/>
        <v>0</v>
      </c>
      <c r="AE174" s="629">
        <f t="shared" si="29"/>
        <v>0</v>
      </c>
      <c r="AF174" s="634">
        <f t="shared" si="28"/>
        <v>0</v>
      </c>
      <c r="AG174" s="43"/>
    </row>
    <row r="175" spans="1:57" hidden="1">
      <c r="A175" s="555"/>
      <c r="B175" s="604"/>
      <c r="C175" s="607"/>
      <c r="D175" s="619"/>
      <c r="E175" s="620"/>
      <c r="F175" s="619"/>
      <c r="G175" s="619"/>
      <c r="H175" s="585"/>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27"/>
        <v>0</v>
      </c>
      <c r="AE175" s="629">
        <f t="shared" si="29"/>
        <v>0</v>
      </c>
      <c r="AF175" s="634">
        <f t="shared" si="28"/>
        <v>0</v>
      </c>
      <c r="AG175" s="43"/>
    </row>
    <row r="176" spans="1:57" hidden="1">
      <c r="A176" s="555"/>
      <c r="B176" s="604"/>
      <c r="C176" s="607"/>
      <c r="D176" s="619"/>
      <c r="E176" s="620"/>
      <c r="F176" s="619"/>
      <c r="G176" s="619"/>
      <c r="H176" s="585"/>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27"/>
        <v>0</v>
      </c>
      <c r="AE176" s="629">
        <f t="shared" si="29"/>
        <v>0</v>
      </c>
      <c r="AF176" s="634">
        <f t="shared" si="28"/>
        <v>0</v>
      </c>
      <c r="AG176" s="43"/>
    </row>
    <row r="177" spans="1:57" hidden="1">
      <c r="A177" s="555"/>
      <c r="B177" s="604"/>
      <c r="C177" s="607"/>
      <c r="D177" s="619"/>
      <c r="E177" s="620"/>
      <c r="F177" s="619"/>
      <c r="G177" s="619"/>
      <c r="H177" s="585"/>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27"/>
        <v>0</v>
      </c>
      <c r="AE177" s="629">
        <f t="shared" si="29"/>
        <v>0</v>
      </c>
      <c r="AF177" s="634">
        <f t="shared" si="28"/>
        <v>0</v>
      </c>
      <c r="AG177" s="43"/>
    </row>
    <row r="178" spans="1:57" hidden="1">
      <c r="A178" s="555"/>
      <c r="B178" s="604"/>
      <c r="C178" s="607"/>
      <c r="D178" s="619"/>
      <c r="E178" s="620"/>
      <c r="F178" s="619"/>
      <c r="G178" s="619"/>
      <c r="H178" s="585"/>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27"/>
        <v>0</v>
      </c>
      <c r="AE178" s="629">
        <f t="shared" si="29"/>
        <v>0</v>
      </c>
      <c r="AF178" s="634">
        <f t="shared" si="28"/>
        <v>0</v>
      </c>
      <c r="AG178" s="43"/>
    </row>
    <row r="179" spans="1:57" hidden="1">
      <c r="A179" s="555"/>
      <c r="B179" s="604"/>
      <c r="C179" s="607"/>
      <c r="D179" s="619"/>
      <c r="E179" s="620"/>
      <c r="F179" s="619"/>
      <c r="G179" s="619"/>
      <c r="H179" s="585"/>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27"/>
        <v>0</v>
      </c>
      <c r="AE179" s="629">
        <f t="shared" si="29"/>
        <v>0</v>
      </c>
      <c r="AF179" s="634">
        <f t="shared" si="28"/>
        <v>0</v>
      </c>
      <c r="AG179" s="43"/>
    </row>
    <row r="180" spans="1:57" hidden="1">
      <c r="A180" s="555"/>
      <c r="B180" s="604"/>
      <c r="C180" s="607"/>
      <c r="D180" s="619"/>
      <c r="E180" s="620"/>
      <c r="F180" s="619"/>
      <c r="G180" s="619"/>
      <c r="H180" s="585"/>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27"/>
        <v>0</v>
      </c>
      <c r="AE180" s="629">
        <f t="shared" si="29"/>
        <v>0</v>
      </c>
      <c r="AF180" s="634">
        <f t="shared" si="28"/>
        <v>0</v>
      </c>
      <c r="AG180" s="43"/>
    </row>
    <row r="181" spans="1:57" hidden="1">
      <c r="A181" s="555"/>
      <c r="B181" s="604"/>
      <c r="C181" s="607"/>
      <c r="D181" s="619"/>
      <c r="E181" s="620"/>
      <c r="F181" s="619"/>
      <c r="G181" s="619"/>
      <c r="H181" s="585"/>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27"/>
        <v>0</v>
      </c>
      <c r="AE181" s="629">
        <f t="shared" si="29"/>
        <v>0</v>
      </c>
      <c r="AF181" s="634">
        <f t="shared" si="28"/>
        <v>0</v>
      </c>
      <c r="AG181" s="43">
        <f t="shared" ref="AG181:AG196" si="37">IF(AF181=0,0,"ERROR HERE")</f>
        <v>0</v>
      </c>
      <c r="AH181" s="7">
        <f t="shared" ref="AH181:AV197" si="38">IF(OR(ISERROR(+H181/($D181+$E181-$G181)*$G181+H181),LEFT(F181,1)="x"),0,+H181/($D181+$E181-$G181)*$G181+H181)</f>
        <v>0</v>
      </c>
      <c r="AI181" s="7">
        <f t="shared" si="38"/>
        <v>0</v>
      </c>
      <c r="AJ181" s="7">
        <f t="shared" si="38"/>
        <v>0</v>
      </c>
      <c r="AK181" s="7">
        <f t="shared" si="38"/>
        <v>0</v>
      </c>
      <c r="AL181" s="7">
        <f t="shared" si="38"/>
        <v>0</v>
      </c>
      <c r="AM181" s="7">
        <f t="shared" si="38"/>
        <v>0</v>
      </c>
      <c r="AN181" s="7">
        <f t="shared" si="38"/>
        <v>0</v>
      </c>
      <c r="AO181" s="7">
        <f t="shared" si="38"/>
        <v>0</v>
      </c>
      <c r="AP181" s="7">
        <f t="shared" si="38"/>
        <v>0</v>
      </c>
      <c r="AQ181" s="7">
        <f t="shared" si="38"/>
        <v>0</v>
      </c>
      <c r="AR181" s="7">
        <f t="shared" si="38"/>
        <v>0</v>
      </c>
      <c r="AS181" s="7">
        <f t="shared" si="38"/>
        <v>0</v>
      </c>
      <c r="AT181" s="7">
        <f t="shared" si="38"/>
        <v>0</v>
      </c>
      <c r="AU181" s="7">
        <f t="shared" si="38"/>
        <v>0</v>
      </c>
      <c r="AV181" s="7">
        <f t="shared" si="38"/>
        <v>0</v>
      </c>
      <c r="AW181" s="7">
        <f t="shared" si="36"/>
        <v>0</v>
      </c>
      <c r="AX181" s="7">
        <f t="shared" ref="AX181:AX201" si="39">IF(OR(ISERROR(+X181/($D181+$E181-$G181)*$G181+X181),LEFT(V181,1)="x"),0,+X181/($D181+$E181-$G181)*$G181+X181)</f>
        <v>0</v>
      </c>
      <c r="AY181" s="7">
        <f t="shared" ref="AY181:AY201" si="40">IF(OR(ISERROR(+Y181/($D181+$E181-$G181)*$G181+Y181),LEFT(W181,1)="x"),0,+Y181/($D181+$E181-$G181)*$G181+Y181)</f>
        <v>0</v>
      </c>
      <c r="AZ181" s="7">
        <f t="shared" ref="AZ181:AZ201" si="41">IF(OR(ISERROR(+Z181/($D181+$E181-$G181)*$G181+Z181),LEFT(X181,1)="x"),0,+Z181/($D181+$E181-$G181)*$G181+Z181)</f>
        <v>0</v>
      </c>
      <c r="BA181" s="7">
        <f t="shared" ref="BA181:BA201" si="42">IF(OR(ISERROR(+AA181/($D181+$E181-$G181)*$G181+AA181),LEFT(Y181,1)="x"),0,+AA181/($D181+$E181-$G181)*$G181+AA181)</f>
        <v>0</v>
      </c>
      <c r="BB181" s="7">
        <f t="shared" ref="BB181:BB201" si="43">IF(OR(ISERROR(+AB181/($D181+$E181-$G181)*$G181+AB181),LEFT(Z181,1)="x"),0,+AB181/($D181+$E181-$G181)*$G181+AB181)</f>
        <v>0</v>
      </c>
      <c r="BC181" s="7">
        <f>IF(OR(ISERROR(+#REF!/($D181+$E181-$G181)*$G181+#REF!),LEFT(AA181,1)="x"),0,+#REF!/($D181+$E181-$G181)*$G181+#REF!)</f>
        <v>0</v>
      </c>
      <c r="BD181" s="7">
        <f>IF(OR(ISERROR(+#REF!/($D181+$E181-$G181)*$G181+#REF!),LEFT(AB181,1)="x"),0,+#REF!/($D181+$E181-$G181)*$G181+#REF!)</f>
        <v>0</v>
      </c>
      <c r="BE181" s="7" t="e">
        <f>IF(OR(ISERROR(+AC181/($D181+$E181-$G181)*$G181+AC181),LEFT(#REF!,1)="x"),0,+AC181/($D181+$E181-$G181)*$G181+AC181)</f>
        <v>#REF!</v>
      </c>
    </row>
    <row r="182" spans="1:57" hidden="1">
      <c r="A182" s="555"/>
      <c r="B182" s="604"/>
      <c r="C182" s="607"/>
      <c r="D182" s="619"/>
      <c r="E182" s="620"/>
      <c r="F182" s="619"/>
      <c r="G182" s="619"/>
      <c r="H182" s="585"/>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27"/>
        <v>0</v>
      </c>
      <c r="AE182" s="629">
        <f t="shared" si="29"/>
        <v>0</v>
      </c>
      <c r="AF182" s="634">
        <f t="shared" si="28"/>
        <v>0</v>
      </c>
      <c r="AG182" s="43">
        <f t="shared" si="37"/>
        <v>0</v>
      </c>
      <c r="AH182" s="7">
        <f t="shared" si="38"/>
        <v>0</v>
      </c>
      <c r="AI182" s="7">
        <f t="shared" si="38"/>
        <v>0</v>
      </c>
      <c r="AJ182" s="7">
        <f t="shared" si="38"/>
        <v>0</v>
      </c>
      <c r="AK182" s="7">
        <f t="shared" si="38"/>
        <v>0</v>
      </c>
      <c r="AL182" s="7">
        <f t="shared" si="38"/>
        <v>0</v>
      </c>
      <c r="AM182" s="7">
        <f t="shared" si="38"/>
        <v>0</v>
      </c>
      <c r="AN182" s="7">
        <f t="shared" si="38"/>
        <v>0</v>
      </c>
      <c r="AO182" s="7">
        <f t="shared" si="38"/>
        <v>0</v>
      </c>
      <c r="AP182" s="7">
        <f t="shared" si="38"/>
        <v>0</v>
      </c>
      <c r="AQ182" s="7">
        <f t="shared" si="38"/>
        <v>0</v>
      </c>
      <c r="AR182" s="7">
        <f t="shared" si="38"/>
        <v>0</v>
      </c>
      <c r="AS182" s="7">
        <f t="shared" si="38"/>
        <v>0</v>
      </c>
      <c r="AT182" s="7">
        <f t="shared" si="38"/>
        <v>0</v>
      </c>
      <c r="AU182" s="7">
        <f t="shared" si="38"/>
        <v>0</v>
      </c>
      <c r="AV182" s="7">
        <f t="shared" si="38"/>
        <v>0</v>
      </c>
      <c r="AW182" s="7">
        <f t="shared" si="36"/>
        <v>0</v>
      </c>
      <c r="AX182" s="7">
        <f t="shared" si="39"/>
        <v>0</v>
      </c>
      <c r="AY182" s="7">
        <f t="shared" si="40"/>
        <v>0</v>
      </c>
      <c r="AZ182" s="7">
        <f t="shared" si="41"/>
        <v>0</v>
      </c>
      <c r="BA182" s="7">
        <f t="shared" si="42"/>
        <v>0</v>
      </c>
      <c r="BB182" s="7">
        <f t="shared" si="43"/>
        <v>0</v>
      </c>
      <c r="BC182" s="7">
        <f>IF(OR(ISERROR(+#REF!/($D182+$E182-$G182)*$G182+#REF!),LEFT(AA182,1)="x"),0,+#REF!/($D182+$E182-$G182)*$G182+#REF!)</f>
        <v>0</v>
      </c>
      <c r="BD182" s="7">
        <f>IF(OR(ISERROR(+#REF!/($D182+$E182-$G182)*$G182+#REF!),LEFT(AB182,1)="x"),0,+#REF!/($D182+$E182-$G182)*$G182+#REF!)</f>
        <v>0</v>
      </c>
      <c r="BE182" s="7" t="e">
        <f>IF(OR(ISERROR(+AC182/($D182+$E182-$G182)*$G182+AC182),LEFT(#REF!,1)="x"),0,+AC182/($D182+$E182-$G182)*$G182+AC182)</f>
        <v>#REF!</v>
      </c>
    </row>
    <row r="183" spans="1:57" hidden="1">
      <c r="A183" s="555"/>
      <c r="B183" s="604"/>
      <c r="C183" s="607"/>
      <c r="D183" s="619"/>
      <c r="E183" s="620"/>
      <c r="F183" s="619"/>
      <c r="G183" s="619"/>
      <c r="H183" s="585"/>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27"/>
        <v>0</v>
      </c>
      <c r="AE183" s="629">
        <f t="shared" si="29"/>
        <v>0</v>
      </c>
      <c r="AF183" s="634">
        <f t="shared" si="28"/>
        <v>0</v>
      </c>
      <c r="AG183" s="43">
        <f t="shared" si="37"/>
        <v>0</v>
      </c>
      <c r="AH183" s="7">
        <f t="shared" si="38"/>
        <v>0</v>
      </c>
      <c r="AI183" s="7">
        <f t="shared" si="38"/>
        <v>0</v>
      </c>
      <c r="AJ183" s="7">
        <f t="shared" si="38"/>
        <v>0</v>
      </c>
      <c r="AK183" s="7">
        <f t="shared" si="38"/>
        <v>0</v>
      </c>
      <c r="AL183" s="7">
        <f t="shared" si="38"/>
        <v>0</v>
      </c>
      <c r="AM183" s="7">
        <f t="shared" si="38"/>
        <v>0</v>
      </c>
      <c r="AN183" s="7">
        <f t="shared" si="38"/>
        <v>0</v>
      </c>
      <c r="AO183" s="7">
        <f t="shared" si="38"/>
        <v>0</v>
      </c>
      <c r="AP183" s="7">
        <f t="shared" si="38"/>
        <v>0</v>
      </c>
      <c r="AQ183" s="7">
        <f t="shared" si="38"/>
        <v>0</v>
      </c>
      <c r="AR183" s="7">
        <f t="shared" si="38"/>
        <v>0</v>
      </c>
      <c r="AS183" s="7">
        <f t="shared" si="38"/>
        <v>0</v>
      </c>
      <c r="AT183" s="7">
        <f t="shared" si="38"/>
        <v>0</v>
      </c>
      <c r="AU183" s="7">
        <f t="shared" si="38"/>
        <v>0</v>
      </c>
      <c r="AV183" s="7">
        <f t="shared" si="38"/>
        <v>0</v>
      </c>
      <c r="AW183" s="7">
        <f t="shared" si="36"/>
        <v>0</v>
      </c>
      <c r="AX183" s="7">
        <f t="shared" si="39"/>
        <v>0</v>
      </c>
      <c r="AY183" s="7">
        <f t="shared" si="40"/>
        <v>0</v>
      </c>
      <c r="AZ183" s="7">
        <f t="shared" si="41"/>
        <v>0</v>
      </c>
      <c r="BA183" s="7">
        <f t="shared" si="42"/>
        <v>0</v>
      </c>
      <c r="BB183" s="7">
        <f t="shared" si="43"/>
        <v>0</v>
      </c>
      <c r="BC183" s="7">
        <f>IF(OR(ISERROR(+#REF!/($D183+$E183-$G183)*$G183+#REF!),LEFT(AA183,1)="x"),0,+#REF!/($D183+$E183-$G183)*$G183+#REF!)</f>
        <v>0</v>
      </c>
      <c r="BD183" s="7">
        <f>IF(OR(ISERROR(+#REF!/($D183+$E183-$G183)*$G183+#REF!),LEFT(AB183,1)="x"),0,+#REF!/($D183+$E183-$G183)*$G183+#REF!)</f>
        <v>0</v>
      </c>
      <c r="BE183" s="7" t="e">
        <f>IF(OR(ISERROR(+AC183/($D183+$E183-$G183)*$G183+AC183),LEFT(#REF!,1)="x"),0,+AC183/($D183+$E183-$G183)*$G183+AC183)</f>
        <v>#REF!</v>
      </c>
    </row>
    <row r="184" spans="1:57" hidden="1">
      <c r="A184" s="555"/>
      <c r="B184" s="604"/>
      <c r="C184" s="607"/>
      <c r="D184" s="619"/>
      <c r="E184" s="620"/>
      <c r="F184" s="619"/>
      <c r="G184" s="619"/>
      <c r="H184" s="585"/>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27"/>
        <v>0</v>
      </c>
      <c r="AE184" s="629">
        <f t="shared" si="29"/>
        <v>0</v>
      </c>
      <c r="AF184" s="634">
        <f t="shared" si="28"/>
        <v>0</v>
      </c>
      <c r="AG184" s="43">
        <f t="shared" si="37"/>
        <v>0</v>
      </c>
      <c r="AH184" s="7">
        <f t="shared" si="38"/>
        <v>0</v>
      </c>
      <c r="AI184" s="7">
        <f t="shared" si="38"/>
        <v>0</v>
      </c>
      <c r="AJ184" s="7">
        <f t="shared" si="38"/>
        <v>0</v>
      </c>
      <c r="AK184" s="7">
        <f t="shared" si="38"/>
        <v>0</v>
      </c>
      <c r="AL184" s="7">
        <f t="shared" si="38"/>
        <v>0</v>
      </c>
      <c r="AM184" s="7">
        <f t="shared" si="38"/>
        <v>0</v>
      </c>
      <c r="AN184" s="7">
        <f t="shared" si="38"/>
        <v>0</v>
      </c>
      <c r="AO184" s="7">
        <f t="shared" si="38"/>
        <v>0</v>
      </c>
      <c r="AP184" s="7">
        <f t="shared" si="38"/>
        <v>0</v>
      </c>
      <c r="AQ184" s="7">
        <f t="shared" si="38"/>
        <v>0</v>
      </c>
      <c r="AR184" s="7">
        <f t="shared" si="38"/>
        <v>0</v>
      </c>
      <c r="AS184" s="7">
        <f t="shared" si="38"/>
        <v>0</v>
      </c>
      <c r="AT184" s="7">
        <f t="shared" si="38"/>
        <v>0</v>
      </c>
      <c r="AU184" s="7">
        <f t="shared" si="38"/>
        <v>0</v>
      </c>
      <c r="AV184" s="7">
        <f t="shared" si="38"/>
        <v>0</v>
      </c>
      <c r="AW184" s="7">
        <f t="shared" si="36"/>
        <v>0</v>
      </c>
      <c r="AX184" s="7">
        <f t="shared" si="39"/>
        <v>0</v>
      </c>
      <c r="AY184" s="7">
        <f t="shared" si="40"/>
        <v>0</v>
      </c>
      <c r="AZ184" s="7">
        <f t="shared" si="41"/>
        <v>0</v>
      </c>
      <c r="BA184" s="7">
        <f t="shared" si="42"/>
        <v>0</v>
      </c>
      <c r="BB184" s="7">
        <f t="shared" si="43"/>
        <v>0</v>
      </c>
      <c r="BC184" s="7">
        <f>IF(OR(ISERROR(+#REF!/($D184+$E184-$G184)*$G184+#REF!),LEFT(AA184,1)="x"),0,+#REF!/($D184+$E184-$G184)*$G184+#REF!)</f>
        <v>0</v>
      </c>
      <c r="BD184" s="7">
        <f>IF(OR(ISERROR(+#REF!/($D184+$E184-$G184)*$G184+#REF!),LEFT(AB184,1)="x"),0,+#REF!/($D184+$E184-$G184)*$G184+#REF!)</f>
        <v>0</v>
      </c>
      <c r="BE184" s="7" t="e">
        <f>IF(OR(ISERROR(+AC184/($D184+$E184-$G184)*$G184+AC184),LEFT(#REF!,1)="x"),0,+AC184/($D184+$E184-$G184)*$G184+AC184)</f>
        <v>#REF!</v>
      </c>
    </row>
    <row r="185" spans="1:57" hidden="1">
      <c r="A185" s="555"/>
      <c r="B185" s="604"/>
      <c r="C185" s="607"/>
      <c r="D185" s="619"/>
      <c r="E185" s="620"/>
      <c r="F185" s="619"/>
      <c r="G185" s="619"/>
      <c r="H185" s="585"/>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27"/>
        <v>0</v>
      </c>
      <c r="AE185" s="629">
        <f t="shared" si="29"/>
        <v>0</v>
      </c>
      <c r="AF185" s="634">
        <f t="shared" si="28"/>
        <v>0</v>
      </c>
      <c r="AG185" s="43">
        <f t="shared" si="37"/>
        <v>0</v>
      </c>
      <c r="AH185" s="7">
        <f t="shared" si="38"/>
        <v>0</v>
      </c>
      <c r="AI185" s="7">
        <f t="shared" si="38"/>
        <v>0</v>
      </c>
      <c r="AJ185" s="7">
        <f t="shared" si="38"/>
        <v>0</v>
      </c>
      <c r="AK185" s="7">
        <f t="shared" si="38"/>
        <v>0</v>
      </c>
      <c r="AL185" s="7">
        <f t="shared" si="38"/>
        <v>0</v>
      </c>
      <c r="AM185" s="7">
        <f t="shared" si="38"/>
        <v>0</v>
      </c>
      <c r="AN185" s="7">
        <f t="shared" si="38"/>
        <v>0</v>
      </c>
      <c r="AO185" s="7">
        <f t="shared" si="38"/>
        <v>0</v>
      </c>
      <c r="AP185" s="7">
        <f t="shared" si="38"/>
        <v>0</v>
      </c>
      <c r="AQ185" s="7">
        <f t="shared" si="38"/>
        <v>0</v>
      </c>
      <c r="AR185" s="7">
        <f t="shared" si="38"/>
        <v>0</v>
      </c>
      <c r="AS185" s="7">
        <f t="shared" si="38"/>
        <v>0</v>
      </c>
      <c r="AT185" s="7">
        <f t="shared" si="38"/>
        <v>0</v>
      </c>
      <c r="AU185" s="7">
        <f t="shared" si="38"/>
        <v>0</v>
      </c>
      <c r="AV185" s="7">
        <f t="shared" si="38"/>
        <v>0</v>
      </c>
      <c r="AW185" s="7">
        <f t="shared" si="36"/>
        <v>0</v>
      </c>
      <c r="AX185" s="7">
        <f t="shared" si="39"/>
        <v>0</v>
      </c>
      <c r="AY185" s="7">
        <f t="shared" si="40"/>
        <v>0</v>
      </c>
      <c r="AZ185" s="7">
        <f t="shared" si="41"/>
        <v>0</v>
      </c>
      <c r="BA185" s="7">
        <f t="shared" si="42"/>
        <v>0</v>
      </c>
      <c r="BB185" s="7">
        <f t="shared" si="43"/>
        <v>0</v>
      </c>
      <c r="BC185" s="7">
        <f>IF(OR(ISERROR(+#REF!/($D185+$E185-$G185)*$G185+#REF!),LEFT(AA185,1)="x"),0,+#REF!/($D185+$E185-$G185)*$G185+#REF!)</f>
        <v>0</v>
      </c>
      <c r="BD185" s="7">
        <f>IF(OR(ISERROR(+#REF!/($D185+$E185-$G185)*$G185+#REF!),LEFT(AB185,1)="x"),0,+#REF!/($D185+$E185-$G185)*$G185+#REF!)</f>
        <v>0</v>
      </c>
      <c r="BE185" s="7" t="e">
        <f>IF(OR(ISERROR(+AC185/($D185+$E185-$G185)*$G185+AC185),LEFT(#REF!,1)="x"),0,+AC185/($D185+$E185-$G185)*$G185+AC185)</f>
        <v>#REF!</v>
      </c>
    </row>
    <row r="186" spans="1:57" hidden="1">
      <c r="A186" s="555"/>
      <c r="B186" s="604"/>
      <c r="C186" s="607"/>
      <c r="D186" s="619"/>
      <c r="E186" s="620"/>
      <c r="F186" s="619"/>
      <c r="G186" s="619"/>
      <c r="H186" s="585"/>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27"/>
        <v>0</v>
      </c>
      <c r="AE186" s="629">
        <f t="shared" si="29"/>
        <v>0</v>
      </c>
      <c r="AF186" s="634">
        <f t="shared" si="28"/>
        <v>0</v>
      </c>
      <c r="AG186" s="43">
        <f t="shared" si="37"/>
        <v>0</v>
      </c>
      <c r="AH186" s="7">
        <f t="shared" si="38"/>
        <v>0</v>
      </c>
      <c r="AI186" s="7">
        <f t="shared" si="38"/>
        <v>0</v>
      </c>
      <c r="AJ186" s="7">
        <f t="shared" si="38"/>
        <v>0</v>
      </c>
      <c r="AK186" s="7">
        <f t="shared" si="38"/>
        <v>0</v>
      </c>
      <c r="AL186" s="7">
        <f t="shared" si="38"/>
        <v>0</v>
      </c>
      <c r="AM186" s="7">
        <f t="shared" si="38"/>
        <v>0</v>
      </c>
      <c r="AN186" s="7">
        <f t="shared" si="38"/>
        <v>0</v>
      </c>
      <c r="AO186" s="7">
        <f t="shared" si="38"/>
        <v>0</v>
      </c>
      <c r="AP186" s="7">
        <f t="shared" si="38"/>
        <v>0</v>
      </c>
      <c r="AQ186" s="7">
        <f t="shared" si="38"/>
        <v>0</v>
      </c>
      <c r="AR186" s="7">
        <f t="shared" si="38"/>
        <v>0</v>
      </c>
      <c r="AS186" s="7">
        <f t="shared" si="38"/>
        <v>0</v>
      </c>
      <c r="AT186" s="7">
        <f t="shared" si="38"/>
        <v>0</v>
      </c>
      <c r="AU186" s="7">
        <f t="shared" si="38"/>
        <v>0</v>
      </c>
      <c r="AV186" s="7">
        <f t="shared" si="38"/>
        <v>0</v>
      </c>
      <c r="AW186" s="7">
        <f t="shared" si="36"/>
        <v>0</v>
      </c>
      <c r="AX186" s="7">
        <f t="shared" si="39"/>
        <v>0</v>
      </c>
      <c r="AY186" s="7">
        <f t="shared" si="40"/>
        <v>0</v>
      </c>
      <c r="AZ186" s="7">
        <f t="shared" si="41"/>
        <v>0</v>
      </c>
      <c r="BA186" s="7">
        <f t="shared" si="42"/>
        <v>0</v>
      </c>
      <c r="BB186" s="7">
        <f t="shared" si="43"/>
        <v>0</v>
      </c>
      <c r="BC186" s="7">
        <f>IF(OR(ISERROR(+#REF!/($D186+$E186-$G186)*$G186+#REF!),LEFT(AA186,1)="x"),0,+#REF!/($D186+$E186-$G186)*$G186+#REF!)</f>
        <v>0</v>
      </c>
      <c r="BD186" s="7">
        <f>IF(OR(ISERROR(+#REF!/($D186+$E186-$G186)*$G186+#REF!),LEFT(AB186,1)="x"),0,+#REF!/($D186+$E186-$G186)*$G186+#REF!)</f>
        <v>0</v>
      </c>
      <c r="BE186" s="7" t="e">
        <f>IF(OR(ISERROR(+AC186/($D186+$E186-$G186)*$G186+AC186),LEFT(#REF!,1)="x"),0,+AC186/($D186+$E186-$G186)*$G186+AC186)</f>
        <v>#REF!</v>
      </c>
    </row>
    <row r="187" spans="1:57" hidden="1">
      <c r="A187" s="555"/>
      <c r="B187" s="604"/>
      <c r="C187" s="607"/>
      <c r="D187" s="619"/>
      <c r="E187" s="620"/>
      <c r="F187" s="619"/>
      <c r="G187" s="619"/>
      <c r="H187" s="585"/>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27"/>
        <v>0</v>
      </c>
      <c r="AE187" s="629">
        <f t="shared" si="29"/>
        <v>0</v>
      </c>
      <c r="AF187" s="634">
        <f t="shared" si="28"/>
        <v>0</v>
      </c>
      <c r="AG187" s="43">
        <f t="shared" si="37"/>
        <v>0</v>
      </c>
      <c r="AH187" s="7">
        <f t="shared" si="38"/>
        <v>0</v>
      </c>
      <c r="AI187" s="7">
        <f t="shared" si="38"/>
        <v>0</v>
      </c>
      <c r="AJ187" s="7">
        <f t="shared" si="38"/>
        <v>0</v>
      </c>
      <c r="AK187" s="7">
        <f t="shared" si="38"/>
        <v>0</v>
      </c>
      <c r="AL187" s="7">
        <f t="shared" si="38"/>
        <v>0</v>
      </c>
      <c r="AM187" s="7">
        <f t="shared" si="38"/>
        <v>0</v>
      </c>
      <c r="AN187" s="7">
        <f t="shared" si="38"/>
        <v>0</v>
      </c>
      <c r="AO187" s="7">
        <f t="shared" si="38"/>
        <v>0</v>
      </c>
      <c r="AP187" s="7">
        <f t="shared" si="38"/>
        <v>0</v>
      </c>
      <c r="AQ187" s="7">
        <f t="shared" si="38"/>
        <v>0</v>
      </c>
      <c r="AR187" s="7">
        <f t="shared" si="38"/>
        <v>0</v>
      </c>
      <c r="AS187" s="7">
        <f t="shared" si="38"/>
        <v>0</v>
      </c>
      <c r="AT187" s="7">
        <f t="shared" si="38"/>
        <v>0</v>
      </c>
      <c r="AU187" s="7">
        <f t="shared" si="38"/>
        <v>0</v>
      </c>
      <c r="AV187" s="7">
        <f t="shared" si="38"/>
        <v>0</v>
      </c>
      <c r="AW187" s="7">
        <f t="shared" si="36"/>
        <v>0</v>
      </c>
      <c r="AX187" s="7">
        <f t="shared" si="39"/>
        <v>0</v>
      </c>
      <c r="AY187" s="7">
        <f t="shared" si="40"/>
        <v>0</v>
      </c>
      <c r="AZ187" s="7">
        <f t="shared" si="41"/>
        <v>0</v>
      </c>
      <c r="BA187" s="7">
        <f t="shared" si="42"/>
        <v>0</v>
      </c>
      <c r="BB187" s="7">
        <f t="shared" si="43"/>
        <v>0</v>
      </c>
      <c r="BC187" s="7">
        <f>IF(OR(ISERROR(+#REF!/($D187+$E187-$G187)*$G187+#REF!),LEFT(AA187,1)="x"),0,+#REF!/($D187+$E187-$G187)*$G187+#REF!)</f>
        <v>0</v>
      </c>
      <c r="BD187" s="7">
        <f>IF(OR(ISERROR(+#REF!/($D187+$E187-$G187)*$G187+#REF!),LEFT(AB187,1)="x"),0,+#REF!/($D187+$E187-$G187)*$G187+#REF!)</f>
        <v>0</v>
      </c>
      <c r="BE187" s="7" t="e">
        <f>IF(OR(ISERROR(+AC187/($D187+$E187-$G187)*$G187+AC187),LEFT(#REF!,1)="x"),0,+AC187/($D187+$E187-$G187)*$G187+AC187)</f>
        <v>#REF!</v>
      </c>
    </row>
    <row r="188" spans="1:57" hidden="1">
      <c r="A188" s="555"/>
      <c r="B188" s="604"/>
      <c r="C188" s="607"/>
      <c r="D188" s="619"/>
      <c r="E188" s="620"/>
      <c r="F188" s="619"/>
      <c r="G188" s="619"/>
      <c r="H188" s="585"/>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27"/>
        <v>0</v>
      </c>
      <c r="AE188" s="629">
        <f t="shared" si="29"/>
        <v>0</v>
      </c>
      <c r="AF188" s="634">
        <f t="shared" si="28"/>
        <v>0</v>
      </c>
      <c r="AG188" s="43">
        <f t="shared" si="37"/>
        <v>0</v>
      </c>
      <c r="AH188" s="7">
        <f t="shared" si="38"/>
        <v>0</v>
      </c>
      <c r="AI188" s="7">
        <f t="shared" si="38"/>
        <v>0</v>
      </c>
      <c r="AJ188" s="7">
        <f t="shared" si="38"/>
        <v>0</v>
      </c>
      <c r="AK188" s="7">
        <f t="shared" si="38"/>
        <v>0</v>
      </c>
      <c r="AL188" s="7">
        <f t="shared" si="38"/>
        <v>0</v>
      </c>
      <c r="AM188" s="7">
        <f t="shared" si="38"/>
        <v>0</v>
      </c>
      <c r="AN188" s="7">
        <f t="shared" si="38"/>
        <v>0</v>
      </c>
      <c r="AO188" s="7">
        <f t="shared" si="38"/>
        <v>0</v>
      </c>
      <c r="AP188" s="7">
        <f t="shared" si="38"/>
        <v>0</v>
      </c>
      <c r="AQ188" s="7">
        <f t="shared" si="38"/>
        <v>0</v>
      </c>
      <c r="AR188" s="7">
        <f t="shared" si="38"/>
        <v>0</v>
      </c>
      <c r="AS188" s="7">
        <f t="shared" si="38"/>
        <v>0</v>
      </c>
      <c r="AT188" s="7">
        <f t="shared" si="38"/>
        <v>0</v>
      </c>
      <c r="AU188" s="7">
        <f t="shared" si="38"/>
        <v>0</v>
      </c>
      <c r="AV188" s="7">
        <f t="shared" si="38"/>
        <v>0</v>
      </c>
      <c r="AW188" s="7">
        <f t="shared" si="36"/>
        <v>0</v>
      </c>
      <c r="AX188" s="7">
        <f t="shared" si="39"/>
        <v>0</v>
      </c>
      <c r="AY188" s="7">
        <f t="shared" si="40"/>
        <v>0</v>
      </c>
      <c r="AZ188" s="7">
        <f t="shared" si="41"/>
        <v>0</v>
      </c>
      <c r="BA188" s="7">
        <f t="shared" si="42"/>
        <v>0</v>
      </c>
      <c r="BB188" s="7">
        <f t="shared" si="43"/>
        <v>0</v>
      </c>
      <c r="BC188" s="7">
        <f>IF(OR(ISERROR(+#REF!/($D188+$E188-$G188)*$G188+#REF!),LEFT(AA188,1)="x"),0,+#REF!/($D188+$E188-$G188)*$G188+#REF!)</f>
        <v>0</v>
      </c>
      <c r="BD188" s="7">
        <f>IF(OR(ISERROR(+#REF!/($D188+$E188-$G188)*$G188+#REF!),LEFT(AB188,1)="x"),0,+#REF!/($D188+$E188-$G188)*$G188+#REF!)</f>
        <v>0</v>
      </c>
      <c r="BE188" s="7" t="e">
        <f>IF(OR(ISERROR(+AC188/($D188+$E188-$G188)*$G188+AC188),LEFT(#REF!,1)="x"),0,+AC188/($D188+$E188-$G188)*$G188+AC188)</f>
        <v>#REF!</v>
      </c>
    </row>
    <row r="189" spans="1:57" hidden="1">
      <c r="A189" s="555"/>
      <c r="B189" s="604"/>
      <c r="C189" s="607"/>
      <c r="D189" s="619"/>
      <c r="E189" s="620"/>
      <c r="F189" s="619"/>
      <c r="G189" s="619"/>
      <c r="H189" s="585"/>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27"/>
        <v>0</v>
      </c>
      <c r="AE189" s="629">
        <f t="shared" si="29"/>
        <v>0</v>
      </c>
      <c r="AF189" s="634">
        <f t="shared" si="28"/>
        <v>0</v>
      </c>
      <c r="AG189" s="43">
        <f t="shared" si="37"/>
        <v>0</v>
      </c>
      <c r="AH189" s="7">
        <f t="shared" si="38"/>
        <v>0</v>
      </c>
      <c r="AI189" s="7">
        <f t="shared" si="38"/>
        <v>0</v>
      </c>
      <c r="AJ189" s="7">
        <f t="shared" si="38"/>
        <v>0</v>
      </c>
      <c r="AK189" s="7">
        <f t="shared" si="38"/>
        <v>0</v>
      </c>
      <c r="AL189" s="7">
        <f t="shared" si="38"/>
        <v>0</v>
      </c>
      <c r="AM189" s="7">
        <f t="shared" si="38"/>
        <v>0</v>
      </c>
      <c r="AN189" s="7">
        <f t="shared" si="38"/>
        <v>0</v>
      </c>
      <c r="AO189" s="7">
        <f t="shared" si="38"/>
        <v>0</v>
      </c>
      <c r="AP189" s="7">
        <f t="shared" si="38"/>
        <v>0</v>
      </c>
      <c r="AQ189" s="7">
        <f t="shared" si="38"/>
        <v>0</v>
      </c>
      <c r="AR189" s="7">
        <f t="shared" si="38"/>
        <v>0</v>
      </c>
      <c r="AS189" s="7">
        <f t="shared" si="38"/>
        <v>0</v>
      </c>
      <c r="AT189" s="7">
        <f t="shared" si="38"/>
        <v>0</v>
      </c>
      <c r="AU189" s="7">
        <f t="shared" si="38"/>
        <v>0</v>
      </c>
      <c r="AV189" s="7">
        <f t="shared" si="38"/>
        <v>0</v>
      </c>
      <c r="AW189" s="7">
        <f t="shared" si="36"/>
        <v>0</v>
      </c>
      <c r="AX189" s="7">
        <f t="shared" si="39"/>
        <v>0</v>
      </c>
      <c r="AY189" s="7">
        <f t="shared" si="40"/>
        <v>0</v>
      </c>
      <c r="AZ189" s="7">
        <f t="shared" si="41"/>
        <v>0</v>
      </c>
      <c r="BA189" s="7">
        <f t="shared" si="42"/>
        <v>0</v>
      </c>
      <c r="BB189" s="7">
        <f t="shared" si="43"/>
        <v>0</v>
      </c>
      <c r="BC189" s="7">
        <f>IF(OR(ISERROR(+#REF!/($D189+$E189-$G189)*$G189+#REF!),LEFT(AA189,1)="x"),0,+#REF!/($D189+$E189-$G189)*$G189+#REF!)</f>
        <v>0</v>
      </c>
      <c r="BD189" s="7">
        <f>IF(OR(ISERROR(+#REF!/($D189+$E189-$G189)*$G189+#REF!),LEFT(AB189,1)="x"),0,+#REF!/($D189+$E189-$G189)*$G189+#REF!)</f>
        <v>0</v>
      </c>
      <c r="BE189" s="7" t="e">
        <f>IF(OR(ISERROR(+AC189/($D189+$E189-$G189)*$G189+AC189),LEFT(#REF!,1)="x"),0,+AC189/($D189+$E189-$G189)*$G189+AC189)</f>
        <v>#REF!</v>
      </c>
    </row>
    <row r="190" spans="1:57" hidden="1">
      <c r="A190" s="555"/>
      <c r="B190" s="604"/>
      <c r="C190" s="607"/>
      <c r="D190" s="619"/>
      <c r="E190" s="620"/>
      <c r="F190" s="619"/>
      <c r="G190" s="619"/>
      <c r="H190" s="585"/>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27"/>
        <v>0</v>
      </c>
      <c r="AE190" s="629">
        <f t="shared" si="29"/>
        <v>0</v>
      </c>
      <c r="AF190" s="634">
        <f t="shared" si="28"/>
        <v>0</v>
      </c>
      <c r="AG190" s="43">
        <f t="shared" si="37"/>
        <v>0</v>
      </c>
      <c r="AH190" s="7">
        <f t="shared" si="38"/>
        <v>0</v>
      </c>
      <c r="AI190" s="7">
        <f t="shared" si="38"/>
        <v>0</v>
      </c>
      <c r="AJ190" s="7">
        <f t="shared" si="38"/>
        <v>0</v>
      </c>
      <c r="AK190" s="7">
        <f t="shared" si="38"/>
        <v>0</v>
      </c>
      <c r="AL190" s="7">
        <f t="shared" si="38"/>
        <v>0</v>
      </c>
      <c r="AM190" s="7">
        <f t="shared" si="38"/>
        <v>0</v>
      </c>
      <c r="AN190" s="7">
        <f t="shared" si="38"/>
        <v>0</v>
      </c>
      <c r="AO190" s="7">
        <f t="shared" si="38"/>
        <v>0</v>
      </c>
      <c r="AP190" s="7">
        <f t="shared" si="38"/>
        <v>0</v>
      </c>
      <c r="AQ190" s="7">
        <f t="shared" si="38"/>
        <v>0</v>
      </c>
      <c r="AR190" s="7">
        <f t="shared" si="38"/>
        <v>0</v>
      </c>
      <c r="AS190" s="7">
        <f t="shared" si="38"/>
        <v>0</v>
      </c>
      <c r="AT190" s="7">
        <f t="shared" si="38"/>
        <v>0</v>
      </c>
      <c r="AU190" s="7">
        <f t="shared" si="38"/>
        <v>0</v>
      </c>
      <c r="AV190" s="7">
        <f t="shared" si="38"/>
        <v>0</v>
      </c>
      <c r="AW190" s="7">
        <f t="shared" si="36"/>
        <v>0</v>
      </c>
      <c r="AX190" s="7">
        <f t="shared" si="39"/>
        <v>0</v>
      </c>
      <c r="AY190" s="7">
        <f t="shared" si="40"/>
        <v>0</v>
      </c>
      <c r="AZ190" s="7">
        <f t="shared" si="41"/>
        <v>0</v>
      </c>
      <c r="BA190" s="7">
        <f t="shared" si="42"/>
        <v>0</v>
      </c>
      <c r="BB190" s="7">
        <f t="shared" si="43"/>
        <v>0</v>
      </c>
      <c r="BC190" s="7">
        <f>IF(OR(ISERROR(+#REF!/($D190+$E190-$G190)*$G190+#REF!),LEFT(AA190,1)="x"),0,+#REF!/($D190+$E190-$G190)*$G190+#REF!)</f>
        <v>0</v>
      </c>
      <c r="BD190" s="7">
        <f>IF(OR(ISERROR(+#REF!/($D190+$E190-$G190)*$G190+#REF!),LEFT(AB190,1)="x"),0,+#REF!/($D190+$E190-$G190)*$G190+#REF!)</f>
        <v>0</v>
      </c>
      <c r="BE190" s="7" t="e">
        <f>IF(OR(ISERROR(+AC190/($D190+$E190-$G190)*$G190+AC190),LEFT(#REF!,1)="x"),0,+AC190/($D190+$E190-$G190)*$G190+AC190)</f>
        <v>#REF!</v>
      </c>
    </row>
    <row r="191" spans="1:57" hidden="1">
      <c r="A191" s="555"/>
      <c r="B191" s="604"/>
      <c r="C191" s="607"/>
      <c r="D191" s="619"/>
      <c r="E191" s="620"/>
      <c r="F191" s="619"/>
      <c r="G191" s="619"/>
      <c r="H191" s="585"/>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27"/>
        <v>0</v>
      </c>
      <c r="AE191" s="629">
        <f t="shared" si="29"/>
        <v>0</v>
      </c>
      <c r="AF191" s="634">
        <f t="shared" si="28"/>
        <v>0</v>
      </c>
      <c r="AG191" s="43">
        <f t="shared" si="37"/>
        <v>0</v>
      </c>
      <c r="AH191" s="7">
        <f t="shared" si="38"/>
        <v>0</v>
      </c>
      <c r="AI191" s="7">
        <f t="shared" si="38"/>
        <v>0</v>
      </c>
      <c r="AJ191" s="7">
        <f t="shared" si="38"/>
        <v>0</v>
      </c>
      <c r="AK191" s="7">
        <f t="shared" si="38"/>
        <v>0</v>
      </c>
      <c r="AL191" s="7">
        <f t="shared" si="38"/>
        <v>0</v>
      </c>
      <c r="AM191" s="7">
        <f t="shared" si="38"/>
        <v>0</v>
      </c>
      <c r="AN191" s="7">
        <f t="shared" si="38"/>
        <v>0</v>
      </c>
      <c r="AO191" s="7">
        <f t="shared" si="38"/>
        <v>0</v>
      </c>
      <c r="AP191" s="7">
        <f t="shared" si="38"/>
        <v>0</v>
      </c>
      <c r="AQ191" s="7">
        <f t="shared" si="38"/>
        <v>0</v>
      </c>
      <c r="AR191" s="7">
        <f t="shared" si="38"/>
        <v>0</v>
      </c>
      <c r="AS191" s="7">
        <f t="shared" si="38"/>
        <v>0</v>
      </c>
      <c r="AT191" s="7">
        <f t="shared" si="38"/>
        <v>0</v>
      </c>
      <c r="AU191" s="7">
        <f t="shared" si="38"/>
        <v>0</v>
      </c>
      <c r="AV191" s="7">
        <f t="shared" si="38"/>
        <v>0</v>
      </c>
      <c r="AW191" s="7">
        <f t="shared" si="36"/>
        <v>0</v>
      </c>
      <c r="AX191" s="7">
        <f t="shared" si="39"/>
        <v>0</v>
      </c>
      <c r="AY191" s="7">
        <f t="shared" si="40"/>
        <v>0</v>
      </c>
      <c r="AZ191" s="7">
        <f t="shared" si="41"/>
        <v>0</v>
      </c>
      <c r="BA191" s="7">
        <f t="shared" si="42"/>
        <v>0</v>
      </c>
      <c r="BB191" s="7">
        <f t="shared" si="43"/>
        <v>0</v>
      </c>
      <c r="BC191" s="7">
        <f>IF(OR(ISERROR(+#REF!/($D191+$E191-$G191)*$G191+#REF!),LEFT(AA191,1)="x"),0,+#REF!/($D191+$E191-$G191)*$G191+#REF!)</f>
        <v>0</v>
      </c>
      <c r="BD191" s="7">
        <f>IF(OR(ISERROR(+#REF!/($D191+$E191-$G191)*$G191+#REF!),LEFT(AB191,1)="x"),0,+#REF!/($D191+$E191-$G191)*$G191+#REF!)</f>
        <v>0</v>
      </c>
      <c r="BE191" s="7" t="e">
        <f>IF(OR(ISERROR(+AC191/($D191+$E191-$G191)*$G191+AC191),LEFT(#REF!,1)="x"),0,+AC191/($D191+$E191-$G191)*$G191+AC191)</f>
        <v>#REF!</v>
      </c>
    </row>
    <row r="192" spans="1:57" hidden="1">
      <c r="A192" s="555"/>
      <c r="B192" s="604"/>
      <c r="C192" s="607"/>
      <c r="D192" s="619"/>
      <c r="E192" s="620"/>
      <c r="F192" s="619"/>
      <c r="G192" s="619"/>
      <c r="H192" s="585"/>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27"/>
        <v>0</v>
      </c>
      <c r="AE192" s="629">
        <f t="shared" si="29"/>
        <v>0</v>
      </c>
      <c r="AF192" s="634">
        <f t="shared" si="28"/>
        <v>0</v>
      </c>
      <c r="AG192" s="43">
        <f t="shared" si="37"/>
        <v>0</v>
      </c>
      <c r="AH192" s="7">
        <f t="shared" si="38"/>
        <v>0</v>
      </c>
      <c r="AI192" s="7">
        <f t="shared" si="38"/>
        <v>0</v>
      </c>
      <c r="AJ192" s="7">
        <f t="shared" si="38"/>
        <v>0</v>
      </c>
      <c r="AK192" s="7">
        <f t="shared" si="38"/>
        <v>0</v>
      </c>
      <c r="AL192" s="7">
        <f t="shared" si="38"/>
        <v>0</v>
      </c>
      <c r="AM192" s="7">
        <f t="shared" si="38"/>
        <v>0</v>
      </c>
      <c r="AN192" s="7">
        <f t="shared" si="38"/>
        <v>0</v>
      </c>
      <c r="AO192" s="7">
        <f t="shared" si="38"/>
        <v>0</v>
      </c>
      <c r="AP192" s="7">
        <f t="shared" si="38"/>
        <v>0</v>
      </c>
      <c r="AQ192" s="7">
        <f t="shared" si="38"/>
        <v>0</v>
      </c>
      <c r="AR192" s="7">
        <f t="shared" si="38"/>
        <v>0</v>
      </c>
      <c r="AS192" s="7">
        <f t="shared" si="38"/>
        <v>0</v>
      </c>
      <c r="AT192" s="7">
        <f t="shared" si="38"/>
        <v>0</v>
      </c>
      <c r="AU192" s="7">
        <f t="shared" si="38"/>
        <v>0</v>
      </c>
      <c r="AV192" s="7">
        <f t="shared" si="38"/>
        <v>0</v>
      </c>
      <c r="AW192" s="7">
        <f t="shared" si="36"/>
        <v>0</v>
      </c>
      <c r="AX192" s="7">
        <f t="shared" si="39"/>
        <v>0</v>
      </c>
      <c r="AY192" s="7">
        <f t="shared" si="40"/>
        <v>0</v>
      </c>
      <c r="AZ192" s="7">
        <f t="shared" si="41"/>
        <v>0</v>
      </c>
      <c r="BA192" s="7">
        <f t="shared" si="42"/>
        <v>0</v>
      </c>
      <c r="BB192" s="7">
        <f t="shared" si="43"/>
        <v>0</v>
      </c>
      <c r="BC192" s="7">
        <f>IF(OR(ISERROR(+#REF!/($D192+$E192-$G192)*$G192+#REF!),LEFT(AA192,1)="x"),0,+#REF!/($D192+$E192-$G192)*$G192+#REF!)</f>
        <v>0</v>
      </c>
      <c r="BD192" s="7">
        <f>IF(OR(ISERROR(+#REF!/($D192+$E192-$G192)*$G192+#REF!),LEFT(AB192,1)="x"),0,+#REF!/($D192+$E192-$G192)*$G192+#REF!)</f>
        <v>0</v>
      </c>
      <c r="BE192" s="7" t="e">
        <f>IF(OR(ISERROR(+AC192/($D192+$E192-$G192)*$G192+AC192),LEFT(#REF!,1)="x"),0,+AC192/($D192+$E192-$G192)*$G192+AC192)</f>
        <v>#REF!</v>
      </c>
    </row>
    <row r="193" spans="1:57" hidden="1">
      <c r="A193" s="555"/>
      <c r="B193" s="604"/>
      <c r="C193" s="607"/>
      <c r="D193" s="619"/>
      <c r="E193" s="620"/>
      <c r="F193" s="619"/>
      <c r="G193" s="61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27"/>
        <v>0</v>
      </c>
      <c r="AE193" s="629">
        <f t="shared" si="29"/>
        <v>0</v>
      </c>
      <c r="AF193" s="634">
        <f t="shared" si="28"/>
        <v>0</v>
      </c>
      <c r="AG193" s="43">
        <f t="shared" si="37"/>
        <v>0</v>
      </c>
      <c r="AH193" s="7">
        <f t="shared" si="38"/>
        <v>0</v>
      </c>
      <c r="AI193" s="7">
        <f t="shared" si="38"/>
        <v>0</v>
      </c>
      <c r="AJ193" s="7">
        <f t="shared" si="38"/>
        <v>0</v>
      </c>
      <c r="AK193" s="7">
        <f t="shared" si="38"/>
        <v>0</v>
      </c>
      <c r="AL193" s="7">
        <f t="shared" si="38"/>
        <v>0</v>
      </c>
      <c r="AM193" s="7">
        <f t="shared" si="38"/>
        <v>0</v>
      </c>
      <c r="AN193" s="7">
        <f t="shared" si="38"/>
        <v>0</v>
      </c>
      <c r="AO193" s="7">
        <f t="shared" si="38"/>
        <v>0</v>
      </c>
      <c r="AP193" s="7">
        <f t="shared" si="38"/>
        <v>0</v>
      </c>
      <c r="AQ193" s="7">
        <f t="shared" si="38"/>
        <v>0</v>
      </c>
      <c r="AR193" s="7">
        <f t="shared" si="38"/>
        <v>0</v>
      </c>
      <c r="AS193" s="7">
        <f t="shared" si="38"/>
        <v>0</v>
      </c>
      <c r="AT193" s="7">
        <f t="shared" si="38"/>
        <v>0</v>
      </c>
      <c r="AU193" s="7">
        <f t="shared" si="38"/>
        <v>0</v>
      </c>
      <c r="AV193" s="7">
        <f t="shared" si="38"/>
        <v>0</v>
      </c>
      <c r="AW193" s="7">
        <f t="shared" si="36"/>
        <v>0</v>
      </c>
      <c r="AX193" s="7">
        <f t="shared" si="39"/>
        <v>0</v>
      </c>
      <c r="AY193" s="7">
        <f t="shared" si="40"/>
        <v>0</v>
      </c>
      <c r="AZ193" s="7">
        <f t="shared" si="41"/>
        <v>0</v>
      </c>
      <c r="BA193" s="7">
        <f t="shared" si="42"/>
        <v>0</v>
      </c>
      <c r="BB193" s="7">
        <f t="shared" si="43"/>
        <v>0</v>
      </c>
      <c r="BC193" s="7">
        <f>IF(OR(ISERROR(+#REF!/($D193+$E193-$G193)*$G193+#REF!),LEFT(AA193,1)="x"),0,+#REF!/($D193+$E193-$G193)*$G193+#REF!)</f>
        <v>0</v>
      </c>
      <c r="BD193" s="7">
        <f>IF(OR(ISERROR(+#REF!/($D193+$E193-$G193)*$G193+#REF!),LEFT(AB193,1)="x"),0,+#REF!/($D193+$E193-$G193)*$G193+#REF!)</f>
        <v>0</v>
      </c>
      <c r="BE193" s="7" t="e">
        <f>IF(OR(ISERROR(+AC193/($D193+$E193-$G193)*$G193+AC193),LEFT(#REF!,1)="x"),0,+AC193/($D193+$E193-$G193)*$G193+AC193)</f>
        <v>#REF!</v>
      </c>
    </row>
    <row r="194" spans="1:57" hidden="1">
      <c r="A194" s="555"/>
      <c r="B194" s="604"/>
      <c r="C194" s="607"/>
      <c r="D194" s="619"/>
      <c r="E194" s="620"/>
      <c r="F194" s="619"/>
      <c r="G194" s="61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27"/>
        <v>0</v>
      </c>
      <c r="AE194" s="629">
        <f t="shared" si="29"/>
        <v>0</v>
      </c>
      <c r="AF194" s="634">
        <f t="shared" si="28"/>
        <v>0</v>
      </c>
      <c r="AG194" s="43">
        <f t="shared" si="37"/>
        <v>0</v>
      </c>
      <c r="AH194" s="7">
        <f t="shared" si="38"/>
        <v>0</v>
      </c>
      <c r="AI194" s="7">
        <f t="shared" si="38"/>
        <v>0</v>
      </c>
      <c r="AJ194" s="7">
        <f t="shared" si="38"/>
        <v>0</v>
      </c>
      <c r="AK194" s="7">
        <f t="shared" si="38"/>
        <v>0</v>
      </c>
      <c r="AL194" s="7">
        <f t="shared" si="38"/>
        <v>0</v>
      </c>
      <c r="AM194" s="7">
        <f t="shared" si="38"/>
        <v>0</v>
      </c>
      <c r="AN194" s="7">
        <f t="shared" si="38"/>
        <v>0</v>
      </c>
      <c r="AO194" s="7">
        <f t="shared" si="38"/>
        <v>0</v>
      </c>
      <c r="AP194" s="7">
        <f t="shared" si="38"/>
        <v>0</v>
      </c>
      <c r="AQ194" s="7">
        <f t="shared" si="38"/>
        <v>0</v>
      </c>
      <c r="AR194" s="7">
        <f t="shared" si="38"/>
        <v>0</v>
      </c>
      <c r="AS194" s="7">
        <f t="shared" si="38"/>
        <v>0</v>
      </c>
      <c r="AT194" s="7">
        <f t="shared" si="38"/>
        <v>0</v>
      </c>
      <c r="AU194" s="7">
        <f t="shared" si="38"/>
        <v>0</v>
      </c>
      <c r="AV194" s="7">
        <f t="shared" si="38"/>
        <v>0</v>
      </c>
      <c r="AW194" s="7">
        <f t="shared" si="36"/>
        <v>0</v>
      </c>
      <c r="AX194" s="7">
        <f t="shared" si="39"/>
        <v>0</v>
      </c>
      <c r="AY194" s="7">
        <f t="shared" si="40"/>
        <v>0</v>
      </c>
      <c r="AZ194" s="7">
        <f t="shared" si="41"/>
        <v>0</v>
      </c>
      <c r="BA194" s="7">
        <f t="shared" si="42"/>
        <v>0</v>
      </c>
      <c r="BB194" s="7">
        <f t="shared" si="43"/>
        <v>0</v>
      </c>
      <c r="BC194" s="7">
        <f>IF(OR(ISERROR(+#REF!/($D194+$E194-$G194)*$G194+#REF!),LEFT(AA194,1)="x"),0,+#REF!/($D194+$E194-$G194)*$G194+#REF!)</f>
        <v>0</v>
      </c>
      <c r="BD194" s="7">
        <f>IF(OR(ISERROR(+#REF!/($D194+$E194-$G194)*$G194+#REF!),LEFT(AB194,1)="x"),0,+#REF!/($D194+$E194-$G194)*$G194+#REF!)</f>
        <v>0</v>
      </c>
      <c r="BE194" s="7" t="e">
        <f>IF(OR(ISERROR(+AC194/($D194+$E194-$G194)*$G194+AC194),LEFT(#REF!,1)="x"),0,+AC194/($D194+$E194-$G194)*$G194+AC194)</f>
        <v>#REF!</v>
      </c>
    </row>
    <row r="195" spans="1:57" hidden="1">
      <c r="A195" s="555"/>
      <c r="B195" s="604"/>
      <c r="C195" s="607"/>
      <c r="D195" s="619"/>
      <c r="E195" s="620"/>
      <c r="F195" s="619"/>
      <c r="G195" s="61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27"/>
        <v>0</v>
      </c>
      <c r="AE195" s="629">
        <f t="shared" si="29"/>
        <v>0</v>
      </c>
      <c r="AF195" s="634">
        <f t="shared" si="28"/>
        <v>0</v>
      </c>
      <c r="AG195" s="43">
        <f t="shared" si="37"/>
        <v>0</v>
      </c>
      <c r="AH195" s="7">
        <f t="shared" si="38"/>
        <v>0</v>
      </c>
      <c r="AI195" s="7">
        <f t="shared" si="38"/>
        <v>0</v>
      </c>
      <c r="AJ195" s="7">
        <f t="shared" si="38"/>
        <v>0</v>
      </c>
      <c r="AK195" s="7">
        <f t="shared" si="38"/>
        <v>0</v>
      </c>
      <c r="AL195" s="7">
        <f t="shared" si="38"/>
        <v>0</v>
      </c>
      <c r="AM195" s="7">
        <f t="shared" si="38"/>
        <v>0</v>
      </c>
      <c r="AN195" s="7">
        <f t="shared" si="38"/>
        <v>0</v>
      </c>
      <c r="AO195" s="7">
        <f t="shared" si="38"/>
        <v>0</v>
      </c>
      <c r="AP195" s="7">
        <f t="shared" si="38"/>
        <v>0</v>
      </c>
      <c r="AQ195" s="7">
        <f t="shared" si="38"/>
        <v>0</v>
      </c>
      <c r="AR195" s="7">
        <f t="shared" si="38"/>
        <v>0</v>
      </c>
      <c r="AS195" s="7">
        <f t="shared" si="38"/>
        <v>0</v>
      </c>
      <c r="AT195" s="7">
        <f t="shared" si="38"/>
        <v>0</v>
      </c>
      <c r="AU195" s="7">
        <f t="shared" si="38"/>
        <v>0</v>
      </c>
      <c r="AV195" s="7">
        <f t="shared" si="38"/>
        <v>0</v>
      </c>
      <c r="AW195" s="7">
        <f t="shared" si="36"/>
        <v>0</v>
      </c>
      <c r="AX195" s="7">
        <f t="shared" si="39"/>
        <v>0</v>
      </c>
      <c r="AY195" s="7">
        <f t="shared" si="40"/>
        <v>0</v>
      </c>
      <c r="AZ195" s="7">
        <f t="shared" si="41"/>
        <v>0</v>
      </c>
      <c r="BA195" s="7">
        <f t="shared" si="42"/>
        <v>0</v>
      </c>
      <c r="BB195" s="7">
        <f t="shared" si="43"/>
        <v>0</v>
      </c>
      <c r="BC195" s="7">
        <f>IF(OR(ISERROR(+#REF!/($D195+$E195-$G195)*$G195+#REF!),LEFT(AA195,1)="x"),0,+#REF!/($D195+$E195-$G195)*$G195+#REF!)</f>
        <v>0</v>
      </c>
      <c r="BD195" s="7">
        <f>IF(OR(ISERROR(+#REF!/($D195+$E195-$G195)*$G195+#REF!),LEFT(AB195,1)="x"),0,+#REF!/($D195+$E195-$G195)*$G195+#REF!)</f>
        <v>0</v>
      </c>
      <c r="BE195" s="7" t="e">
        <f>IF(OR(ISERROR(+AC195/($D195+$E195-$G195)*$G195+AC195),LEFT(#REF!,1)="x"),0,+AC195/($D195+$E195-$G195)*$G195+AC195)</f>
        <v>#REF!</v>
      </c>
    </row>
    <row r="196" spans="1:57" ht="13.5" hidden="1" thickBot="1">
      <c r="A196" s="556"/>
      <c r="B196" s="606"/>
      <c r="C196" s="611"/>
      <c r="D196" s="621"/>
      <c r="E196" s="622"/>
      <c r="F196" s="621"/>
      <c r="G196" s="621"/>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27"/>
        <v>0</v>
      </c>
      <c r="AE196" s="629">
        <f t="shared" si="29"/>
        <v>0</v>
      </c>
      <c r="AF196" s="634">
        <f t="shared" si="28"/>
        <v>0</v>
      </c>
      <c r="AG196" s="43">
        <f t="shared" si="37"/>
        <v>0</v>
      </c>
      <c r="AH196" s="7">
        <f t="shared" si="38"/>
        <v>0</v>
      </c>
      <c r="AI196" s="7">
        <f t="shared" si="38"/>
        <v>0</v>
      </c>
      <c r="AJ196" s="7">
        <f t="shared" si="38"/>
        <v>0</v>
      </c>
      <c r="AK196" s="7">
        <f t="shared" si="38"/>
        <v>0</v>
      </c>
      <c r="AL196" s="7">
        <f t="shared" si="38"/>
        <v>0</v>
      </c>
      <c r="AM196" s="7">
        <f t="shared" si="38"/>
        <v>0</v>
      </c>
      <c r="AN196" s="7">
        <f t="shared" si="38"/>
        <v>0</v>
      </c>
      <c r="AO196" s="7">
        <f t="shared" si="38"/>
        <v>0</v>
      </c>
      <c r="AP196" s="7">
        <f t="shared" si="38"/>
        <v>0</v>
      </c>
      <c r="AQ196" s="7">
        <f t="shared" si="38"/>
        <v>0</v>
      </c>
      <c r="AR196" s="7">
        <f t="shared" si="38"/>
        <v>0</v>
      </c>
      <c r="AS196" s="7">
        <f t="shared" si="38"/>
        <v>0</v>
      </c>
      <c r="AT196" s="7">
        <f t="shared" si="38"/>
        <v>0</v>
      </c>
      <c r="AU196" s="7">
        <f t="shared" si="38"/>
        <v>0</v>
      </c>
      <c r="AV196" s="7">
        <f t="shared" si="38"/>
        <v>0</v>
      </c>
      <c r="AW196" s="7">
        <f t="shared" si="36"/>
        <v>0</v>
      </c>
      <c r="AX196" s="7">
        <f t="shared" si="39"/>
        <v>0</v>
      </c>
      <c r="AY196" s="7">
        <f t="shared" si="40"/>
        <v>0</v>
      </c>
      <c r="AZ196" s="7">
        <f t="shared" si="41"/>
        <v>0</v>
      </c>
      <c r="BA196" s="7">
        <f t="shared" si="42"/>
        <v>0</v>
      </c>
      <c r="BB196" s="7">
        <f t="shared" si="43"/>
        <v>0</v>
      </c>
      <c r="BC196" s="7">
        <f>IF(OR(ISERROR(+#REF!/($D196+$E196-$G196)*$G196+#REF!),LEFT(AA196,1)="x"),0,+#REF!/($D196+$E196-$G196)*$G196+#REF!)</f>
        <v>0</v>
      </c>
      <c r="BD196" s="7">
        <f>IF(OR(ISERROR(+#REF!/($D196+$E196-$G196)*$G196+#REF!),LEFT(AB196,1)="x"),0,+#REF!/($D196+$E196-$G196)*$G196+#REF!)</f>
        <v>0</v>
      </c>
      <c r="BE196" s="7" t="e">
        <f>IF(OR(ISERROR(+AC196/($D196+$E196-$G196)*$G196+AC196),LEFT(#REF!,1)="x"),0,+AC196/($D196+$E196-$G196)*$G196+AC196)</f>
        <v>#REF!</v>
      </c>
    </row>
    <row r="197" spans="1:57" ht="14.25">
      <c r="A197" s="99" t="s">
        <v>20</v>
      </c>
      <c r="B197" s="100"/>
      <c r="C197" s="97" t="s">
        <v>26</v>
      </c>
      <c r="D197" s="92">
        <f>SUM(D80:D196)</f>
        <v>1971.5</v>
      </c>
      <c r="E197" s="92">
        <f>SUM(E80:E196)</f>
        <v>901</v>
      </c>
      <c r="F197" s="208">
        <f>SUM(F80:F196)</f>
        <v>0</v>
      </c>
      <c r="G197" s="92">
        <f t="shared" ref="G197:AA197" si="44">SUM(G80:G196)</f>
        <v>0</v>
      </c>
      <c r="H197" s="92">
        <f t="shared" si="44"/>
        <v>225</v>
      </c>
      <c r="I197" s="92">
        <f t="shared" si="44"/>
        <v>164</v>
      </c>
      <c r="J197" s="92">
        <f t="shared" si="44"/>
        <v>35</v>
      </c>
      <c r="K197" s="92">
        <f t="shared" si="44"/>
        <v>0</v>
      </c>
      <c r="L197" s="92">
        <f t="shared" si="44"/>
        <v>1824</v>
      </c>
      <c r="M197" s="92">
        <f t="shared" si="44"/>
        <v>0</v>
      </c>
      <c r="N197" s="92">
        <f t="shared" si="44"/>
        <v>0</v>
      </c>
      <c r="O197" s="92">
        <f t="shared" si="44"/>
        <v>0</v>
      </c>
      <c r="P197" s="92">
        <f t="shared" si="44"/>
        <v>20</v>
      </c>
      <c r="Q197" s="92">
        <f t="shared" si="44"/>
        <v>0</v>
      </c>
      <c r="R197" s="92">
        <f t="shared" si="44"/>
        <v>65</v>
      </c>
      <c r="S197" s="92">
        <f t="shared" si="44"/>
        <v>55</v>
      </c>
      <c r="T197" s="92">
        <f t="shared" si="44"/>
        <v>85</v>
      </c>
      <c r="U197" s="92">
        <f t="shared" si="44"/>
        <v>138</v>
      </c>
      <c r="V197" s="92">
        <f t="shared" si="44"/>
        <v>9.5</v>
      </c>
      <c r="W197" s="92">
        <f t="shared" si="44"/>
        <v>95</v>
      </c>
      <c r="X197" s="92">
        <f t="shared" si="44"/>
        <v>0</v>
      </c>
      <c r="Y197" s="92">
        <f t="shared" si="44"/>
        <v>0</v>
      </c>
      <c r="Z197" s="92">
        <f t="shared" si="44"/>
        <v>0</v>
      </c>
      <c r="AA197" s="92">
        <f t="shared" si="44"/>
        <v>0</v>
      </c>
      <c r="AB197" s="92">
        <f>SUM(AB80:AB196)</f>
        <v>157</v>
      </c>
      <c r="AC197" s="208">
        <f>SUM(AC80:AC196)</f>
        <v>0</v>
      </c>
      <c r="AH197" s="7">
        <f t="shared" si="38"/>
        <v>225</v>
      </c>
      <c r="AI197" s="7">
        <f t="shared" si="38"/>
        <v>164</v>
      </c>
      <c r="AJ197" s="7">
        <f t="shared" si="38"/>
        <v>35</v>
      </c>
      <c r="AK197" s="7">
        <f t="shared" si="38"/>
        <v>0</v>
      </c>
      <c r="AL197" s="7">
        <f t="shared" si="38"/>
        <v>1824</v>
      </c>
      <c r="AM197" s="7">
        <f t="shared" si="38"/>
        <v>0</v>
      </c>
      <c r="AN197" s="7">
        <f t="shared" si="38"/>
        <v>0</v>
      </c>
      <c r="AO197" s="7">
        <f t="shared" si="38"/>
        <v>0</v>
      </c>
      <c r="AP197" s="7">
        <f t="shared" si="38"/>
        <v>20</v>
      </c>
      <c r="AQ197" s="7">
        <f t="shared" si="38"/>
        <v>0</v>
      </c>
      <c r="AR197" s="7">
        <f t="shared" si="38"/>
        <v>65</v>
      </c>
      <c r="AS197" s="7">
        <f t="shared" si="38"/>
        <v>55</v>
      </c>
      <c r="AT197" s="7">
        <f t="shared" si="38"/>
        <v>85</v>
      </c>
      <c r="AU197" s="7">
        <f t="shared" si="38"/>
        <v>138</v>
      </c>
      <c r="AV197" s="7">
        <f t="shared" si="38"/>
        <v>9.5</v>
      </c>
      <c r="AW197" s="7">
        <f t="shared" si="36"/>
        <v>95</v>
      </c>
      <c r="AX197" s="7">
        <f t="shared" si="39"/>
        <v>0</v>
      </c>
      <c r="AY197" s="7">
        <f t="shared" si="40"/>
        <v>0</v>
      </c>
      <c r="AZ197" s="7">
        <f t="shared" si="41"/>
        <v>0</v>
      </c>
      <c r="BA197" s="7">
        <f t="shared" si="42"/>
        <v>0</v>
      </c>
      <c r="BB197" s="7">
        <f t="shared" si="43"/>
        <v>157</v>
      </c>
      <c r="BC197" s="7">
        <f>IF(OR(ISERROR(+#REF!/($D197+$E197-$G197)*$G197+#REF!),LEFT(AA197,1)="x"),0,+#REF!/($D197+$E197-$G197)*$G197+#REF!)</f>
        <v>0</v>
      </c>
      <c r="BD197" s="7">
        <f>IF(OR(ISERROR(+AC197/($D197+$E197-$G197)*$G197+AC197),LEFT(Z197,1)="x"),0,+AC197/($D197+$E197-$G197)*$G197+AC197)</f>
        <v>0</v>
      </c>
    </row>
    <row r="198" spans="1:57" ht="13.5" thickBot="1">
      <c r="A198" s="50"/>
      <c r="B198" s="51"/>
      <c r="C198" s="39" t="s">
        <v>27</v>
      </c>
      <c r="D198" s="643">
        <f>SUM(D79:D196)</f>
        <v>70826.989999999991</v>
      </c>
      <c r="E198" s="643">
        <f>SUM(E79:E196)</f>
        <v>0</v>
      </c>
      <c r="F198" s="644">
        <f>SUM(F79:F196)</f>
        <v>0</v>
      </c>
      <c r="G198" s="643">
        <f t="shared" ref="G198:AA198" si="45">SUM(G79:G196)</f>
        <v>0</v>
      </c>
      <c r="H198" s="643">
        <f t="shared" si="45"/>
        <v>900</v>
      </c>
      <c r="I198" s="643">
        <f t="shared" si="45"/>
        <v>656</v>
      </c>
      <c r="J198" s="643">
        <f t="shared" si="45"/>
        <v>140</v>
      </c>
      <c r="K198" s="643">
        <f t="shared" si="45"/>
        <v>0</v>
      </c>
      <c r="L198" s="643">
        <f t="shared" si="45"/>
        <v>9120</v>
      </c>
      <c r="M198" s="643">
        <f t="shared" si="45"/>
        <v>0</v>
      </c>
      <c r="N198" s="643">
        <f t="shared" si="45"/>
        <v>0</v>
      </c>
      <c r="O198" s="643">
        <f t="shared" si="45"/>
        <v>0</v>
      </c>
      <c r="P198" s="643">
        <f t="shared" si="45"/>
        <v>80</v>
      </c>
      <c r="Q198" s="643">
        <f t="shared" si="45"/>
        <v>0</v>
      </c>
      <c r="R198" s="643">
        <f t="shared" si="45"/>
        <v>260</v>
      </c>
      <c r="S198" s="643">
        <f t="shared" si="45"/>
        <v>220</v>
      </c>
      <c r="T198" s="643">
        <f t="shared" si="45"/>
        <v>340</v>
      </c>
      <c r="U198" s="643">
        <f t="shared" si="45"/>
        <v>552</v>
      </c>
      <c r="V198" s="643">
        <f t="shared" si="45"/>
        <v>26</v>
      </c>
      <c r="W198" s="643">
        <f t="shared" si="45"/>
        <v>380</v>
      </c>
      <c r="X198" s="643">
        <f t="shared" si="45"/>
        <v>50555.39</v>
      </c>
      <c r="Y198" s="643">
        <f t="shared" si="45"/>
        <v>6969.6</v>
      </c>
      <c r="Z198" s="643">
        <f t="shared" si="45"/>
        <v>0</v>
      </c>
      <c r="AA198" s="643">
        <f t="shared" si="45"/>
        <v>0</v>
      </c>
      <c r="AB198" s="643">
        <f>SUM(AB79:AB196)</f>
        <v>628</v>
      </c>
      <c r="AC198" s="645">
        <f>SUM(AC79:AC196)</f>
        <v>0</v>
      </c>
      <c r="AG198" s="57"/>
      <c r="AH198" s="7">
        <f t="shared" ref="AH198:AV201" si="46">IF(OR(ISERROR(+H198/($D198+$E198-$G198)*$G198+H198),LEFT(F198,1)="x"),0,+H198/($D198+$E198-$G198)*$G198+H198)</f>
        <v>900</v>
      </c>
      <c r="AI198" s="7">
        <f t="shared" si="46"/>
        <v>656</v>
      </c>
      <c r="AJ198" s="7">
        <f t="shared" si="46"/>
        <v>140</v>
      </c>
      <c r="AK198" s="7">
        <f t="shared" si="46"/>
        <v>0</v>
      </c>
      <c r="AL198" s="7">
        <f t="shared" si="46"/>
        <v>9120</v>
      </c>
      <c r="AM198" s="7">
        <f t="shared" si="46"/>
        <v>0</v>
      </c>
      <c r="AN198" s="7">
        <f t="shared" si="46"/>
        <v>0</v>
      </c>
      <c r="AO198" s="7">
        <f t="shared" si="46"/>
        <v>0</v>
      </c>
      <c r="AP198" s="7">
        <f t="shared" si="46"/>
        <v>80</v>
      </c>
      <c r="AQ198" s="7">
        <f t="shared" si="46"/>
        <v>0</v>
      </c>
      <c r="AR198" s="7">
        <f t="shared" si="46"/>
        <v>260</v>
      </c>
      <c r="AS198" s="7">
        <f t="shared" si="46"/>
        <v>220</v>
      </c>
      <c r="AT198" s="7">
        <f t="shared" si="46"/>
        <v>340</v>
      </c>
      <c r="AU198" s="7">
        <f t="shared" si="46"/>
        <v>552</v>
      </c>
      <c r="AV198" s="7">
        <f t="shared" si="46"/>
        <v>26</v>
      </c>
      <c r="AW198" s="7">
        <f t="shared" si="36"/>
        <v>380</v>
      </c>
      <c r="AX198" s="7">
        <f t="shared" si="39"/>
        <v>50555.39</v>
      </c>
      <c r="AY198" s="7">
        <f t="shared" si="40"/>
        <v>6969.6</v>
      </c>
      <c r="AZ198" s="7">
        <f t="shared" si="41"/>
        <v>0</v>
      </c>
      <c r="BA198" s="7">
        <f t="shared" si="42"/>
        <v>0</v>
      </c>
      <c r="BB198" s="7">
        <f t="shared" si="43"/>
        <v>628</v>
      </c>
      <c r="BC198" s="7">
        <f>IF(OR(ISERROR(+#REF!/($D198+$E198-$G198)*$G198+#REF!),LEFT(AA198,1)="x"),0,+#REF!/($D198+$E198-$G198)*$G198+#REF!)</f>
        <v>0</v>
      </c>
      <c r="BD198" s="7">
        <f>IF(OR(ISERROR(+AC198/($D198+$E198-$G198)*$G198+AC198),LEFT(Z198,1)="x"),0,+AC198/($D198+$E198-$G198)*$G198+AC198)</f>
        <v>0</v>
      </c>
    </row>
    <row r="199" spans="1:5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H199" s="7">
        <f t="shared" si="46"/>
        <v>0</v>
      </c>
      <c r="AI199" s="7">
        <f t="shared" si="46"/>
        <v>0</v>
      </c>
      <c r="AJ199" s="7">
        <f t="shared" si="46"/>
        <v>0</v>
      </c>
      <c r="AK199" s="7">
        <f t="shared" si="46"/>
        <v>0</v>
      </c>
      <c r="AL199" s="7">
        <f t="shared" si="46"/>
        <v>0</v>
      </c>
      <c r="AM199" s="7">
        <f t="shared" si="46"/>
        <v>0</v>
      </c>
      <c r="AN199" s="7">
        <f t="shared" si="46"/>
        <v>0</v>
      </c>
      <c r="AO199" s="7">
        <f t="shared" si="46"/>
        <v>0</v>
      </c>
      <c r="AP199" s="7">
        <f t="shared" si="46"/>
        <v>0</v>
      </c>
      <c r="AQ199" s="7">
        <f t="shared" si="46"/>
        <v>0</v>
      </c>
      <c r="AR199" s="7">
        <f t="shared" si="46"/>
        <v>0</v>
      </c>
      <c r="AS199" s="7">
        <f t="shared" si="46"/>
        <v>0</v>
      </c>
      <c r="AT199" s="7">
        <f t="shared" si="46"/>
        <v>0</v>
      </c>
      <c r="AU199" s="7">
        <f t="shared" si="46"/>
        <v>0</v>
      </c>
      <c r="AV199" s="7">
        <f t="shared" si="46"/>
        <v>0</v>
      </c>
      <c r="AW199" s="7">
        <f t="shared" si="36"/>
        <v>0</v>
      </c>
      <c r="AX199" s="7">
        <f t="shared" si="39"/>
        <v>0</v>
      </c>
      <c r="AY199" s="7">
        <f t="shared" si="40"/>
        <v>0</v>
      </c>
      <c r="AZ199" s="7">
        <f t="shared" si="41"/>
        <v>0</v>
      </c>
      <c r="BA199" s="7">
        <f t="shared" si="42"/>
        <v>0</v>
      </c>
      <c r="BB199" s="7">
        <f t="shared" si="43"/>
        <v>0</v>
      </c>
      <c r="BC199" s="7">
        <f>IF(OR(ISERROR(+#REF!/($D199+$E199-$G199)*$G199+#REF!),LEFT(AA199,1)="x"),0,+#REF!/($D199+$E199-$G199)*$G199+#REF!)</f>
        <v>0</v>
      </c>
      <c r="BD199" s="7">
        <f>IF(OR(ISERROR(+AC199/($D199+$E199-$G199)*$G199+AC199),LEFT(Z199,1)="x"),0,+AC199/($D199+$E199-$G199)*$G199+AC199)</f>
        <v>0</v>
      </c>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H200" s="7">
        <f t="shared" si="46"/>
        <v>0</v>
      </c>
      <c r="AI200" s="7">
        <f t="shared" si="46"/>
        <v>0</v>
      </c>
      <c r="AJ200" s="7">
        <f t="shared" si="46"/>
        <v>0</v>
      </c>
      <c r="AK200" s="7">
        <f t="shared" si="46"/>
        <v>0</v>
      </c>
      <c r="AL200" s="7">
        <f t="shared" si="46"/>
        <v>0</v>
      </c>
      <c r="AM200" s="7">
        <f t="shared" si="46"/>
        <v>0</v>
      </c>
      <c r="AN200" s="7">
        <f t="shared" si="46"/>
        <v>0</v>
      </c>
      <c r="AO200" s="7">
        <f t="shared" si="46"/>
        <v>0</v>
      </c>
      <c r="AP200" s="7">
        <f t="shared" si="46"/>
        <v>0</v>
      </c>
      <c r="AQ200" s="7">
        <f t="shared" si="46"/>
        <v>0</v>
      </c>
      <c r="AR200" s="7">
        <f t="shared" si="46"/>
        <v>0</v>
      </c>
      <c r="AS200" s="7">
        <f t="shared" si="46"/>
        <v>0</v>
      </c>
      <c r="AT200" s="7">
        <f t="shared" si="46"/>
        <v>0</v>
      </c>
      <c r="AU200" s="7">
        <f t="shared" si="46"/>
        <v>0</v>
      </c>
      <c r="AV200" s="7">
        <f t="shared" si="46"/>
        <v>0</v>
      </c>
      <c r="AW200" s="7">
        <f t="shared" si="36"/>
        <v>0</v>
      </c>
      <c r="AX200" s="7">
        <f t="shared" si="39"/>
        <v>0</v>
      </c>
      <c r="AY200" s="7">
        <f t="shared" si="40"/>
        <v>0</v>
      </c>
      <c r="AZ200" s="7">
        <f t="shared" si="41"/>
        <v>0</v>
      </c>
      <c r="BA200" s="7">
        <f t="shared" si="42"/>
        <v>0</v>
      </c>
      <c r="BB200" s="7">
        <f t="shared" si="43"/>
        <v>0</v>
      </c>
      <c r="BC200" s="7">
        <f>IF(OR(ISERROR(+#REF!/($D200+$E200-$G200)*$G200+#REF!),LEFT(AA200,1)="x"),0,+#REF!/($D200+$E200-$G200)*$G200+#REF!)</f>
        <v>0</v>
      </c>
      <c r="BD200" s="7">
        <f>IF(OR(ISERROR(+AC200/($D200+$E200-$G200)*$G200+AC200),LEFT(Z200,1)="x"),0,+AC200/($D200+$E200-$G200)*$G200+AC200)</f>
        <v>0</v>
      </c>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H201" s="7">
        <f t="shared" si="46"/>
        <v>0</v>
      </c>
      <c r="AI201" s="7">
        <f t="shared" si="46"/>
        <v>0</v>
      </c>
      <c r="AJ201" s="7">
        <f t="shared" si="46"/>
        <v>0</v>
      </c>
      <c r="AK201" s="7">
        <f t="shared" si="46"/>
        <v>0</v>
      </c>
      <c r="AL201" s="7">
        <f t="shared" si="46"/>
        <v>0</v>
      </c>
      <c r="AM201" s="7">
        <f t="shared" si="46"/>
        <v>0</v>
      </c>
      <c r="AN201" s="7">
        <f t="shared" si="46"/>
        <v>0</v>
      </c>
      <c r="AO201" s="7">
        <f t="shared" si="46"/>
        <v>0</v>
      </c>
      <c r="AP201" s="7">
        <f t="shared" si="46"/>
        <v>0</v>
      </c>
      <c r="AQ201" s="7">
        <f t="shared" si="46"/>
        <v>0</v>
      </c>
      <c r="AR201" s="7">
        <f t="shared" si="46"/>
        <v>0</v>
      </c>
      <c r="AS201" s="7">
        <f t="shared" si="46"/>
        <v>0</v>
      </c>
      <c r="AT201" s="7">
        <f t="shared" si="46"/>
        <v>0</v>
      </c>
      <c r="AU201" s="7">
        <f t="shared" si="46"/>
        <v>0</v>
      </c>
      <c r="AV201" s="7">
        <f t="shared" si="46"/>
        <v>0</v>
      </c>
      <c r="AW201" s="7">
        <f t="shared" si="36"/>
        <v>0</v>
      </c>
      <c r="AX201" s="7">
        <f t="shared" si="39"/>
        <v>0</v>
      </c>
      <c r="AY201" s="7">
        <f t="shared" si="40"/>
        <v>0</v>
      </c>
      <c r="AZ201" s="7">
        <f t="shared" si="41"/>
        <v>0</v>
      </c>
      <c r="BA201" s="7">
        <f t="shared" si="42"/>
        <v>0</v>
      </c>
      <c r="BB201" s="7">
        <f t="shared" si="43"/>
        <v>0</v>
      </c>
      <c r="BC201" s="7">
        <f>IF(OR(ISERROR(+#REF!/($D201+$E201-$G201)*$G201+#REF!),LEFT(AA201,1)="x"),0,+#REF!/($D201+$E201-$G201)*$G201+#REF!)</f>
        <v>0</v>
      </c>
      <c r="BD201" s="7">
        <f>IF(OR(ISERROR(+AC201/($D201+$E201-$G201)*$G201+AC201),LEFT(Z201,1)="x"),0,+AC201/($D201+$E201-$G201)*$G201+AC201)</f>
        <v>0</v>
      </c>
    </row>
    <row r="202" spans="1:57" ht="15.75">
      <c r="A202" s="52" t="s">
        <v>226</v>
      </c>
      <c r="B202" s="52"/>
      <c r="C202" s="52"/>
      <c r="D202" s="19">
        <f>E202-H202</f>
        <v>0</v>
      </c>
      <c r="E202" s="53">
        <f>D197+E197+F197</f>
        <v>2872.5</v>
      </c>
      <c r="F202" s="53" t="s">
        <v>20</v>
      </c>
      <c r="G202" s="17"/>
      <c r="H202" s="53">
        <f>SUM(G197:AC197)</f>
        <v>2872.5</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
      <c r="A203" s="17"/>
      <c r="B203" s="17"/>
      <c r="C203" s="17"/>
      <c r="D203" s="54">
        <f>IF(D202=0,0,"Error - check totals do not balance, please see column AF - at the right side of the expenditure table for corrections to be made")</f>
        <v>0</v>
      </c>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ht="15">
      <c r="A205" s="17"/>
      <c r="B205" s="17"/>
      <c r="C205" s="17"/>
      <c r="D205" s="54"/>
      <c r="E205" s="5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c r="A209" s="161" t="s">
        <v>166</v>
      </c>
      <c r="B209" s="17"/>
      <c r="C209" s="73"/>
      <c r="D209" s="73"/>
      <c r="E209" s="639">
        <f>'Nov 17'!K10+L54+M54+N54+O54-D198</f>
        <v>70643.710000000021</v>
      </c>
      <c r="F209" s="639">
        <f>'Nov 17'!K11+P54+X198-O54</f>
        <v>87019.64</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c r="A210" s="161"/>
      <c r="B210" s="17"/>
      <c r="C210" s="73"/>
      <c r="D210" s="73"/>
      <c r="E210" s="637"/>
      <c r="F210" s="6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c r="A211" s="161" t="s">
        <v>63</v>
      </c>
      <c r="B211" s="17"/>
      <c r="C211" s="642"/>
      <c r="D211" s="642"/>
      <c r="E211" s="637"/>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c r="B212" s="162" t="s">
        <v>187</v>
      </c>
      <c r="C212" s="642"/>
      <c r="D212" s="642"/>
      <c r="E212" s="637" t="s">
        <v>20</v>
      </c>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c r="A213" s="17"/>
      <c r="B213" s="162" t="s">
        <v>164</v>
      </c>
      <c r="C213" s="642"/>
      <c r="D213" s="642"/>
      <c r="E213" s="637" t="s">
        <v>20</v>
      </c>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c r="A215" s="17"/>
      <c r="B215" s="17"/>
      <c r="C215" s="642"/>
      <c r="D215" s="642"/>
      <c r="E215" s="637"/>
      <c r="F215" s="6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13.5" thickBot="1">
      <c r="A216" s="56" t="s">
        <v>165</v>
      </c>
      <c r="B216" s="56"/>
      <c r="C216" s="17"/>
      <c r="D216" s="17"/>
      <c r="E216" s="641">
        <f>E209+SUM(E211:E215)</f>
        <v>70643.710000000021</v>
      </c>
      <c r="F216" s="641">
        <f>F209+SUM(F211:F215)</f>
        <v>87019.64</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13.5" thickTop="1">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c r="A218" s="56"/>
      <c r="B218" s="17"/>
      <c r="C218" s="17"/>
      <c r="D218" s="17"/>
      <c r="E218" s="53"/>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idden="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idden="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idden="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2.6" hidden="1" customHeight="1">
      <c r="B246" s="213"/>
      <c r="C246" s="18"/>
      <c r="D246" s="18"/>
      <c r="E246" s="18"/>
      <c r="F246" s="215"/>
      <c r="G246" s="18"/>
      <c r="H246" s="18"/>
      <c r="I246" s="18"/>
      <c r="J246" s="18"/>
      <c r="K246" s="18"/>
      <c r="L246" s="18"/>
      <c r="M246" s="18"/>
      <c r="N246" s="17"/>
      <c r="O246" s="17"/>
      <c r="P246" s="17"/>
      <c r="Q246" s="17"/>
      <c r="R246" s="17"/>
      <c r="S246" s="17"/>
      <c r="T246" s="17"/>
      <c r="U246" s="17"/>
      <c r="V246" s="17"/>
      <c r="W246" s="17"/>
      <c r="X246" s="17"/>
      <c r="Y246" s="17"/>
      <c r="Z246" s="17"/>
      <c r="AA246" s="17"/>
      <c r="AB246" s="17"/>
      <c r="AC246" s="17"/>
    </row>
    <row r="247" spans="1:29" ht="14.25" hidden="1" customHeight="1">
      <c r="B247" s="213" t="s">
        <v>196</v>
      </c>
      <c r="C247" s="214"/>
      <c r="D247" s="214">
        <f>$C$58+$C$59-D249</f>
        <v>0</v>
      </c>
      <c r="E247" s="18"/>
      <c r="F247" s="215" t="s">
        <v>197</v>
      </c>
      <c r="G247" s="18"/>
      <c r="H247" s="18"/>
      <c r="I247" s="18"/>
      <c r="J247" s="18"/>
      <c r="K247" s="18"/>
      <c r="L247" s="18"/>
      <c r="M247" s="18"/>
      <c r="N247" s="17"/>
      <c r="O247" s="17"/>
      <c r="P247" s="17"/>
      <c r="Q247" s="17"/>
      <c r="R247" s="17"/>
      <c r="S247" s="17"/>
      <c r="T247" s="17"/>
      <c r="U247" s="17"/>
      <c r="V247" s="17"/>
      <c r="W247" s="17"/>
      <c r="X247" s="17"/>
      <c r="Y247" s="17"/>
      <c r="Z247" s="17"/>
      <c r="AA247" s="17"/>
      <c r="AB247" s="17"/>
      <c r="AC247" s="17"/>
    </row>
    <row r="248" spans="1:29" hidden="1">
      <c r="B248" s="216" t="s">
        <v>64</v>
      </c>
      <c r="C248" s="18">
        <f>($C$58+$C$59-663)/113.8*13.8</f>
        <v>-80.398945518453431</v>
      </c>
      <c r="D248" s="18"/>
      <c r="E248" s="7"/>
      <c r="F248" s="393" t="s">
        <v>397</v>
      </c>
      <c r="G248" s="18"/>
      <c r="H248" s="18"/>
      <c r="I248" s="18"/>
      <c r="J248" s="18"/>
      <c r="K248" s="18"/>
      <c r="L248" s="18"/>
      <c r="M248" s="18"/>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8"/>
      <c r="I249" s="18"/>
      <c r="J249" s="18"/>
      <c r="K249" s="18"/>
      <c r="L249" s="18"/>
      <c r="M249" s="18"/>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8"/>
      <c r="I250" s="18"/>
      <c r="J250" s="18"/>
      <c r="K250" s="18"/>
      <c r="L250" s="18"/>
      <c r="M250" s="18"/>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8"/>
      <c r="I251" s="18"/>
      <c r="J251" s="18"/>
      <c r="K251" s="18"/>
      <c r="L251" s="18"/>
      <c r="M251" s="18"/>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8"/>
      <c r="I252" s="18"/>
      <c r="J252" s="18"/>
      <c r="K252" s="18"/>
      <c r="L252" s="18"/>
      <c r="M252" s="18"/>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8"/>
      <c r="I253" s="18"/>
      <c r="J253" s="18"/>
      <c r="K253" s="18"/>
      <c r="L253" s="18"/>
      <c r="M253" s="18"/>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8"/>
      <c r="I254" s="18"/>
      <c r="J254" s="18"/>
      <c r="K254" s="18"/>
      <c r="L254" s="18"/>
      <c r="M254" s="18"/>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8"/>
      <c r="I255" s="18"/>
      <c r="J255" s="18"/>
      <c r="K255" s="18"/>
      <c r="L255" s="18"/>
      <c r="M255" s="18"/>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8"/>
      <c r="I256" s="18"/>
      <c r="J256" s="18"/>
      <c r="K256" s="18"/>
      <c r="L256" s="18"/>
      <c r="M256" s="18"/>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8"/>
      <c r="I257" s="18"/>
      <c r="J257" s="18"/>
      <c r="K257" s="18"/>
      <c r="L257" s="18"/>
      <c r="M257" s="18"/>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8"/>
      <c r="I258" s="18"/>
      <c r="J258" s="18"/>
      <c r="K258" s="18"/>
      <c r="L258" s="18"/>
      <c r="M258" s="18"/>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8"/>
      <c r="I259" s="18"/>
      <c r="J259" s="18"/>
      <c r="K259" s="18"/>
      <c r="L259" s="18"/>
      <c r="M259" s="18"/>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8"/>
      <c r="I260" s="18"/>
      <c r="J260" s="18"/>
      <c r="K260" s="18"/>
      <c r="L260" s="18"/>
      <c r="M260" s="18"/>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c r="H261" s="18"/>
      <c r="I261" s="18"/>
      <c r="J261" s="18"/>
      <c r="K261" s="18"/>
      <c r="L261" s="18"/>
      <c r="M261" s="18"/>
      <c r="N261" s="17"/>
      <c r="O261" s="17"/>
      <c r="P261" s="17"/>
      <c r="Q261" s="17"/>
      <c r="R261" s="17"/>
      <c r="S261" s="17"/>
      <c r="T261" s="17"/>
      <c r="U261" s="17"/>
      <c r="V261" s="17"/>
      <c r="W261" s="17"/>
      <c r="X261" s="17"/>
      <c r="Y261" s="17"/>
      <c r="Z261" s="17"/>
      <c r="AA261" s="17"/>
      <c r="AB261" s="17"/>
      <c r="AC261" s="17"/>
    </row>
    <row r="262" spans="1:29" ht="15" hidden="1">
      <c r="B262" s="216"/>
      <c r="C262" s="214">
        <v>0</v>
      </c>
      <c r="D262" s="214">
        <f>MAX(C261:C262)</f>
        <v>0</v>
      </c>
      <c r="E262" s="220"/>
    </row>
    <row r="263" spans="1:29" ht="15" hidden="1">
      <c r="B263" s="216" t="s">
        <v>203</v>
      </c>
      <c r="C263" s="329">
        <v>0</v>
      </c>
      <c r="D263" s="329">
        <v>0</v>
      </c>
      <c r="E263" s="220"/>
    </row>
    <row r="264" spans="1:29" ht="15" hidden="1">
      <c r="B264" s="330" t="s">
        <v>204</v>
      </c>
      <c r="C264" s="20"/>
      <c r="E264" s="219">
        <f>D263+D262+D260+D258+D256</f>
        <v>0</v>
      </c>
    </row>
    <row r="265" spans="1:29" ht="15.75" hidden="1" thickBot="1">
      <c r="B265" s="330" t="s">
        <v>69</v>
      </c>
      <c r="C265" s="20"/>
      <c r="E265" s="331">
        <f>E254+E264</f>
        <v>0</v>
      </c>
    </row>
    <row r="266" spans="1:29" ht="13.5" hidden="1" thickTop="1"/>
    <row r="267" spans="1:29" hidden="1"/>
    <row r="268" spans="1:29" ht="15" hidden="1">
      <c r="A268" s="211" t="s">
        <v>318</v>
      </c>
      <c r="B268" s="17"/>
      <c r="D268" s="212"/>
      <c r="E268" s="17"/>
      <c r="F268" s="17"/>
    </row>
    <row r="269" spans="1:29" hidden="1">
      <c r="B269" s="18"/>
      <c r="C269" s="18"/>
      <c r="D269" s="18"/>
      <c r="E269" s="18"/>
      <c r="F269" s="18"/>
    </row>
    <row r="270" spans="1:29" ht="15" hidden="1">
      <c r="B270" s="213" t="s">
        <v>196</v>
      </c>
      <c r="C270" s="214"/>
      <c r="D270" s="214">
        <f>$C$58+$C$59-D272</f>
        <v>0</v>
      </c>
      <c r="E270" s="18"/>
      <c r="F270" s="215" t="s">
        <v>197</v>
      </c>
    </row>
    <row r="271" spans="1:29" hidden="1">
      <c r="B271" s="216" t="s">
        <v>64</v>
      </c>
      <c r="C271" s="18">
        <f>($C$58+$C$59-641)/113.8*13.8</f>
        <v>-77.7311072056239</v>
      </c>
      <c r="D271" s="18"/>
      <c r="E271" s="7"/>
      <c r="F271" s="393" t="s">
        <v>324</v>
      </c>
    </row>
    <row r="272" spans="1:29" hidden="1">
      <c r="B272" s="216"/>
      <c r="C272" s="214">
        <v>0</v>
      </c>
      <c r="D272" s="214">
        <f>MAX(C271:C272)</f>
        <v>0</v>
      </c>
      <c r="E272" s="7"/>
      <c r="F272" s="216"/>
    </row>
    <row r="273" spans="2:6" hidden="1">
      <c r="B273" s="216" t="s">
        <v>65</v>
      </c>
      <c r="C273" s="18">
        <f>IF((D248&lt;3454.17), ((D248-645)*0.12),((3539.58-645)*0.12))</f>
        <v>-77.399999999999991</v>
      </c>
      <c r="D273" s="18"/>
      <c r="E273" s="7"/>
      <c r="F273" s="393" t="s">
        <v>323</v>
      </c>
    </row>
    <row r="274" spans="2:6" hidden="1">
      <c r="B274" s="216"/>
      <c r="C274" s="214">
        <v>0</v>
      </c>
      <c r="D274" s="214">
        <f>MAX(C273:C274)</f>
        <v>0</v>
      </c>
      <c r="E274" s="7"/>
      <c r="F274" s="216"/>
    </row>
    <row r="275" spans="2:6" hidden="1">
      <c r="B275" s="216" t="s">
        <v>120</v>
      </c>
      <c r="C275" s="18">
        <f>(D248-3454.17)*0.02</f>
        <v>-69.083399999999997</v>
      </c>
      <c r="D275" s="18"/>
      <c r="E275" s="7"/>
      <c r="F275" s="393" t="s">
        <v>322</v>
      </c>
    </row>
    <row r="276" spans="2:6" hidden="1">
      <c r="B276" s="217"/>
      <c r="C276" s="214">
        <v>0</v>
      </c>
      <c r="D276" s="214">
        <f>MAX(C275:C276)</f>
        <v>0</v>
      </c>
      <c r="E276" s="7"/>
      <c r="F276" s="216"/>
    </row>
    <row r="277" spans="2:6" ht="15" hidden="1">
      <c r="B277" s="218" t="s">
        <v>198</v>
      </c>
      <c r="C277" s="71"/>
      <c r="D277" s="71"/>
      <c r="E277" s="219">
        <f>D276+D274+D272</f>
        <v>0</v>
      </c>
      <c r="F277" s="216"/>
    </row>
    <row r="278" spans="2:6" ht="15" hidden="1">
      <c r="D278" s="18"/>
      <c r="E278" s="220"/>
      <c r="F278" s="327" t="s">
        <v>210</v>
      </c>
    </row>
    <row r="279" spans="2:6" ht="15" hidden="1">
      <c r="B279" s="217" t="s">
        <v>199</v>
      </c>
      <c r="C279" s="328">
        <f>IF((D248&lt;12500),0,((D248-12500)*0.45))</f>
        <v>0</v>
      </c>
      <c r="D279" s="214">
        <f>C279</f>
        <v>0</v>
      </c>
      <c r="E279" s="220"/>
      <c r="F279" s="216"/>
    </row>
    <row r="280" spans="2:6" ht="15" hidden="1">
      <c r="B280" s="217" t="s">
        <v>200</v>
      </c>
      <c r="C280" s="20">
        <f>IF((D248&lt;12500),(((D248-8333.33)*0.4)+(786.67*0.4)),(((12500-8333.33)*0.4)+(786.67*0.4)))</f>
        <v>-3018.6640000000002</v>
      </c>
      <c r="D280" s="18"/>
      <c r="E280" s="220"/>
      <c r="F280" s="327" t="s">
        <v>209</v>
      </c>
    </row>
    <row r="281" spans="2:6" ht="15" hidden="1">
      <c r="B281" s="217"/>
      <c r="C281" s="214">
        <v>0</v>
      </c>
      <c r="D281" s="214">
        <f>MAX(C280:C281)</f>
        <v>0</v>
      </c>
      <c r="E281" s="220"/>
      <c r="F281" s="217"/>
    </row>
    <row r="282" spans="2:6" ht="15" hidden="1">
      <c r="B282" s="216" t="s">
        <v>201</v>
      </c>
      <c r="C282" s="20">
        <f>IF((D248&lt;8333.33),((D248-3454.17)*0.4),((8333.33-3454.17)*0.4))</f>
        <v>-1381.6680000000001</v>
      </c>
      <c r="D282" s="18"/>
      <c r="E282" s="220"/>
      <c r="F282" s="393" t="s">
        <v>321</v>
      </c>
    </row>
    <row r="283" spans="2:6" ht="15" hidden="1">
      <c r="B283" s="216"/>
      <c r="C283" s="214">
        <v>0</v>
      </c>
      <c r="D283" s="214">
        <f>MAX(C282:C283)</f>
        <v>0</v>
      </c>
      <c r="E283" s="220"/>
      <c r="F283" s="393" t="s">
        <v>320</v>
      </c>
    </row>
    <row r="284" spans="2:6" ht="15" hidden="1">
      <c r="B284" s="216" t="s">
        <v>202</v>
      </c>
      <c r="C284" s="20">
        <f>IF((D248&lt;3454.17),((D248-786.67)*0.2),(2667.5*0.2))</f>
        <v>-157.334</v>
      </c>
      <c r="D284" s="18"/>
      <c r="E284" s="221"/>
      <c r="F284" s="393" t="s">
        <v>319</v>
      </c>
    </row>
    <row r="285" spans="2:6" ht="15" hidden="1">
      <c r="B285" s="216"/>
      <c r="C285" s="214">
        <v>0</v>
      </c>
      <c r="D285" s="214">
        <f>MAX(C284:C285)</f>
        <v>0</v>
      </c>
      <c r="E285" s="220"/>
    </row>
    <row r="286" spans="2:6" ht="15" hidden="1">
      <c r="B286" s="216" t="s">
        <v>203</v>
      </c>
      <c r="C286" s="329">
        <v>0</v>
      </c>
      <c r="D286" s="329">
        <v>0</v>
      </c>
      <c r="E286" s="220"/>
    </row>
    <row r="287" spans="2:6" ht="15" hidden="1">
      <c r="B287" s="330" t="s">
        <v>204</v>
      </c>
      <c r="C287" s="20"/>
      <c r="E287" s="219">
        <f>D286+D285+D283+D281+D279</f>
        <v>0</v>
      </c>
    </row>
    <row r="288" spans="2:6"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sheetData>
  <sheetProtection password="CE8E" sheet="1" objects="1" scenarios="1"/>
  <phoneticPr fontId="0" type="noConversion"/>
  <conditionalFormatting sqref="G79">
    <cfRule type="expression" dxfId="323" priority="35" stopIfTrue="1">
      <formula>$E$12&gt;0</formula>
    </cfRule>
  </conditionalFormatting>
  <conditionalFormatting sqref="G94:G196">
    <cfRule type="expression" dxfId="322" priority="40" stopIfTrue="1">
      <formula>$E$12&gt;0</formula>
    </cfRule>
    <cfRule type="expression" priority="41" stopIfTrue="1">
      <formula>$E$12 &gt;0</formula>
    </cfRule>
  </conditionalFormatting>
  <conditionalFormatting sqref="G94:G196">
    <cfRule type="expression" dxfId="321" priority="39" stopIfTrue="1">
      <formula>$E$12&gt;0</formula>
    </cfRule>
  </conditionalFormatting>
  <conditionalFormatting sqref="G94:G196">
    <cfRule type="expression" dxfId="320" priority="38" stopIfTrue="1">
      <formula>"e12&gt;0"</formula>
    </cfRule>
  </conditionalFormatting>
  <conditionalFormatting sqref="G79">
    <cfRule type="expression" dxfId="319" priority="36" stopIfTrue="1">
      <formula>$E$12&gt;0</formula>
    </cfRule>
    <cfRule type="expression" priority="37" stopIfTrue="1">
      <formula>$E$12 &gt;0</formula>
    </cfRule>
  </conditionalFormatting>
  <conditionalFormatting sqref="G79">
    <cfRule type="expression" dxfId="318" priority="34" stopIfTrue="1">
      <formula>"e12&gt;0"</formula>
    </cfRule>
  </conditionalFormatting>
  <conditionalFormatting sqref="G93">
    <cfRule type="expression" dxfId="317" priority="31" stopIfTrue="1">
      <formula>$E$12&gt;0</formula>
    </cfRule>
  </conditionalFormatting>
  <conditionalFormatting sqref="G93">
    <cfRule type="expression" dxfId="316" priority="32" stopIfTrue="1">
      <formula>$E$12&gt;0</formula>
    </cfRule>
    <cfRule type="expression" priority="33" stopIfTrue="1">
      <formula>$E$12 &gt;0</formula>
    </cfRule>
  </conditionalFormatting>
  <conditionalFormatting sqref="G93">
    <cfRule type="expression" dxfId="315" priority="30" stopIfTrue="1">
      <formula>"e12&gt;0"</formula>
    </cfRule>
  </conditionalFormatting>
  <conditionalFormatting sqref="G91">
    <cfRule type="expression" dxfId="314" priority="28" stopIfTrue="1">
      <formula>$E$12&gt;0</formula>
    </cfRule>
    <cfRule type="expression" priority="29" stopIfTrue="1">
      <formula>$E$12 &gt;0</formula>
    </cfRule>
  </conditionalFormatting>
  <conditionalFormatting sqref="G91">
    <cfRule type="expression" dxfId="313" priority="27" stopIfTrue="1">
      <formula>$E$12&gt;0</formula>
    </cfRule>
  </conditionalFormatting>
  <conditionalFormatting sqref="G91">
    <cfRule type="expression" dxfId="312" priority="26" stopIfTrue="1">
      <formula>"e12&gt;0"</formula>
    </cfRule>
  </conditionalFormatting>
  <conditionalFormatting sqref="G90">
    <cfRule type="expression" dxfId="311" priority="24" stopIfTrue="1">
      <formula>$E$12&gt;0</formula>
    </cfRule>
    <cfRule type="expression" priority="25" stopIfTrue="1">
      <formula>$E$12 &gt;0</formula>
    </cfRule>
  </conditionalFormatting>
  <conditionalFormatting sqref="G90">
    <cfRule type="expression" dxfId="310" priority="23" stopIfTrue="1">
      <formula>$E$12&gt;0</formula>
    </cfRule>
  </conditionalFormatting>
  <conditionalFormatting sqref="G90">
    <cfRule type="expression" dxfId="309" priority="22" stopIfTrue="1">
      <formula>"e12&gt;0"</formula>
    </cfRule>
  </conditionalFormatting>
  <conditionalFormatting sqref="G80:G82 G87:G88">
    <cfRule type="expression" dxfId="308" priority="15">
      <formula>$E$12&gt;0</formula>
    </cfRule>
  </conditionalFormatting>
  <conditionalFormatting sqref="G80:G82 G87:G88">
    <cfRule type="expression" dxfId="307" priority="16">
      <formula>$E$12&gt;0</formula>
    </cfRule>
  </conditionalFormatting>
  <conditionalFormatting sqref="G80:G82 G87:G88">
    <cfRule type="expression" dxfId="306" priority="17">
      <formula>"e12&gt;0"</formula>
    </cfRule>
  </conditionalFormatting>
  <conditionalFormatting sqref="G80:G82 G87:G88">
    <cfRule type="expression" dxfId="305" priority="18">
      <formula>$E$12&gt;0</formula>
    </cfRule>
  </conditionalFormatting>
  <conditionalFormatting sqref="G80:G82 G87:G88">
    <cfRule type="expression" dxfId="304" priority="19">
      <formula>$E$12</formula>
    </cfRule>
  </conditionalFormatting>
  <conditionalFormatting sqref="G80:G82 G87:G88">
    <cfRule type="expression" dxfId="303" priority="20">
      <formula>$E$12</formula>
    </cfRule>
  </conditionalFormatting>
  <conditionalFormatting sqref="G80:G82 G87:G88">
    <cfRule type="expression" dxfId="302" priority="21">
      <formula>"e12&gt;0"</formula>
    </cfRule>
  </conditionalFormatting>
  <conditionalFormatting sqref="G89">
    <cfRule type="expression" dxfId="301" priority="12">
      <formula>$E$12&gt;0</formula>
    </cfRule>
  </conditionalFormatting>
  <conditionalFormatting sqref="G89">
    <cfRule type="expression" dxfId="300" priority="13">
      <formula>$E$12&gt;0</formula>
    </cfRule>
  </conditionalFormatting>
  <conditionalFormatting sqref="G89">
    <cfRule type="expression" dxfId="299" priority="14">
      <formula>"e12&gt;0"</formula>
    </cfRule>
  </conditionalFormatting>
  <conditionalFormatting sqref="G83:G86">
    <cfRule type="expression" dxfId="298" priority="5">
      <formula>$E$12&gt;0</formula>
    </cfRule>
  </conditionalFormatting>
  <conditionalFormatting sqref="G83:G86">
    <cfRule type="expression" dxfId="297" priority="6">
      <formula>$E$12&gt;0</formula>
    </cfRule>
  </conditionalFormatting>
  <conditionalFormatting sqref="G83:G86">
    <cfRule type="expression" dxfId="296" priority="7">
      <formula>"e12&gt;0"</formula>
    </cfRule>
  </conditionalFormatting>
  <conditionalFormatting sqref="G83:G86">
    <cfRule type="expression" dxfId="295" priority="8">
      <formula>$E$12&gt;0</formula>
    </cfRule>
  </conditionalFormatting>
  <conditionalFormatting sqref="G83:G86">
    <cfRule type="expression" dxfId="294" priority="9">
      <formula>$E$12</formula>
    </cfRule>
  </conditionalFormatting>
  <conditionalFormatting sqref="G83:G86">
    <cfRule type="expression" dxfId="293" priority="10">
      <formula>$E$12</formula>
    </cfRule>
  </conditionalFormatting>
  <conditionalFormatting sqref="G83:G86">
    <cfRule type="expression" dxfId="292" priority="11">
      <formula>"e12&gt;0"</formula>
    </cfRule>
  </conditionalFormatting>
  <conditionalFormatting sqref="G92">
    <cfRule type="expression" dxfId="291" priority="2" stopIfTrue="1">
      <formula>$E$12&gt;0</formula>
    </cfRule>
  </conditionalFormatting>
  <conditionalFormatting sqref="G92">
    <cfRule type="expression" dxfId="290" priority="3" stopIfTrue="1">
      <formula>$E$12&gt;0</formula>
    </cfRule>
    <cfRule type="expression" priority="4" stopIfTrue="1">
      <formula>$E$12 &gt;0</formula>
    </cfRule>
  </conditionalFormatting>
  <conditionalFormatting sqref="G92">
    <cfRule type="expression" dxfId="289" priority="1" stopIfTrue="1">
      <formula>"e12&gt;0"</formula>
    </cfRule>
  </conditionalFormatting>
  <pageMargins left="0.74803149606299213" right="0.74803149606299213" top="0.98425196850393704" bottom="0.98425196850393704" header="0.51181102362204722" footer="0.51181102362204722"/>
  <pageSetup paperSize="9" scale="47" fitToHeight="4" orientation="landscape" horizontalDpi="300" verticalDpi="300" r:id="rId1"/>
  <headerFooter alignWithMargins="0">
    <oddFooter>&amp;C&amp;"Bodoni Bd BT,Bold Italic"&amp;9Page &amp;P of &amp;N</oddFooter>
  </headerFooter>
  <ignoredErrors>
    <ignoredError sqref="E216:F216 D41:E52 B41 E9 E11:E1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1284" r:id="rId4" name="Check Box 20">
              <controlPr defaultSize="0" autoFill="0" autoLine="0" autoPict="0">
                <anchor moveWithCells="1">
                  <from>
                    <xdr:col>6</xdr:col>
                    <xdr:colOff>76200</xdr:colOff>
                    <xdr:row>214</xdr:row>
                    <xdr:rowOff>152400</xdr:rowOff>
                  </from>
                  <to>
                    <xdr:col>7</xdr:col>
                    <xdr:colOff>571500</xdr:colOff>
                    <xdr:row>216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BE294"/>
  <sheetViews>
    <sheetView showZeros="0" topLeftCell="A52" zoomScale="70" zoomScaleNormal="70" workbookViewId="0">
      <pane xSplit="7" topLeftCell="K1" activePane="topRight" state="frozen"/>
      <selection activeCell="L49" sqref="L49"/>
      <selection pane="topRight" activeCell="B95" sqref="B95"/>
    </sheetView>
  </sheetViews>
  <sheetFormatPr defaultColWidth="0" defaultRowHeight="12.75"/>
  <cols>
    <col min="1" max="1" width="10.7109375" style="7" customWidth="1"/>
    <col min="2" max="2" width="25.7109375" style="7" customWidth="1"/>
    <col min="3" max="3" width="17.7109375" style="7" customWidth="1"/>
    <col min="4"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1" width="10.42578125" style="629" hidden="1" customWidth="1"/>
    <col min="32" max="32" width="12.7109375" style="634" customWidth="1"/>
    <col min="33" max="33" width="17.140625" style="7" hidden="1" customWidth="1"/>
    <col min="34" max="16384" width="0" style="7" hidden="1"/>
  </cols>
  <sheetData>
    <row r="1" spans="1:29" ht="13.5" thickBot="1">
      <c r="A1" s="7">
        <v>0</v>
      </c>
    </row>
    <row r="2" spans="1:29" ht="29.45" customHeight="1" thickBot="1">
      <c r="A2" s="81" t="str">
        <f>'Nov 17'!A2</f>
        <v>Design-spectrum Limited</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86" t="s">
        <v>84</v>
      </c>
      <c r="B4" s="87"/>
      <c r="C4" s="85">
        <f>'Feb 18'!C4+31</f>
        <v>43164</v>
      </c>
      <c r="F4" s="21"/>
      <c r="G4" s="21"/>
      <c r="H4" s="21"/>
      <c r="I4" s="21"/>
      <c r="J4" s="21"/>
      <c r="K4" s="21"/>
      <c r="L4" s="21"/>
      <c r="M4" s="21"/>
      <c r="N4" s="21"/>
      <c r="O4" s="21"/>
      <c r="P4" s="21"/>
      <c r="Q4" s="22"/>
      <c r="R4" s="22"/>
      <c r="S4" s="22"/>
      <c r="T4" s="22"/>
      <c r="U4" s="22"/>
      <c r="V4" s="22"/>
      <c r="W4" s="22"/>
      <c r="X4" s="22"/>
      <c r="Y4" s="22"/>
      <c r="Z4" s="22"/>
      <c r="AA4" s="22"/>
      <c r="AB4" s="22"/>
      <c r="AC4" s="22"/>
    </row>
    <row r="6" spans="1:29" ht="13.5" thickBot="1"/>
    <row r="7" spans="1:29" ht="21" thickBot="1">
      <c r="A7" s="101" t="s">
        <v>0</v>
      </c>
      <c r="B7" s="102"/>
      <c r="C7" s="102"/>
      <c r="D7" s="102"/>
      <c r="E7" s="102"/>
      <c r="F7" s="102"/>
      <c r="G7" s="103"/>
      <c r="H7" s="23"/>
      <c r="I7" s="101" t="s">
        <v>211</v>
      </c>
      <c r="J7" s="102"/>
      <c r="K7" s="102"/>
      <c r="L7" s="103"/>
      <c r="M7" s="7"/>
    </row>
    <row r="8" spans="1:29" ht="13.5" thickBot="1">
      <c r="A8" s="24"/>
      <c r="B8" s="24"/>
      <c r="C8" s="24"/>
      <c r="D8" s="5"/>
      <c r="E8" s="5"/>
      <c r="F8" s="5"/>
      <c r="G8" s="5"/>
      <c r="H8" s="5"/>
      <c r="I8" s="5"/>
      <c r="J8" s="5"/>
      <c r="K8" s="5"/>
      <c r="L8" s="5"/>
      <c r="M8" s="5"/>
    </row>
    <row r="9" spans="1:29" ht="15.75" thickBot="1">
      <c r="A9" s="25" t="s">
        <v>2</v>
      </c>
      <c r="B9" s="24"/>
      <c r="C9" s="24"/>
      <c r="D9" s="26"/>
      <c r="E9" s="334" t="str">
        <f>'Feb 18'!E9</f>
        <v>n</v>
      </c>
      <c r="F9" s="5">
        <f>IF(E9="Both","enter sales invoices manually at row 30 onwards",0)</f>
        <v>0</v>
      </c>
      <c r="G9" s="5"/>
      <c r="H9" s="5"/>
      <c r="I9" s="5"/>
      <c r="J9" s="5"/>
      <c r="K9" s="5"/>
      <c r="L9" s="5"/>
      <c r="M9" s="5"/>
    </row>
    <row r="10" spans="1:29" ht="15.75" thickBot="1">
      <c r="A10" s="24"/>
      <c r="B10" s="24"/>
      <c r="C10" s="24"/>
      <c r="E10" s="27"/>
      <c r="F10" s="5"/>
      <c r="G10" s="5"/>
      <c r="H10" s="5"/>
      <c r="I10" s="5"/>
      <c r="J10" s="5"/>
      <c r="K10" s="5"/>
      <c r="L10" s="5"/>
      <c r="M10" s="5"/>
    </row>
    <row r="11" spans="1:29" ht="15.75" thickBot="1">
      <c r="A11" s="25" t="s">
        <v>4</v>
      </c>
      <c r="B11" s="24"/>
      <c r="C11" s="24"/>
      <c r="E11" s="334" t="str">
        <f>'Feb 18'!E11</f>
        <v>y</v>
      </c>
      <c r="F11" s="5"/>
      <c r="G11" s="5"/>
      <c r="H11" s="5"/>
      <c r="I11" s="5"/>
      <c r="J11" s="5"/>
      <c r="K11" s="65" t="s">
        <v>20</v>
      </c>
      <c r="L11" s="65"/>
      <c r="M11" s="5"/>
      <c r="N11" s="5"/>
      <c r="O11" s="14" t="s">
        <v>20</v>
      </c>
    </row>
    <row r="12" spans="1:29" ht="15.75" thickBot="1">
      <c r="A12" s="25" t="s">
        <v>306</v>
      </c>
      <c r="B12" s="24"/>
      <c r="C12" s="24"/>
      <c r="E12" s="335">
        <f>'Feb 18'!E12</f>
        <v>0.16500000000000001</v>
      </c>
      <c r="F12" s="5"/>
      <c r="G12" s="5"/>
      <c r="H12" s="5"/>
      <c r="I12" s="5"/>
      <c r="J12" s="5"/>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2"/>
      <c r="C16" s="33" t="s">
        <v>77</v>
      </c>
      <c r="D16" s="346">
        <f>'Feb 18'!D54</f>
        <v>0</v>
      </c>
      <c r="E16" s="346">
        <f>'Feb 18'!E54</f>
        <v>32450</v>
      </c>
      <c r="F16" s="346">
        <f>'Feb 18'!F54</f>
        <v>38940</v>
      </c>
      <c r="G16" s="259">
        <f>'Feb 18'!G54</f>
        <v>6490</v>
      </c>
      <c r="H16" s="34"/>
      <c r="I16" s="153" t="s">
        <v>20</v>
      </c>
      <c r="J16" s="152" t="s">
        <v>77</v>
      </c>
      <c r="K16" s="154"/>
      <c r="L16" s="486">
        <f>'Feb 18'!L54</f>
        <v>62040</v>
      </c>
      <c r="M16" s="263">
        <f>'Feb 18'!M54</f>
        <v>66.53</v>
      </c>
      <c r="N16" s="263">
        <f>'Feb 18'!N54</f>
        <v>0</v>
      </c>
      <c r="O16" s="263">
        <f>'Feb 18'!O54</f>
        <v>50488.86</v>
      </c>
      <c r="P16" s="257">
        <f>'Feb 18'!P54</f>
        <v>-58.579999999999991</v>
      </c>
      <c r="Q16" s="17"/>
    </row>
    <row r="17" spans="1:16">
      <c r="A17" s="555"/>
      <c r="B17" s="548" t="s">
        <v>483</v>
      </c>
      <c r="C17" s="2"/>
      <c r="D17" s="346">
        <f>IF(E$9="y",F17-G17,0)</f>
        <v>0</v>
      </c>
      <c r="E17" s="346">
        <f>IF(E$9="n",F17-G17,0)</f>
        <v>11000</v>
      </c>
      <c r="F17" s="558">
        <v>13200</v>
      </c>
      <c r="G17" s="551">
        <f>IF(($E$11="n"),0,IF((LEFT(C17,1)="v"),F17,IF((LEFT(C17,1)="z"),0,F17*1/6)))</f>
        <v>2200</v>
      </c>
      <c r="H17" s="34"/>
      <c r="I17" s="560">
        <v>43182</v>
      </c>
      <c r="J17" s="743" t="s">
        <v>477</v>
      </c>
      <c r="K17" s="567"/>
      <c r="L17" s="585">
        <v>13200</v>
      </c>
      <c r="M17" s="562"/>
      <c r="N17" s="562"/>
      <c r="O17" s="562"/>
      <c r="P17" s="563"/>
    </row>
    <row r="18" spans="1:16">
      <c r="A18" s="555"/>
      <c r="B18" s="1"/>
      <c r="C18" s="2"/>
      <c r="D18" s="346">
        <f t="shared" ref="D18:D52" si="0">IF(E$9="y",F18-G18,0)</f>
        <v>0</v>
      </c>
      <c r="E18" s="346">
        <f t="shared" ref="E18:E52" si="1">IF(E$9="n",F18-G18,0)</f>
        <v>0</v>
      </c>
      <c r="F18" s="558"/>
      <c r="G18" s="551">
        <f t="shared" ref="G18:G52" si="2">IF(($E$11="n"),0,IF((LEFT(C18,1)="v"),F18,IF((LEFT(C18,1)="z"),0,F18*1/6)))</f>
        <v>0</v>
      </c>
      <c r="H18" s="34"/>
      <c r="I18" s="560"/>
      <c r="J18" s="565"/>
      <c r="K18" s="567"/>
      <c r="L18" s="585"/>
      <c r="M18" s="562"/>
      <c r="N18" s="562"/>
      <c r="O18" s="562"/>
      <c r="P18" s="563">
        <v>2.2599999999999998</v>
      </c>
    </row>
    <row r="19" spans="1:16">
      <c r="A19" s="555"/>
      <c r="B19" s="1"/>
      <c r="C19" s="2"/>
      <c r="D19" s="346">
        <f t="shared" si="0"/>
        <v>0</v>
      </c>
      <c r="E19" s="346">
        <f t="shared" si="1"/>
        <v>0</v>
      </c>
      <c r="F19" s="558"/>
      <c r="G19" s="551">
        <f t="shared" si="2"/>
        <v>0</v>
      </c>
      <c r="H19" s="34"/>
      <c r="I19" s="560"/>
      <c r="J19" s="565"/>
      <c r="K19" s="567"/>
      <c r="L19" s="585"/>
      <c r="M19" s="562"/>
      <c r="N19" s="562"/>
      <c r="O19" s="562"/>
      <c r="P19" s="563"/>
    </row>
    <row r="20" spans="1:16">
      <c r="A20" s="555"/>
      <c r="B20" s="1"/>
      <c r="C20" s="2"/>
      <c r="D20" s="346">
        <f t="shared" si="0"/>
        <v>0</v>
      </c>
      <c r="E20" s="346">
        <f t="shared" si="1"/>
        <v>0</v>
      </c>
      <c r="F20" s="558"/>
      <c r="G20" s="551">
        <f t="shared" si="2"/>
        <v>0</v>
      </c>
      <c r="H20" s="34"/>
      <c r="I20" s="560"/>
      <c r="J20" s="565"/>
      <c r="K20" s="567"/>
      <c r="L20" s="585"/>
      <c r="M20" s="562"/>
      <c r="N20" s="562"/>
      <c r="O20" s="562"/>
      <c r="P20" s="563"/>
    </row>
    <row r="21" spans="1:16">
      <c r="A21" s="555"/>
      <c r="B21" s="1"/>
      <c r="C21" s="2"/>
      <c r="D21" s="346">
        <f t="shared" si="0"/>
        <v>0</v>
      </c>
      <c r="E21" s="346">
        <f t="shared" si="1"/>
        <v>0</v>
      </c>
      <c r="F21" s="558"/>
      <c r="G21" s="551">
        <f t="shared" si="2"/>
        <v>0</v>
      </c>
      <c r="H21" s="34"/>
      <c r="I21" s="560"/>
      <c r="J21" s="565"/>
      <c r="K21" s="567"/>
      <c r="L21" s="585"/>
      <c r="M21" s="562"/>
      <c r="N21" s="562"/>
      <c r="O21" s="562"/>
      <c r="P21" s="563"/>
    </row>
    <row r="22" spans="1:16">
      <c r="A22" s="555"/>
      <c r="B22" s="1"/>
      <c r="C22" s="2"/>
      <c r="D22" s="346">
        <f t="shared" si="0"/>
        <v>0</v>
      </c>
      <c r="E22" s="346">
        <f t="shared" si="1"/>
        <v>0</v>
      </c>
      <c r="F22" s="558"/>
      <c r="G22" s="551">
        <f t="shared" si="2"/>
        <v>0</v>
      </c>
      <c r="H22" s="34"/>
      <c r="I22" s="560"/>
      <c r="J22" s="565"/>
      <c r="K22" s="567"/>
      <c r="L22" s="585"/>
      <c r="M22" s="562"/>
      <c r="N22" s="562"/>
      <c r="O22" s="562"/>
      <c r="P22" s="563"/>
    </row>
    <row r="23" spans="1:16">
      <c r="A23" s="555"/>
      <c r="B23" s="1"/>
      <c r="C23" s="2"/>
      <c r="D23" s="346">
        <f t="shared" si="0"/>
        <v>0</v>
      </c>
      <c r="E23" s="346">
        <f t="shared" si="1"/>
        <v>0</v>
      </c>
      <c r="F23" s="558"/>
      <c r="G23" s="551">
        <f t="shared" si="2"/>
        <v>0</v>
      </c>
      <c r="H23" s="34"/>
      <c r="I23" s="560"/>
      <c r="J23" s="565"/>
      <c r="K23" s="567"/>
      <c r="L23" s="585"/>
      <c r="M23" s="562"/>
      <c r="N23" s="562"/>
      <c r="O23" s="562"/>
      <c r="P23" s="563"/>
    </row>
    <row r="24" spans="1:16">
      <c r="A24" s="555"/>
      <c r="B24" s="1"/>
      <c r="C24" s="2"/>
      <c r="D24" s="346">
        <f t="shared" si="0"/>
        <v>0</v>
      </c>
      <c r="E24" s="346">
        <f t="shared" si="1"/>
        <v>0</v>
      </c>
      <c r="F24" s="558"/>
      <c r="G24" s="551">
        <f t="shared" si="2"/>
        <v>0</v>
      </c>
      <c r="H24" s="34"/>
      <c r="I24" s="560"/>
      <c r="J24" s="565"/>
      <c r="K24" s="567"/>
      <c r="L24" s="585"/>
      <c r="M24" s="562"/>
      <c r="N24" s="562"/>
      <c r="O24" s="562"/>
      <c r="P24" s="563"/>
    </row>
    <row r="25" spans="1:16">
      <c r="A25" s="555"/>
      <c r="B25" s="1"/>
      <c r="C25" s="2"/>
      <c r="D25" s="346">
        <f t="shared" si="0"/>
        <v>0</v>
      </c>
      <c r="E25" s="346">
        <f t="shared" si="1"/>
        <v>0</v>
      </c>
      <c r="F25" s="558"/>
      <c r="G25" s="551">
        <f t="shared" si="2"/>
        <v>0</v>
      </c>
      <c r="H25" s="34"/>
      <c r="I25" s="560"/>
      <c r="J25" s="565"/>
      <c r="K25" s="567"/>
      <c r="L25" s="585"/>
      <c r="M25" s="562"/>
      <c r="N25" s="562"/>
      <c r="O25" s="562"/>
      <c r="P25" s="563"/>
    </row>
    <row r="26" spans="1:16">
      <c r="A26" s="555"/>
      <c r="B26" s="1"/>
      <c r="C26" s="2"/>
      <c r="D26" s="346">
        <f t="shared" si="0"/>
        <v>0</v>
      </c>
      <c r="E26" s="346">
        <f t="shared" si="1"/>
        <v>0</v>
      </c>
      <c r="F26" s="558"/>
      <c r="G26" s="551">
        <f t="shared" si="2"/>
        <v>0</v>
      </c>
      <c r="H26" s="34"/>
      <c r="I26" s="560"/>
      <c r="J26" s="565"/>
      <c r="K26" s="567"/>
      <c r="L26" s="585"/>
      <c r="M26" s="562"/>
      <c r="N26" s="562"/>
      <c r="O26" s="562"/>
      <c r="P26" s="563"/>
    </row>
    <row r="27" spans="1:16">
      <c r="A27" s="555"/>
      <c r="B27" s="1"/>
      <c r="C27" s="2"/>
      <c r="D27" s="346">
        <f t="shared" si="0"/>
        <v>0</v>
      </c>
      <c r="E27" s="346">
        <f t="shared" si="1"/>
        <v>0</v>
      </c>
      <c r="F27" s="558"/>
      <c r="G27" s="551">
        <f t="shared" si="2"/>
        <v>0</v>
      </c>
      <c r="H27" s="34"/>
      <c r="I27" s="560"/>
      <c r="J27" s="565"/>
      <c r="K27" s="567"/>
      <c r="L27" s="585"/>
      <c r="M27" s="562"/>
      <c r="N27" s="562"/>
      <c r="O27" s="562"/>
      <c r="P27" s="563"/>
    </row>
    <row r="28" spans="1:16">
      <c r="A28" s="555"/>
      <c r="B28" s="1"/>
      <c r="C28" s="2"/>
      <c r="D28" s="346">
        <f t="shared" si="0"/>
        <v>0</v>
      </c>
      <c r="E28" s="346">
        <f t="shared" si="1"/>
        <v>0</v>
      </c>
      <c r="F28" s="558"/>
      <c r="G28" s="551">
        <f t="shared" si="2"/>
        <v>0</v>
      </c>
      <c r="H28" s="34"/>
      <c r="I28" s="560"/>
      <c r="J28" s="565"/>
      <c r="K28" s="567"/>
      <c r="L28" s="585"/>
      <c r="M28" s="562"/>
      <c r="N28" s="562"/>
      <c r="O28" s="562"/>
      <c r="P28" s="563"/>
    </row>
    <row r="29" spans="1:16">
      <c r="A29" s="555"/>
      <c r="B29" s="1"/>
      <c r="C29" s="2"/>
      <c r="D29" s="346">
        <f t="shared" si="0"/>
        <v>0</v>
      </c>
      <c r="E29" s="346">
        <f t="shared" si="1"/>
        <v>0</v>
      </c>
      <c r="F29" s="558"/>
      <c r="G29" s="551">
        <f t="shared" si="2"/>
        <v>0</v>
      </c>
      <c r="H29" s="34"/>
      <c r="I29" s="560"/>
      <c r="J29" s="565"/>
      <c r="K29" s="567"/>
      <c r="L29" s="585"/>
      <c r="M29" s="562"/>
      <c r="N29" s="562"/>
      <c r="O29" s="562"/>
      <c r="P29" s="563"/>
    </row>
    <row r="30" spans="1:16">
      <c r="A30" s="555"/>
      <c r="B30" s="1"/>
      <c r="C30" s="2"/>
      <c r="D30" s="346">
        <f t="shared" si="0"/>
        <v>0</v>
      </c>
      <c r="E30" s="346">
        <f t="shared" si="1"/>
        <v>0</v>
      </c>
      <c r="F30" s="558"/>
      <c r="G30" s="551">
        <f t="shared" si="2"/>
        <v>0</v>
      </c>
      <c r="H30" s="34"/>
      <c r="I30" s="560"/>
      <c r="J30" s="565"/>
      <c r="K30" s="567"/>
      <c r="L30" s="585"/>
      <c r="M30" s="562"/>
      <c r="N30" s="562"/>
      <c r="O30" s="562"/>
      <c r="P30" s="563"/>
    </row>
    <row r="31" spans="1:16">
      <c r="A31" s="555"/>
      <c r="B31" s="1"/>
      <c r="C31" s="2"/>
      <c r="D31" s="346">
        <f t="shared" si="0"/>
        <v>0</v>
      </c>
      <c r="E31" s="346">
        <f t="shared" si="1"/>
        <v>0</v>
      </c>
      <c r="F31" s="558"/>
      <c r="G31" s="551">
        <f t="shared" si="2"/>
        <v>0</v>
      </c>
      <c r="H31" s="34"/>
      <c r="I31" s="560"/>
      <c r="J31" s="565"/>
      <c r="K31" s="567"/>
      <c r="L31" s="585"/>
      <c r="M31" s="562"/>
      <c r="N31" s="562"/>
      <c r="O31" s="562"/>
      <c r="P31" s="563"/>
    </row>
    <row r="32" spans="1:16">
      <c r="A32" s="555"/>
      <c r="B32" s="1"/>
      <c r="C32" s="2"/>
      <c r="D32" s="346">
        <f t="shared" si="0"/>
        <v>0</v>
      </c>
      <c r="E32" s="346">
        <f t="shared" si="1"/>
        <v>0</v>
      </c>
      <c r="F32" s="558"/>
      <c r="G32" s="551">
        <f t="shared" si="2"/>
        <v>0</v>
      </c>
      <c r="H32" s="34"/>
      <c r="I32" s="560"/>
      <c r="J32" s="565"/>
      <c r="K32" s="567"/>
      <c r="L32" s="585"/>
      <c r="M32" s="562"/>
      <c r="N32" s="562"/>
      <c r="O32" s="562"/>
      <c r="P32" s="563"/>
    </row>
    <row r="33" spans="1:16">
      <c r="A33" s="555"/>
      <c r="B33" s="1"/>
      <c r="C33" s="2"/>
      <c r="D33" s="346">
        <f t="shared" si="0"/>
        <v>0</v>
      </c>
      <c r="E33" s="346">
        <f t="shared" si="1"/>
        <v>0</v>
      </c>
      <c r="F33" s="558"/>
      <c r="G33" s="551">
        <f t="shared" si="2"/>
        <v>0</v>
      </c>
      <c r="H33" s="34"/>
      <c r="I33" s="560"/>
      <c r="J33" s="565"/>
      <c r="K33" s="567"/>
      <c r="L33" s="585"/>
      <c r="M33" s="562"/>
      <c r="N33" s="562"/>
      <c r="O33" s="562"/>
      <c r="P33" s="563"/>
    </row>
    <row r="34" spans="1:16">
      <c r="A34" s="555"/>
      <c r="B34" s="1"/>
      <c r="C34" s="2"/>
      <c r="D34" s="346">
        <f t="shared" si="0"/>
        <v>0</v>
      </c>
      <c r="E34" s="346">
        <f t="shared" si="1"/>
        <v>0</v>
      </c>
      <c r="F34" s="558"/>
      <c r="G34" s="551">
        <f t="shared" si="2"/>
        <v>0</v>
      </c>
      <c r="H34" s="34"/>
      <c r="I34" s="560"/>
      <c r="J34" s="565"/>
      <c r="K34" s="567"/>
      <c r="L34" s="585"/>
      <c r="M34" s="562"/>
      <c r="N34" s="562"/>
      <c r="O34" s="562"/>
      <c r="P34" s="563"/>
    </row>
    <row r="35" spans="1:16">
      <c r="A35" s="555"/>
      <c r="B35" s="1"/>
      <c r="C35" s="2"/>
      <c r="D35" s="346">
        <f t="shared" si="0"/>
        <v>0</v>
      </c>
      <c r="E35" s="346">
        <f t="shared" si="1"/>
        <v>0</v>
      </c>
      <c r="F35" s="558"/>
      <c r="G35" s="551">
        <f t="shared" si="2"/>
        <v>0</v>
      </c>
      <c r="H35" s="34"/>
      <c r="I35" s="560"/>
      <c r="J35" s="565"/>
      <c r="K35" s="567"/>
      <c r="L35" s="585"/>
      <c r="M35" s="562"/>
      <c r="N35" s="562"/>
      <c r="O35" s="562"/>
      <c r="P35" s="563"/>
    </row>
    <row r="36" spans="1:16">
      <c r="A36" s="555"/>
      <c r="B36" s="1"/>
      <c r="C36" s="2"/>
      <c r="D36" s="346">
        <f t="shared" si="0"/>
        <v>0</v>
      </c>
      <c r="E36" s="346">
        <f t="shared" si="1"/>
        <v>0</v>
      </c>
      <c r="F36" s="558"/>
      <c r="G36" s="551">
        <f t="shared" si="2"/>
        <v>0</v>
      </c>
      <c r="H36" s="34"/>
      <c r="I36" s="560"/>
      <c r="J36" s="565"/>
      <c r="K36" s="567"/>
      <c r="L36" s="585"/>
      <c r="M36" s="562"/>
      <c r="N36" s="562"/>
      <c r="O36" s="562"/>
      <c r="P36" s="563"/>
    </row>
    <row r="37" spans="1:16">
      <c r="A37" s="555"/>
      <c r="B37" s="1"/>
      <c r="C37" s="2"/>
      <c r="D37" s="346">
        <f t="shared" si="0"/>
        <v>0</v>
      </c>
      <c r="E37" s="346">
        <f t="shared" si="1"/>
        <v>0</v>
      </c>
      <c r="F37" s="558"/>
      <c r="G37" s="551">
        <f t="shared" si="2"/>
        <v>0</v>
      </c>
      <c r="H37" s="34"/>
      <c r="I37" s="560"/>
      <c r="J37" s="565"/>
      <c r="K37" s="567"/>
      <c r="L37" s="585"/>
      <c r="M37" s="562"/>
      <c r="N37" s="562"/>
      <c r="O37" s="562"/>
      <c r="P37" s="563"/>
    </row>
    <row r="38" spans="1:16">
      <c r="A38" s="555"/>
      <c r="B38" s="1"/>
      <c r="C38" s="2"/>
      <c r="D38" s="346">
        <f t="shared" si="0"/>
        <v>0</v>
      </c>
      <c r="E38" s="346">
        <f t="shared" si="1"/>
        <v>0</v>
      </c>
      <c r="F38" s="558"/>
      <c r="G38" s="551">
        <f t="shared" si="2"/>
        <v>0</v>
      </c>
      <c r="H38" s="34"/>
      <c r="I38" s="560"/>
      <c r="J38" s="565"/>
      <c r="K38" s="567"/>
      <c r="L38" s="585"/>
      <c r="M38" s="562"/>
      <c r="N38" s="562"/>
      <c r="O38" s="562"/>
      <c r="P38" s="563"/>
    </row>
    <row r="39" spans="1:16" hidden="1">
      <c r="A39" s="555"/>
      <c r="B39" s="1"/>
      <c r="C39" s="2"/>
      <c r="D39" s="346">
        <f t="shared" si="0"/>
        <v>0</v>
      </c>
      <c r="E39" s="346">
        <f t="shared" si="1"/>
        <v>0</v>
      </c>
      <c r="F39" s="558"/>
      <c r="G39" s="551">
        <f t="shared" si="2"/>
        <v>0</v>
      </c>
      <c r="H39" s="34"/>
      <c r="I39" s="560"/>
      <c r="J39" s="565"/>
      <c r="K39" s="567"/>
      <c r="L39" s="585"/>
      <c r="M39" s="562"/>
      <c r="N39" s="562"/>
      <c r="O39" s="562"/>
      <c r="P39" s="563"/>
    </row>
    <row r="40" spans="1:16" hidden="1">
      <c r="A40" s="555"/>
      <c r="B40" s="1"/>
      <c r="C40" s="2"/>
      <c r="D40" s="346">
        <f t="shared" si="0"/>
        <v>0</v>
      </c>
      <c r="E40" s="346">
        <f t="shared" si="1"/>
        <v>0</v>
      </c>
      <c r="F40" s="558"/>
      <c r="G40" s="551">
        <f t="shared" si="2"/>
        <v>0</v>
      </c>
      <c r="H40" s="34"/>
      <c r="I40" s="560"/>
      <c r="J40" s="565"/>
      <c r="K40" s="567"/>
      <c r="L40" s="585"/>
      <c r="M40" s="562"/>
      <c r="N40" s="562"/>
      <c r="O40" s="562"/>
      <c r="P40" s="563"/>
    </row>
    <row r="41" spans="1:16" hidden="1">
      <c r="A41" s="555"/>
      <c r="B41" s="549">
        <f>IF(E9="Both","Enter manual values here",0)</f>
        <v>0</v>
      </c>
      <c r="C41" s="2"/>
      <c r="D41" s="552">
        <f t="shared" si="0"/>
        <v>0</v>
      </c>
      <c r="E41" s="552">
        <f t="shared" si="1"/>
        <v>0</v>
      </c>
      <c r="F41" s="558"/>
      <c r="G41" s="551">
        <f t="shared" si="2"/>
        <v>0</v>
      </c>
      <c r="H41" s="34"/>
      <c r="I41" s="560"/>
      <c r="J41" s="565"/>
      <c r="K41" s="567"/>
      <c r="L41" s="585"/>
      <c r="M41" s="562"/>
      <c r="N41" s="562"/>
      <c r="O41" s="562"/>
      <c r="P41" s="563"/>
    </row>
    <row r="42" spans="1:16" hidden="1">
      <c r="A42" s="555"/>
      <c r="B42" s="1"/>
      <c r="C42" s="2"/>
      <c r="D42" s="552">
        <f t="shared" si="0"/>
        <v>0</v>
      </c>
      <c r="E42" s="552">
        <f t="shared" si="1"/>
        <v>0</v>
      </c>
      <c r="F42" s="558"/>
      <c r="G42" s="551">
        <f t="shared" si="2"/>
        <v>0</v>
      </c>
      <c r="H42" s="34"/>
      <c r="I42" s="560"/>
      <c r="J42" s="565"/>
      <c r="K42" s="567"/>
      <c r="L42" s="585"/>
      <c r="M42" s="562"/>
      <c r="N42" s="562"/>
      <c r="O42" s="562"/>
      <c r="P42" s="563"/>
    </row>
    <row r="43" spans="1:16" hidden="1">
      <c r="A43" s="555"/>
      <c r="B43" s="1"/>
      <c r="C43" s="2"/>
      <c r="D43" s="552">
        <f t="shared" si="0"/>
        <v>0</v>
      </c>
      <c r="E43" s="552">
        <f t="shared" si="1"/>
        <v>0</v>
      </c>
      <c r="F43" s="558"/>
      <c r="G43" s="551">
        <f t="shared" si="2"/>
        <v>0</v>
      </c>
      <c r="H43" s="34"/>
      <c r="I43" s="560"/>
      <c r="J43" s="565"/>
      <c r="K43" s="567"/>
      <c r="L43" s="585"/>
      <c r="M43" s="562"/>
      <c r="N43" s="562"/>
      <c r="O43" s="562"/>
      <c r="P43" s="563"/>
    </row>
    <row r="44" spans="1:16" hidden="1">
      <c r="A44" s="555"/>
      <c r="B44" s="1"/>
      <c r="C44" s="2"/>
      <c r="D44" s="552">
        <f t="shared" si="0"/>
        <v>0</v>
      </c>
      <c r="E44" s="552">
        <f t="shared" si="1"/>
        <v>0</v>
      </c>
      <c r="F44" s="558"/>
      <c r="G44" s="551">
        <f t="shared" si="2"/>
        <v>0</v>
      </c>
      <c r="H44" s="34"/>
      <c r="I44" s="560"/>
      <c r="J44" s="565"/>
      <c r="K44" s="567"/>
      <c r="L44" s="585"/>
      <c r="M44" s="562"/>
      <c r="N44" s="562"/>
      <c r="O44" s="562"/>
      <c r="P44" s="563"/>
    </row>
    <row r="45" spans="1:16" hidden="1">
      <c r="A45" s="555"/>
      <c r="B45" s="1"/>
      <c r="C45" s="2"/>
      <c r="D45" s="552">
        <f t="shared" si="0"/>
        <v>0</v>
      </c>
      <c r="E45" s="552">
        <f t="shared" si="1"/>
        <v>0</v>
      </c>
      <c r="F45" s="558"/>
      <c r="G45" s="551">
        <f t="shared" si="2"/>
        <v>0</v>
      </c>
      <c r="H45" s="34"/>
      <c r="I45" s="560"/>
      <c r="J45" s="565"/>
      <c r="K45" s="567"/>
      <c r="L45" s="585"/>
      <c r="M45" s="562"/>
      <c r="N45" s="562"/>
      <c r="O45" s="562"/>
      <c r="P45" s="563"/>
    </row>
    <row r="46" spans="1:16" hidden="1">
      <c r="A46" s="555"/>
      <c r="B46" s="1"/>
      <c r="C46" s="2"/>
      <c r="D46" s="552">
        <f t="shared" si="0"/>
        <v>0</v>
      </c>
      <c r="E46" s="552">
        <f t="shared" si="1"/>
        <v>0</v>
      </c>
      <c r="F46" s="558"/>
      <c r="G46" s="551">
        <f t="shared" si="2"/>
        <v>0</v>
      </c>
      <c r="H46" s="34"/>
      <c r="I46" s="560"/>
      <c r="J46" s="565"/>
      <c r="K46" s="567"/>
      <c r="L46" s="585"/>
      <c r="M46" s="562"/>
      <c r="N46" s="562"/>
      <c r="O46" s="562"/>
      <c r="P46" s="563"/>
    </row>
    <row r="47" spans="1:16" hidden="1">
      <c r="A47" s="555"/>
      <c r="B47" s="1"/>
      <c r="C47" s="2"/>
      <c r="D47" s="552">
        <f t="shared" si="0"/>
        <v>0</v>
      </c>
      <c r="E47" s="552">
        <f t="shared" si="1"/>
        <v>0</v>
      </c>
      <c r="F47" s="558"/>
      <c r="G47" s="551">
        <f t="shared" si="2"/>
        <v>0</v>
      </c>
      <c r="H47" s="34"/>
      <c r="I47" s="560"/>
      <c r="J47" s="565"/>
      <c r="K47" s="567"/>
      <c r="L47" s="585"/>
      <c r="M47" s="562"/>
      <c r="N47" s="562"/>
      <c r="O47" s="562"/>
      <c r="P47" s="563"/>
    </row>
    <row r="48" spans="1:16" hidden="1">
      <c r="A48" s="555"/>
      <c r="B48" s="1"/>
      <c r="C48" s="2"/>
      <c r="D48" s="552">
        <f t="shared" si="0"/>
        <v>0</v>
      </c>
      <c r="E48" s="552">
        <f t="shared" si="1"/>
        <v>0</v>
      </c>
      <c r="F48" s="558"/>
      <c r="G48" s="551">
        <f t="shared" si="2"/>
        <v>0</v>
      </c>
      <c r="H48" s="34"/>
      <c r="I48" s="560"/>
      <c r="J48" s="565"/>
      <c r="K48" s="567"/>
      <c r="L48" s="585"/>
      <c r="M48" s="562"/>
      <c r="N48" s="562"/>
      <c r="O48" s="562"/>
      <c r="P48" s="563"/>
    </row>
    <row r="49" spans="1:32" hidden="1">
      <c r="A49" s="555"/>
      <c r="B49" s="1"/>
      <c r="C49" s="2"/>
      <c r="D49" s="552">
        <f t="shared" si="0"/>
        <v>0</v>
      </c>
      <c r="E49" s="552">
        <f t="shared" si="1"/>
        <v>0</v>
      </c>
      <c r="F49" s="558"/>
      <c r="G49" s="551">
        <f t="shared" si="2"/>
        <v>0</v>
      </c>
      <c r="H49" s="34"/>
      <c r="I49" s="560"/>
      <c r="J49" s="565"/>
      <c r="K49" s="567"/>
      <c r="L49" s="585"/>
      <c r="M49" s="562"/>
      <c r="N49" s="562"/>
      <c r="O49" s="562"/>
      <c r="P49" s="563"/>
    </row>
    <row r="50" spans="1:32" hidden="1">
      <c r="A50" s="555"/>
      <c r="B50" s="1"/>
      <c r="C50" s="2"/>
      <c r="D50" s="552">
        <f t="shared" si="0"/>
        <v>0</v>
      </c>
      <c r="E50" s="552">
        <f t="shared" si="1"/>
        <v>0</v>
      </c>
      <c r="F50" s="558"/>
      <c r="G50" s="551">
        <f t="shared" si="2"/>
        <v>0</v>
      </c>
      <c r="H50" s="34"/>
      <c r="I50" s="560"/>
      <c r="J50" s="565"/>
      <c r="K50" s="567"/>
      <c r="L50" s="585"/>
      <c r="M50" s="562"/>
      <c r="N50" s="562"/>
      <c r="O50" s="562"/>
      <c r="P50" s="563"/>
    </row>
    <row r="51" spans="1:32" hidden="1">
      <c r="A51" s="555"/>
      <c r="B51" s="1"/>
      <c r="C51" s="2"/>
      <c r="D51" s="552">
        <f t="shared" si="0"/>
        <v>0</v>
      </c>
      <c r="E51" s="552">
        <f t="shared" si="1"/>
        <v>0</v>
      </c>
      <c r="F51" s="558"/>
      <c r="G51" s="551">
        <f t="shared" si="2"/>
        <v>0</v>
      </c>
      <c r="H51" s="34"/>
      <c r="I51" s="560"/>
      <c r="J51" s="565"/>
      <c r="K51" s="567"/>
      <c r="L51" s="585"/>
      <c r="M51" s="562"/>
      <c r="N51" s="562"/>
      <c r="O51" s="562"/>
      <c r="P51" s="563"/>
    </row>
    <row r="52" spans="1:32" ht="13.5" thickBot="1">
      <c r="A52" s="556"/>
      <c r="B52" s="3"/>
      <c r="C52" s="4"/>
      <c r="D52" s="552">
        <f t="shared" si="0"/>
        <v>0</v>
      </c>
      <c r="E52" s="552">
        <f t="shared" si="1"/>
        <v>0</v>
      </c>
      <c r="F52" s="558"/>
      <c r="G52" s="551">
        <f t="shared" si="2"/>
        <v>0</v>
      </c>
      <c r="H52" s="34"/>
      <c r="I52" s="561"/>
      <c r="J52" s="566"/>
      <c r="K52" s="568"/>
      <c r="L52" s="586"/>
      <c r="M52" s="564"/>
      <c r="N52" s="564"/>
      <c r="O52" s="564"/>
      <c r="P52" s="587"/>
    </row>
    <row r="53" spans="1:32" s="10" customFormat="1" ht="14.25">
      <c r="A53" s="89" t="s">
        <v>26</v>
      </c>
      <c r="B53" s="90"/>
      <c r="C53" s="91"/>
      <c r="D53" s="92">
        <f>SUM(D17:D52)</f>
        <v>0</v>
      </c>
      <c r="E53" s="92">
        <f>SUM(E17:E52)</f>
        <v>11000</v>
      </c>
      <c r="F53" s="92">
        <f>SUM(F17:F52)</f>
        <v>13200</v>
      </c>
      <c r="G53" s="208">
        <f>SUM(G17:G52)</f>
        <v>2200</v>
      </c>
      <c r="H53" s="588"/>
      <c r="I53" s="589" t="s">
        <v>26</v>
      </c>
      <c r="J53" s="91"/>
      <c r="K53" s="590"/>
      <c r="L53" s="92">
        <f>SUM(L17:L52)</f>
        <v>13200</v>
      </c>
      <c r="M53" s="92">
        <f>SUM(M17:M52)</f>
        <v>0</v>
      </c>
      <c r="N53" s="92">
        <f>SUM(N17:N52)</f>
        <v>0</v>
      </c>
      <c r="O53" s="92">
        <f>SUM(O17:O52)</f>
        <v>0</v>
      </c>
      <c r="P53" s="208">
        <f>SUM(P17:P52)</f>
        <v>2.2599999999999998</v>
      </c>
      <c r="AD53" s="630"/>
      <c r="AE53" s="630"/>
      <c r="AF53" s="634"/>
    </row>
    <row r="54" spans="1:32" s="10" customFormat="1" ht="13.5" thickBot="1">
      <c r="A54" s="38" t="s">
        <v>27</v>
      </c>
      <c r="B54" s="38"/>
      <c r="C54" s="38"/>
      <c r="D54" s="643">
        <f>SUM(D16:D52)</f>
        <v>0</v>
      </c>
      <c r="E54" s="643">
        <f>SUM(E16:E52)</f>
        <v>43450</v>
      </c>
      <c r="F54" s="643">
        <f>SUM(F16:F52)</f>
        <v>52140</v>
      </c>
      <c r="G54" s="644">
        <f>SUM(G16:G52)</f>
        <v>8690</v>
      </c>
      <c r="H54" s="588"/>
      <c r="I54" s="591" t="s">
        <v>27</v>
      </c>
      <c r="J54" s="38"/>
      <c r="K54" s="151"/>
      <c r="L54" s="643">
        <f>SUM(L16:L52)</f>
        <v>75240</v>
      </c>
      <c r="M54" s="643">
        <f>SUM(M16:M52)</f>
        <v>66.53</v>
      </c>
      <c r="N54" s="643">
        <f>SUM(N16:N52)</f>
        <v>0</v>
      </c>
      <c r="O54" s="643">
        <f>SUM(O16:O52)</f>
        <v>50488.86</v>
      </c>
      <c r="P54" s="645">
        <f>SUM(P16:P52)</f>
        <v>-56.319999999999993</v>
      </c>
      <c r="AD54" s="630"/>
      <c r="AE54" s="630"/>
      <c r="AF54" s="634"/>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c r="N57" s="18"/>
    </row>
    <row r="58" spans="1:32" ht="18" hidden="1">
      <c r="A58" s="66" t="s">
        <v>28</v>
      </c>
      <c r="B58" s="17"/>
      <c r="C58" s="75">
        <f>IF(E9="y",G59*0.95-(SUM(H197:K197)),0)</f>
        <v>0</v>
      </c>
      <c r="E58" s="113" t="s">
        <v>136</v>
      </c>
      <c r="F58" s="70" t="s">
        <v>138</v>
      </c>
      <c r="G58" s="70" t="s">
        <v>137</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11000</v>
      </c>
      <c r="F60" s="70">
        <f>+G60-E60</f>
        <v>22</v>
      </c>
      <c r="G60" s="70">
        <f>IF(E59+E60&lt;&gt;0,E60/(E59+E60)*(G61-G62),0)</f>
        <v>11022</v>
      </c>
      <c r="H60" s="18"/>
      <c r="I60" s="18"/>
      <c r="J60" s="18"/>
      <c r="K60" s="18"/>
      <c r="L60" s="18"/>
      <c r="M60" s="18"/>
    </row>
    <row r="61" spans="1:32" hidden="1">
      <c r="A61" s="16"/>
      <c r="B61" s="17"/>
      <c r="C61" s="16"/>
      <c r="D61" s="70" t="s">
        <v>16</v>
      </c>
      <c r="E61" s="70">
        <f>+F53</f>
        <v>13200</v>
      </c>
      <c r="F61" s="70">
        <f>+G61-E61</f>
        <v>0</v>
      </c>
      <c r="G61" s="70">
        <f>+E61</f>
        <v>13200</v>
      </c>
      <c r="H61" s="18"/>
      <c r="I61" s="18"/>
      <c r="J61" s="18"/>
      <c r="K61" s="18"/>
      <c r="L61" s="18"/>
      <c r="M61" s="18"/>
    </row>
    <row r="62" spans="1:32" hidden="1">
      <c r="A62" s="67" t="s">
        <v>29</v>
      </c>
      <c r="B62" s="17"/>
      <c r="C62" s="70">
        <f>IF(E243&lt;=0,0,IF(C4&lt;42095,E265,E243))</f>
        <v>0</v>
      </c>
      <c r="D62" s="70" t="s">
        <v>17</v>
      </c>
      <c r="E62" s="70">
        <f>+G53</f>
        <v>2200</v>
      </c>
      <c r="F62" s="70">
        <f>+G62-E62</f>
        <v>-22</v>
      </c>
      <c r="G62" s="70">
        <f>IF(E12&gt;0,(G61)*E12,E62)</f>
        <v>2178</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D73" s="7"/>
      <c r="E73" s="7"/>
      <c r="F73" s="7"/>
      <c r="G73" s="7"/>
      <c r="H73" s="7"/>
      <c r="I73" s="7"/>
      <c r="J73" s="7"/>
      <c r="K73" s="7"/>
      <c r="L73" s="7"/>
      <c r="M73" s="7"/>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5"/>
    </row>
    <row r="75" spans="1:56" ht="15">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5" t="s">
        <v>20</v>
      </c>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0"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row>
    <row r="78" spans="1:56" ht="13.5" thickBot="1">
      <c r="A78" s="580" t="s">
        <v>11</v>
      </c>
      <c r="B78" s="580" t="s">
        <v>13</v>
      </c>
      <c r="C78" s="594" t="s">
        <v>38</v>
      </c>
      <c r="D78" s="569" t="s">
        <v>39</v>
      </c>
      <c r="E78" s="569" t="s">
        <v>40</v>
      </c>
      <c r="F78" s="569" t="s">
        <v>155</v>
      </c>
      <c r="G78" s="595" t="s">
        <v>17</v>
      </c>
      <c r="H78" s="571" t="s">
        <v>294</v>
      </c>
      <c r="I78" s="570" t="s">
        <v>42</v>
      </c>
      <c r="J78" s="571" t="s">
        <v>127</v>
      </c>
      <c r="K78" s="570" t="s">
        <v>44</v>
      </c>
      <c r="L78" s="597" t="s">
        <v>161</v>
      </c>
      <c r="M78" s="597" t="s">
        <v>160</v>
      </c>
      <c r="N78" s="597" t="s">
        <v>49</v>
      </c>
      <c r="O78" s="570" t="s">
        <v>132</v>
      </c>
      <c r="P78" s="570" t="s">
        <v>45</v>
      </c>
      <c r="Q78" s="570" t="s">
        <v>46</v>
      </c>
      <c r="R78" s="571" t="s">
        <v>171</v>
      </c>
      <c r="S78" s="570" t="s">
        <v>113</v>
      </c>
      <c r="T78" s="571" t="s">
        <v>57</v>
      </c>
      <c r="U78" s="570" t="s">
        <v>50</v>
      </c>
      <c r="V78" s="571" t="s">
        <v>207</v>
      </c>
      <c r="W78" s="571" t="s">
        <v>175</v>
      </c>
      <c r="X78" s="571" t="s">
        <v>302</v>
      </c>
      <c r="Y78" s="570" t="s">
        <v>121</v>
      </c>
      <c r="Z78" s="571" t="s">
        <v>173</v>
      </c>
      <c r="AA78" s="571" t="s">
        <v>302</v>
      </c>
      <c r="AB78" s="597" t="s">
        <v>152</v>
      </c>
      <c r="AC78" s="570" t="s">
        <v>51</v>
      </c>
      <c r="AF78" s="634" t="s">
        <v>52</v>
      </c>
    </row>
    <row r="79" spans="1:56">
      <c r="A79" s="614"/>
      <c r="B79" s="345" t="s">
        <v>77</v>
      </c>
      <c r="C79" s="45"/>
      <c r="D79" s="615">
        <f>'Feb 18'!D198</f>
        <v>70826.989999999991</v>
      </c>
      <c r="E79" s="616">
        <f>'Feb 18'!E198</f>
        <v>0</v>
      </c>
      <c r="F79" s="615">
        <f>'Feb 18'!F198</f>
        <v>0</v>
      </c>
      <c r="G79" s="617">
        <f>'Feb 18'!G198</f>
        <v>0</v>
      </c>
      <c r="H79" s="625">
        <f>'Feb 18'!H198</f>
        <v>900</v>
      </c>
      <c r="I79" s="559">
        <f>'Feb 18'!I198</f>
        <v>656</v>
      </c>
      <c r="J79" s="559">
        <f>'Feb 18'!J198</f>
        <v>140</v>
      </c>
      <c r="K79" s="559">
        <f>'Feb 18'!K198</f>
        <v>0</v>
      </c>
      <c r="L79" s="559">
        <f>'Feb 18'!L198</f>
        <v>9120</v>
      </c>
      <c r="M79" s="559">
        <f>'Feb 18'!M198</f>
        <v>0</v>
      </c>
      <c r="N79" s="559">
        <f>'Feb 18'!N198</f>
        <v>0</v>
      </c>
      <c r="O79" s="559">
        <f>'Feb 18'!O198</f>
        <v>0</v>
      </c>
      <c r="P79" s="559">
        <f>'Feb 18'!P198</f>
        <v>80</v>
      </c>
      <c r="Q79" s="559">
        <f>'Feb 18'!Q198</f>
        <v>0</v>
      </c>
      <c r="R79" s="559">
        <f>'Feb 18'!R198</f>
        <v>260</v>
      </c>
      <c r="S79" s="559">
        <f>'Feb 18'!S198</f>
        <v>220</v>
      </c>
      <c r="T79" s="559">
        <f>'Feb 18'!T198</f>
        <v>340</v>
      </c>
      <c r="U79" s="559">
        <f>'Feb 18'!U198</f>
        <v>552</v>
      </c>
      <c r="V79" s="559">
        <f>'Feb 18'!V198</f>
        <v>26</v>
      </c>
      <c r="W79" s="559">
        <f>'Feb 18'!W198</f>
        <v>380</v>
      </c>
      <c r="X79" s="559">
        <f>'Feb 18'!X198</f>
        <v>50555.39</v>
      </c>
      <c r="Y79" s="559">
        <f>'Feb 18'!Y198</f>
        <v>6969.6</v>
      </c>
      <c r="Z79" s="559">
        <f>'Feb 18'!Z198</f>
        <v>0</v>
      </c>
      <c r="AA79" s="559">
        <f>'Feb 18'!AA198</f>
        <v>0</v>
      </c>
      <c r="AB79" s="559">
        <f>'Feb 18'!AB198</f>
        <v>628</v>
      </c>
      <c r="AC79" s="259">
        <f>'Feb 18'!AC198</f>
        <v>0</v>
      </c>
      <c r="AG79" s="43">
        <f>IF(AF79=0,0,"ERROR HERE")</f>
        <v>0</v>
      </c>
      <c r="AH79" s="7">
        <f t="shared" ref="AH79:AQ84" si="3">IF(OR(ISERROR(+H79/($D79+$E79-$G79)*$G79+H79),LEFT(F79,1)="x"),0,+H79/($D79+$E79-$G79)*$G79+H79)</f>
        <v>900</v>
      </c>
      <c r="AI79" s="7">
        <f t="shared" si="3"/>
        <v>656</v>
      </c>
      <c r="AJ79" s="7">
        <f t="shared" si="3"/>
        <v>140</v>
      </c>
      <c r="AK79" s="7">
        <f t="shared" si="3"/>
        <v>0</v>
      </c>
      <c r="AL79" s="7">
        <f t="shared" si="3"/>
        <v>9120</v>
      </c>
      <c r="AM79" s="7">
        <f t="shared" si="3"/>
        <v>0</v>
      </c>
      <c r="AN79" s="7">
        <f t="shared" si="3"/>
        <v>0</v>
      </c>
      <c r="AO79" s="7">
        <f t="shared" si="3"/>
        <v>0</v>
      </c>
      <c r="AP79" s="7">
        <f t="shared" si="3"/>
        <v>80</v>
      </c>
      <c r="AQ79" s="7">
        <f t="shared" si="3"/>
        <v>0</v>
      </c>
      <c r="AR79" s="7">
        <f t="shared" ref="AR79:BA84" si="4">IF(OR(ISERROR(+R79/($D79+$E79-$G79)*$G79+R79),LEFT(P79,1)="x"),0,+R79/($D79+$E79-$G79)*$G79+R79)</f>
        <v>260</v>
      </c>
      <c r="AS79" s="7">
        <f t="shared" si="4"/>
        <v>220</v>
      </c>
      <c r="AT79" s="7">
        <f t="shared" si="4"/>
        <v>340</v>
      </c>
      <c r="AU79" s="7">
        <f t="shared" si="4"/>
        <v>552</v>
      </c>
      <c r="AV79" s="7">
        <f t="shared" si="4"/>
        <v>26</v>
      </c>
      <c r="AW79" s="7">
        <f t="shared" si="4"/>
        <v>380</v>
      </c>
      <c r="AX79" s="7">
        <f t="shared" si="4"/>
        <v>50555.39</v>
      </c>
      <c r="AY79" s="7">
        <f t="shared" si="4"/>
        <v>6969.6</v>
      </c>
      <c r="AZ79" s="7">
        <f t="shared" si="4"/>
        <v>0</v>
      </c>
      <c r="BA79" s="7">
        <f t="shared" si="4"/>
        <v>0</v>
      </c>
      <c r="BB79" s="7">
        <f t="shared" ref="BB79:BB84" si="5">IF(OR(ISERROR(+AB79/($D79+$E79-$G79)*$G79+AB79),LEFT(Z79,1)="x"),0,+AB79/($D79+$E79-$G79)*$G79+AB79)</f>
        <v>628</v>
      </c>
      <c r="BC79" s="7">
        <f>IF(OR(ISERROR(+#REF!/($D79+$E79-$G79)*$G79+#REF!),LEFT(AA79,1)="x"),0,+#REF!/($D79+$E79-$G79)*$G79+#REF!)</f>
        <v>0</v>
      </c>
      <c r="BD79" s="7">
        <f>IF(OR(ISERROR(+AC79/($D79+$E79-$G79)*$G79+AC79),LEFT(Z79,1)="x"),0,+AC79/($D79+$E79-$G79)*$G79+AC79)</f>
        <v>0</v>
      </c>
    </row>
    <row r="80" spans="1:56">
      <c r="A80" s="555"/>
      <c r="B80" s="719" t="s">
        <v>462</v>
      </c>
      <c r="C80" s="719"/>
      <c r="D80" s="720">
        <v>924</v>
      </c>
      <c r="E80" s="721"/>
      <c r="F80" s="722"/>
      <c r="G80" s="723"/>
      <c r="H80" s="724"/>
      <c r="I80" s="724"/>
      <c r="J80" s="724"/>
      <c r="K80" s="725"/>
      <c r="L80" s="720">
        <v>924</v>
      </c>
      <c r="M80" s="725"/>
      <c r="N80" s="725"/>
      <c r="O80" s="725"/>
      <c r="P80" s="725"/>
      <c r="Q80" s="725"/>
      <c r="R80" s="726"/>
      <c r="S80" s="727"/>
      <c r="T80" s="725"/>
      <c r="U80" s="726"/>
      <c r="V80" s="726"/>
      <c r="W80" s="727"/>
      <c r="X80" s="726"/>
      <c r="Y80" s="726"/>
      <c r="Z80" s="726"/>
      <c r="AA80" s="726"/>
      <c r="AB80" s="726"/>
      <c r="AC80" s="563"/>
      <c r="AD80" s="629">
        <f>SUM(G80:AC80)</f>
        <v>924</v>
      </c>
      <c r="AE80" s="629">
        <f>SUM(D80:F80)</f>
        <v>924</v>
      </c>
      <c r="AF80" s="634">
        <f>AD80-AE80</f>
        <v>0</v>
      </c>
      <c r="AG80" s="43"/>
      <c r="AH80" s="7">
        <f t="shared" si="3"/>
        <v>0</v>
      </c>
      <c r="AI80" s="7">
        <f t="shared" si="3"/>
        <v>0</v>
      </c>
      <c r="AJ80" s="7">
        <f t="shared" si="3"/>
        <v>0</v>
      </c>
      <c r="AK80" s="7">
        <f t="shared" si="3"/>
        <v>0</v>
      </c>
      <c r="AL80" s="7">
        <f t="shared" si="3"/>
        <v>924</v>
      </c>
      <c r="AM80" s="7">
        <f t="shared" si="3"/>
        <v>0</v>
      </c>
      <c r="AN80" s="7">
        <f t="shared" si="3"/>
        <v>0</v>
      </c>
      <c r="AO80" s="7">
        <f t="shared" si="3"/>
        <v>0</v>
      </c>
      <c r="AP80" s="7">
        <f t="shared" si="3"/>
        <v>0</v>
      </c>
      <c r="AQ80" s="7">
        <f t="shared" si="3"/>
        <v>0</v>
      </c>
      <c r="AR80" s="7">
        <f t="shared" si="4"/>
        <v>0</v>
      </c>
      <c r="AS80" s="7">
        <f t="shared" si="4"/>
        <v>0</v>
      </c>
      <c r="AT80" s="7">
        <f t="shared" si="4"/>
        <v>0</v>
      </c>
      <c r="AU80" s="7">
        <f t="shared" si="4"/>
        <v>0</v>
      </c>
      <c r="AV80" s="7">
        <f t="shared" si="4"/>
        <v>0</v>
      </c>
      <c r="AW80" s="7">
        <f t="shared" si="4"/>
        <v>0</v>
      </c>
      <c r="AX80" s="7">
        <f t="shared" si="4"/>
        <v>0</v>
      </c>
      <c r="AY80" s="7">
        <f t="shared" si="4"/>
        <v>0</v>
      </c>
      <c r="AZ80" s="7">
        <f t="shared" si="4"/>
        <v>0</v>
      </c>
      <c r="BA80" s="7">
        <f t="shared" si="4"/>
        <v>0</v>
      </c>
      <c r="BB80" s="7">
        <f t="shared" si="5"/>
        <v>0</v>
      </c>
      <c r="BC80" s="7">
        <f>IF(OR(ISERROR(+#REF!/($D80+$E80-$G80)*$G80+#REF!),LEFT(AA80,1)="x"),0,+#REF!/($D80+$E80-$G80)*$G80+#REF!)</f>
        <v>0</v>
      </c>
      <c r="BD80" s="7">
        <f>IF(OR(ISERROR(+AC80/($D80+$E80-$G80)*$G80+AC80),LEFT(Z80,1)="x"),0,+AC80/($D80+$E80-$G80)*$G80+AC80)</f>
        <v>0</v>
      </c>
    </row>
    <row r="81" spans="1:57">
      <c r="A81" s="555"/>
      <c r="B81" s="719" t="s">
        <v>463</v>
      </c>
      <c r="C81" s="719"/>
      <c r="D81" s="719">
        <v>900</v>
      </c>
      <c r="E81" s="721"/>
      <c r="F81" s="722"/>
      <c r="G81" s="723"/>
      <c r="H81" s="724"/>
      <c r="I81" s="724"/>
      <c r="J81" s="724"/>
      <c r="K81" s="725"/>
      <c r="L81" s="719">
        <v>900</v>
      </c>
      <c r="M81" s="725"/>
      <c r="N81" s="725"/>
      <c r="O81" s="725"/>
      <c r="P81" s="725"/>
      <c r="Q81" s="725"/>
      <c r="R81" s="726"/>
      <c r="S81" s="727"/>
      <c r="T81" s="725"/>
      <c r="U81" s="726"/>
      <c r="V81" s="726"/>
      <c r="W81" s="727"/>
      <c r="X81" s="726"/>
      <c r="Y81" s="726"/>
      <c r="Z81" s="726"/>
      <c r="AA81" s="726"/>
      <c r="AB81" s="726"/>
      <c r="AC81" s="563"/>
      <c r="AD81" s="629">
        <f t="shared" ref="AD81:AD144" si="6">SUM(G81:AC81)</f>
        <v>900</v>
      </c>
      <c r="AE81" s="629">
        <f t="shared" ref="AE81:AE144" si="7">SUM(D81:F81)</f>
        <v>900</v>
      </c>
      <c r="AF81" s="634">
        <f t="shared" ref="AF81:AF144" si="8">AD81-AE81</f>
        <v>0</v>
      </c>
      <c r="AG81" s="43"/>
      <c r="AH81" s="7">
        <f t="shared" si="3"/>
        <v>0</v>
      </c>
      <c r="AI81" s="7">
        <f t="shared" si="3"/>
        <v>0</v>
      </c>
      <c r="AJ81" s="7">
        <f t="shared" si="3"/>
        <v>0</v>
      </c>
      <c r="AK81" s="7">
        <f t="shared" si="3"/>
        <v>0</v>
      </c>
      <c r="AL81" s="7">
        <f t="shared" si="3"/>
        <v>900</v>
      </c>
      <c r="AM81" s="7">
        <f t="shared" si="3"/>
        <v>0</v>
      </c>
      <c r="AN81" s="7">
        <f t="shared" si="3"/>
        <v>0</v>
      </c>
      <c r="AO81" s="7">
        <f t="shared" si="3"/>
        <v>0</v>
      </c>
      <c r="AP81" s="7">
        <f t="shared" si="3"/>
        <v>0</v>
      </c>
      <c r="AQ81" s="7">
        <f t="shared" si="3"/>
        <v>0</v>
      </c>
      <c r="AR81" s="7">
        <f t="shared" si="4"/>
        <v>0</v>
      </c>
      <c r="AS81" s="7">
        <f t="shared" si="4"/>
        <v>0</v>
      </c>
      <c r="AT81" s="7">
        <f t="shared" si="4"/>
        <v>0</v>
      </c>
      <c r="AU81" s="7">
        <f t="shared" si="4"/>
        <v>0</v>
      </c>
      <c r="AV81" s="7">
        <f t="shared" si="4"/>
        <v>0</v>
      </c>
      <c r="AW81" s="7">
        <f t="shared" si="4"/>
        <v>0</v>
      </c>
      <c r="AX81" s="7">
        <f t="shared" si="4"/>
        <v>0</v>
      </c>
      <c r="AY81" s="7">
        <f t="shared" si="4"/>
        <v>0</v>
      </c>
      <c r="AZ81" s="7">
        <f t="shared" si="4"/>
        <v>0</v>
      </c>
      <c r="BA81" s="7">
        <f t="shared" si="4"/>
        <v>0</v>
      </c>
      <c r="BB81" s="7">
        <f t="shared" si="5"/>
        <v>0</v>
      </c>
      <c r="BC81" s="7">
        <f>IF(OR(ISERROR(+#REF!/($D81+$E81-$G81)*$G81+#REF!),LEFT(AA81,1)="x"),0,+#REF!/($D81+$E81-$G81)*$G81+#REF!)</f>
        <v>0</v>
      </c>
      <c r="BD81" s="7">
        <f>IF(OR(ISERROR(+AC81/($D81+$E81-$G81)*$G81+AC81),LEFT(Z81,1)="x"),0,+AC81/($D81+$E81-$G81)*$G81+AC81)</f>
        <v>0</v>
      </c>
    </row>
    <row r="82" spans="1:57">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719"/>
      <c r="Y82" s="719"/>
      <c r="Z82" s="719"/>
      <c r="AA82" s="719"/>
      <c r="AB82" s="719"/>
      <c r="AC82" s="563"/>
      <c r="AD82" s="629">
        <f t="shared" si="6"/>
        <v>138</v>
      </c>
      <c r="AE82" s="629">
        <f t="shared" si="7"/>
        <v>138</v>
      </c>
      <c r="AF82" s="634">
        <f t="shared" si="8"/>
        <v>0</v>
      </c>
      <c r="AG82" s="43"/>
      <c r="AH82" s="7">
        <f t="shared" si="3"/>
        <v>0</v>
      </c>
      <c r="AI82" s="7">
        <f t="shared" si="3"/>
        <v>0</v>
      </c>
      <c r="AJ82" s="7">
        <f t="shared" si="3"/>
        <v>0</v>
      </c>
      <c r="AK82" s="7">
        <f t="shared" si="3"/>
        <v>0</v>
      </c>
      <c r="AL82" s="7">
        <f t="shared" si="3"/>
        <v>0</v>
      </c>
      <c r="AM82" s="7">
        <f t="shared" si="3"/>
        <v>0</v>
      </c>
      <c r="AN82" s="7">
        <f t="shared" si="3"/>
        <v>0</v>
      </c>
      <c r="AO82" s="7">
        <f t="shared" si="3"/>
        <v>0</v>
      </c>
      <c r="AP82" s="7">
        <f t="shared" si="3"/>
        <v>0</v>
      </c>
      <c r="AQ82" s="7">
        <f t="shared" si="3"/>
        <v>0</v>
      </c>
      <c r="AR82" s="7">
        <f t="shared" si="4"/>
        <v>0</v>
      </c>
      <c r="AS82" s="7">
        <f t="shared" si="4"/>
        <v>0</v>
      </c>
      <c r="AT82" s="7">
        <f t="shared" si="4"/>
        <v>0</v>
      </c>
      <c r="AU82" s="7">
        <f t="shared" si="4"/>
        <v>138</v>
      </c>
      <c r="AV82" s="7">
        <f t="shared" si="4"/>
        <v>0</v>
      </c>
      <c r="AW82" s="7">
        <f t="shared" si="4"/>
        <v>0</v>
      </c>
      <c r="AX82" s="7">
        <f t="shared" si="4"/>
        <v>0</v>
      </c>
      <c r="AY82" s="7">
        <f t="shared" si="4"/>
        <v>0</v>
      </c>
      <c r="AZ82" s="7">
        <f t="shared" si="4"/>
        <v>0</v>
      </c>
      <c r="BA82" s="7">
        <f t="shared" si="4"/>
        <v>0</v>
      </c>
      <c r="BB82" s="7">
        <f t="shared" si="5"/>
        <v>0</v>
      </c>
      <c r="BC82" s="7">
        <f>IF(OR(ISERROR(+#REF!/($D82+$E82-$G82)*$G82+#REF!),LEFT(AA82,1)="x"),0,+#REF!/($D82+$E82-$G82)*$G82+#REF!)</f>
        <v>0</v>
      </c>
      <c r="BD82" s="7">
        <f>IF(OR(ISERROR(+#REF!/($D82+$E82-$G82)*$G82+#REF!),LEFT(AB82,1)="x"),0,+#REF!/($D82+$E82-$G82)*$G82+#REF!)</f>
        <v>0</v>
      </c>
      <c r="BE82" s="7" t="e">
        <f>IF(OR(ISERROR(+AC82/($D82+$E82-$G82)*$G82+AC82),LEFT(#REF!,1)="x"),0,+AC82/($D82+$E82-$G82)*$G82+AC82)</f>
        <v>#REF!</v>
      </c>
    </row>
    <row r="83" spans="1:57">
      <c r="A83" s="555"/>
      <c r="B83" s="719" t="s">
        <v>465</v>
      </c>
      <c r="C83" s="719"/>
      <c r="D83" s="721"/>
      <c r="E83" s="719">
        <v>164</v>
      </c>
      <c r="F83" s="722"/>
      <c r="G83" s="723"/>
      <c r="H83" s="724"/>
      <c r="I83" s="719">
        <v>164</v>
      </c>
      <c r="J83" s="724"/>
      <c r="K83" s="725"/>
      <c r="L83" s="725"/>
      <c r="M83" s="725"/>
      <c r="N83" s="725"/>
      <c r="O83" s="725"/>
      <c r="P83" s="725"/>
      <c r="Q83" s="725"/>
      <c r="R83" s="726"/>
      <c r="S83" s="727"/>
      <c r="T83" s="725"/>
      <c r="U83" s="726"/>
      <c r="V83" s="726"/>
      <c r="W83" s="727"/>
      <c r="X83" s="726"/>
      <c r="Y83" s="726"/>
      <c r="Z83" s="726"/>
      <c r="AA83" s="726"/>
      <c r="AB83" s="726"/>
      <c r="AC83" s="563"/>
      <c r="AD83" s="629">
        <f t="shared" si="6"/>
        <v>164</v>
      </c>
      <c r="AE83" s="629">
        <f t="shared" si="7"/>
        <v>164</v>
      </c>
      <c r="AF83" s="634">
        <f t="shared" si="8"/>
        <v>0</v>
      </c>
      <c r="AG83" s="43"/>
      <c r="AH83" s="7">
        <f t="shared" si="3"/>
        <v>0</v>
      </c>
      <c r="AI83" s="7">
        <f t="shared" si="3"/>
        <v>164</v>
      </c>
      <c r="AJ83" s="7">
        <f t="shared" si="3"/>
        <v>0</v>
      </c>
      <c r="AK83" s="7">
        <f t="shared" si="3"/>
        <v>0</v>
      </c>
      <c r="AL83" s="7">
        <f t="shared" si="3"/>
        <v>0</v>
      </c>
      <c r="AM83" s="7">
        <f t="shared" si="3"/>
        <v>0</v>
      </c>
      <c r="AN83" s="7">
        <f t="shared" si="3"/>
        <v>0</v>
      </c>
      <c r="AO83" s="7">
        <f t="shared" si="3"/>
        <v>0</v>
      </c>
      <c r="AP83" s="7">
        <f t="shared" si="3"/>
        <v>0</v>
      </c>
      <c r="AQ83" s="7">
        <f t="shared" si="3"/>
        <v>0</v>
      </c>
      <c r="AR83" s="7">
        <f t="shared" si="4"/>
        <v>0</v>
      </c>
      <c r="AS83" s="7">
        <f t="shared" si="4"/>
        <v>0</v>
      </c>
      <c r="AT83" s="7">
        <f t="shared" si="4"/>
        <v>0</v>
      </c>
      <c r="AU83" s="7">
        <f t="shared" si="4"/>
        <v>0</v>
      </c>
      <c r="AV83" s="7">
        <f t="shared" si="4"/>
        <v>0</v>
      </c>
      <c r="AW83" s="7">
        <f t="shared" si="4"/>
        <v>0</v>
      </c>
      <c r="AX83" s="7">
        <f t="shared" si="4"/>
        <v>0</v>
      </c>
      <c r="AY83" s="7">
        <f t="shared" si="4"/>
        <v>0</v>
      </c>
      <c r="AZ83" s="7">
        <f t="shared" si="4"/>
        <v>0</v>
      </c>
      <c r="BA83" s="7">
        <f t="shared" si="4"/>
        <v>0</v>
      </c>
      <c r="BB83" s="7">
        <f t="shared" si="5"/>
        <v>0</v>
      </c>
      <c r="BC83" s="7">
        <f>IF(OR(ISERROR(+#REF!/($D83+$E83-$G83)*$G83+#REF!),LEFT(AA83,1)="x"),0,+#REF!/($D83+$E83-$G83)*$G83+#REF!)</f>
        <v>0</v>
      </c>
      <c r="BD83" s="7">
        <f>IF(OR(ISERROR(+#REF!/($D83+$E83-$G83)*$G83+#REF!),LEFT(AB83,1)="x"),0,+#REF!/($D83+$E83-$G83)*$G83+#REF!)</f>
        <v>0</v>
      </c>
      <c r="BE83" s="7" t="e">
        <f>IF(OR(ISERROR(+AC83/($D83+$E83-$G83)*$G83+AC83),LEFT(#REF!,1)="x"),0,+AC83/($D83+$E83-$G83)*$G83+AC83)</f>
        <v>#REF!</v>
      </c>
    </row>
    <row r="84" spans="1:57">
      <c r="A84" s="555"/>
      <c r="B84" s="719" t="s">
        <v>466</v>
      </c>
      <c r="C84" s="719"/>
      <c r="D84" s="721"/>
      <c r="E84" s="719">
        <v>20</v>
      </c>
      <c r="F84" s="722"/>
      <c r="G84" s="723"/>
      <c r="H84" s="724"/>
      <c r="I84" s="724"/>
      <c r="J84" s="724"/>
      <c r="K84" s="725"/>
      <c r="L84" s="725"/>
      <c r="M84" s="725"/>
      <c r="N84" s="725"/>
      <c r="O84" s="725"/>
      <c r="P84" s="719">
        <v>20</v>
      </c>
      <c r="Q84" s="725"/>
      <c r="R84" s="726"/>
      <c r="S84" s="727"/>
      <c r="T84" s="725"/>
      <c r="U84" s="726"/>
      <c r="V84" s="726"/>
      <c r="W84" s="727"/>
      <c r="X84" s="726"/>
      <c r="Y84" s="726"/>
      <c r="Z84" s="726"/>
      <c r="AA84" s="726"/>
      <c r="AB84" s="726"/>
      <c r="AC84" s="563"/>
      <c r="AD84" s="629">
        <f t="shared" si="6"/>
        <v>20</v>
      </c>
      <c r="AE84" s="629">
        <f t="shared" si="7"/>
        <v>20</v>
      </c>
      <c r="AF84" s="634">
        <f t="shared" si="8"/>
        <v>0</v>
      </c>
      <c r="AG84" s="43">
        <f>IF(AF84=0,0,"ERROR HERE")</f>
        <v>0</v>
      </c>
      <c r="AH84" s="7">
        <f t="shared" si="3"/>
        <v>0</v>
      </c>
      <c r="AI84" s="7">
        <f t="shared" si="3"/>
        <v>0</v>
      </c>
      <c r="AJ84" s="7">
        <f t="shared" si="3"/>
        <v>0</v>
      </c>
      <c r="AK84" s="7">
        <f t="shared" si="3"/>
        <v>0</v>
      </c>
      <c r="AL84" s="7">
        <f t="shared" si="3"/>
        <v>0</v>
      </c>
      <c r="AM84" s="7">
        <f t="shared" si="3"/>
        <v>0</v>
      </c>
      <c r="AN84" s="7">
        <f t="shared" si="3"/>
        <v>0</v>
      </c>
      <c r="AO84" s="7">
        <f t="shared" si="3"/>
        <v>0</v>
      </c>
      <c r="AP84" s="7">
        <f t="shared" si="3"/>
        <v>20</v>
      </c>
      <c r="AQ84" s="7">
        <f t="shared" si="3"/>
        <v>0</v>
      </c>
      <c r="AR84" s="7">
        <f t="shared" si="4"/>
        <v>0</v>
      </c>
      <c r="AS84" s="7">
        <f t="shared" si="4"/>
        <v>0</v>
      </c>
      <c r="AT84" s="7">
        <f t="shared" si="4"/>
        <v>0</v>
      </c>
      <c r="AU84" s="7">
        <f t="shared" si="4"/>
        <v>0</v>
      </c>
      <c r="AV84" s="7">
        <f t="shared" si="4"/>
        <v>0</v>
      </c>
      <c r="AW84" s="7">
        <f t="shared" si="4"/>
        <v>0</v>
      </c>
      <c r="AX84" s="7">
        <f t="shared" si="4"/>
        <v>0</v>
      </c>
      <c r="AY84" s="7">
        <f t="shared" si="4"/>
        <v>0</v>
      </c>
      <c r="AZ84" s="7">
        <f t="shared" si="4"/>
        <v>0</v>
      </c>
      <c r="BA84" s="7">
        <f t="shared" si="4"/>
        <v>0</v>
      </c>
      <c r="BB84" s="7">
        <f t="shared" si="5"/>
        <v>0</v>
      </c>
      <c r="BC84" s="7">
        <f>IF(OR(ISERROR(+#REF!/($D84+$E84-$G84)*$G84+#REF!),LEFT(AA84,1)="x"),0,+#REF!/($D84+$E84-$G84)*$G84+#REF!)</f>
        <v>0</v>
      </c>
      <c r="BD84" s="7">
        <f>IF(OR(ISERROR(+#REF!/($D84+$E84-$G84)*$G84+#REF!),LEFT(AB84,1)="x"),0,+#REF!/($D84+$E84-$G84)*$G84+#REF!)</f>
        <v>0</v>
      </c>
      <c r="BE84" s="7" t="e">
        <f>IF(OR(ISERROR(+AC84/($D84+$E84-$G84)*$G84+AC84),LEFT(#REF!,1)="x"),0,+AC84/($D84+$E84-$G84)*$G84+AC84)</f>
        <v>#REF!</v>
      </c>
    </row>
    <row r="85" spans="1:57">
      <c r="A85" s="555"/>
      <c r="B85" s="719" t="s">
        <v>467</v>
      </c>
      <c r="C85" s="719"/>
      <c r="D85" s="721"/>
      <c r="E85" s="719">
        <v>95</v>
      </c>
      <c r="F85" s="722"/>
      <c r="G85" s="723"/>
      <c r="H85" s="724"/>
      <c r="I85" s="724"/>
      <c r="J85" s="724"/>
      <c r="K85" s="725"/>
      <c r="L85" s="725"/>
      <c r="M85" s="725"/>
      <c r="N85" s="725"/>
      <c r="O85" s="725"/>
      <c r="P85" s="725"/>
      <c r="Q85" s="725"/>
      <c r="R85" s="726"/>
      <c r="S85" s="727"/>
      <c r="T85" s="725"/>
      <c r="U85" s="719"/>
      <c r="V85" s="726"/>
      <c r="W85" s="719">
        <v>95</v>
      </c>
      <c r="X85" s="726"/>
      <c r="Y85" s="726"/>
      <c r="Z85" s="726"/>
      <c r="AA85" s="726"/>
      <c r="AB85" s="726"/>
      <c r="AC85" s="563"/>
      <c r="AD85" s="629">
        <f t="shared" si="6"/>
        <v>95</v>
      </c>
      <c r="AE85" s="629">
        <f t="shared" si="7"/>
        <v>95</v>
      </c>
      <c r="AF85" s="634">
        <f t="shared" si="8"/>
        <v>0</v>
      </c>
      <c r="AG85" s="43"/>
    </row>
    <row r="86" spans="1:57">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726"/>
      <c r="Y86" s="726"/>
      <c r="Z86" s="726"/>
      <c r="AA86" s="726"/>
      <c r="AB86" s="726"/>
      <c r="AC86" s="563"/>
      <c r="AD86" s="629">
        <f t="shared" si="6"/>
        <v>85</v>
      </c>
      <c r="AE86" s="629">
        <f t="shared" si="7"/>
        <v>85</v>
      </c>
      <c r="AF86" s="634">
        <f t="shared" si="8"/>
        <v>0</v>
      </c>
      <c r="AG86" s="43"/>
    </row>
    <row r="87" spans="1:57">
      <c r="A87" s="555"/>
      <c r="B87" s="719" t="s">
        <v>469</v>
      </c>
      <c r="C87" s="719"/>
      <c r="D87" s="721"/>
      <c r="E87" s="719">
        <v>225</v>
      </c>
      <c r="F87" s="722"/>
      <c r="G87" s="723"/>
      <c r="H87" s="719">
        <v>225</v>
      </c>
      <c r="I87" s="724"/>
      <c r="J87" s="724"/>
      <c r="K87" s="725"/>
      <c r="L87" s="725"/>
      <c r="M87" s="725"/>
      <c r="N87" s="725"/>
      <c r="O87" s="725"/>
      <c r="P87" s="725"/>
      <c r="Q87" s="725"/>
      <c r="R87" s="726"/>
      <c r="S87" s="727"/>
      <c r="T87" s="719"/>
      <c r="U87" s="726"/>
      <c r="V87" s="726"/>
      <c r="W87" s="727"/>
      <c r="X87" s="726"/>
      <c r="Y87" s="726"/>
      <c r="Z87" s="726"/>
      <c r="AA87" s="726"/>
      <c r="AB87" s="726"/>
      <c r="AC87" s="563"/>
      <c r="AD87" s="629">
        <f t="shared" si="6"/>
        <v>225</v>
      </c>
      <c r="AE87" s="629">
        <f t="shared" si="7"/>
        <v>225</v>
      </c>
      <c r="AF87" s="634">
        <f t="shared" si="8"/>
        <v>0</v>
      </c>
      <c r="AG87" s="43"/>
    </row>
    <row r="88" spans="1:57">
      <c r="A88" s="555"/>
      <c r="B88" s="719" t="s">
        <v>470</v>
      </c>
      <c r="C88" s="719"/>
      <c r="D88" s="721"/>
      <c r="E88" s="719">
        <v>157</v>
      </c>
      <c r="F88" s="722"/>
      <c r="G88" s="723"/>
      <c r="H88" s="719"/>
      <c r="I88" s="724"/>
      <c r="J88" s="724"/>
      <c r="K88" s="725"/>
      <c r="L88" s="725"/>
      <c r="M88" s="725"/>
      <c r="N88" s="725"/>
      <c r="O88" s="725"/>
      <c r="P88" s="725"/>
      <c r="Q88" s="725"/>
      <c r="R88" s="726"/>
      <c r="S88" s="727"/>
      <c r="T88" s="725"/>
      <c r="U88" s="726"/>
      <c r="V88" s="726"/>
      <c r="W88" s="727"/>
      <c r="X88" s="726"/>
      <c r="Y88" s="726"/>
      <c r="Z88" s="726"/>
      <c r="AA88" s="726"/>
      <c r="AB88" s="719">
        <v>157</v>
      </c>
      <c r="AC88" s="563"/>
      <c r="AD88" s="629">
        <f t="shared" si="6"/>
        <v>157</v>
      </c>
      <c r="AE88" s="629">
        <f t="shared" si="7"/>
        <v>157</v>
      </c>
      <c r="AF88" s="634">
        <f t="shared" si="8"/>
        <v>0</v>
      </c>
      <c r="AG88" s="43"/>
    </row>
    <row r="89" spans="1:57">
      <c r="A89" s="555"/>
      <c r="B89" s="719" t="s">
        <v>471</v>
      </c>
      <c r="C89" s="719"/>
      <c r="D89" s="721"/>
      <c r="E89" s="721">
        <v>55</v>
      </c>
      <c r="F89" s="728"/>
      <c r="G89" s="729"/>
      <c r="H89" s="724"/>
      <c r="I89" s="724"/>
      <c r="J89" s="724"/>
      <c r="K89" s="725"/>
      <c r="L89" s="725"/>
      <c r="M89" s="725"/>
      <c r="N89" s="725"/>
      <c r="O89" s="725"/>
      <c r="P89" s="725"/>
      <c r="Q89" s="725"/>
      <c r="R89" s="725"/>
      <c r="S89" s="725">
        <v>55</v>
      </c>
      <c r="T89" s="725"/>
      <c r="U89" s="725"/>
      <c r="V89" s="725"/>
      <c r="W89" s="725"/>
      <c r="X89" s="725"/>
      <c r="Y89" s="725"/>
      <c r="Z89" s="725"/>
      <c r="AA89" s="725"/>
      <c r="AB89" s="725"/>
      <c r="AC89" s="563"/>
      <c r="AD89" s="629">
        <f t="shared" si="6"/>
        <v>55</v>
      </c>
      <c r="AE89" s="629">
        <f t="shared" si="7"/>
        <v>55</v>
      </c>
      <c r="AF89" s="634">
        <f t="shared" si="8"/>
        <v>0</v>
      </c>
      <c r="AG89" s="43"/>
    </row>
    <row r="90" spans="1:57">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738"/>
      <c r="Y90" s="738"/>
      <c r="Z90" s="738"/>
      <c r="AA90" s="738"/>
      <c r="AB90" s="738"/>
      <c r="AC90" s="563"/>
      <c r="AD90" s="629">
        <f t="shared" si="6"/>
        <v>65</v>
      </c>
      <c r="AE90" s="629">
        <f t="shared" si="7"/>
        <v>65</v>
      </c>
      <c r="AF90" s="634">
        <f t="shared" si="8"/>
        <v>0</v>
      </c>
      <c r="AG90" s="43"/>
    </row>
    <row r="91" spans="1:57">
      <c r="A91" s="555"/>
      <c r="B91" s="605" t="s">
        <v>43</v>
      </c>
      <c r="C91" s="607"/>
      <c r="D91" s="608"/>
      <c r="E91" s="608">
        <v>35</v>
      </c>
      <c r="F91" s="608"/>
      <c r="G91" s="609"/>
      <c r="H91" s="585"/>
      <c r="I91" s="562"/>
      <c r="J91" s="562">
        <v>35</v>
      </c>
      <c r="K91" s="562"/>
      <c r="L91" s="562"/>
      <c r="M91" s="562"/>
      <c r="N91" s="602" t="s">
        <v>241</v>
      </c>
      <c r="O91" s="562"/>
      <c r="P91" s="562"/>
      <c r="Q91" s="562"/>
      <c r="R91" s="562"/>
      <c r="S91" s="562"/>
      <c r="T91" s="562"/>
      <c r="U91" s="562"/>
      <c r="V91" s="562"/>
      <c r="W91" s="562"/>
      <c r="X91" s="562"/>
      <c r="Y91" s="562"/>
      <c r="Z91" s="562"/>
      <c r="AA91" s="562"/>
      <c r="AB91" s="562"/>
      <c r="AC91" s="563"/>
      <c r="AD91" s="629">
        <f t="shared" si="6"/>
        <v>35</v>
      </c>
      <c r="AE91" s="629">
        <f t="shared" si="7"/>
        <v>35</v>
      </c>
      <c r="AF91" s="634">
        <f t="shared" si="8"/>
        <v>0</v>
      </c>
      <c r="AG91" s="43"/>
    </row>
    <row r="92" spans="1:57">
      <c r="A92" s="555"/>
      <c r="B92" s="605" t="s">
        <v>174</v>
      </c>
      <c r="C92" s="607"/>
      <c r="D92" s="739">
        <v>6.8</v>
      </c>
      <c r="E92" s="608"/>
      <c r="F92" s="609"/>
      <c r="G92" s="609"/>
      <c r="H92" s="603"/>
      <c r="I92" s="562"/>
      <c r="J92" s="562"/>
      <c r="K92" s="562"/>
      <c r="L92" s="562"/>
      <c r="M92" s="562"/>
      <c r="N92" s="562"/>
      <c r="O92" s="562"/>
      <c r="P92" s="562"/>
      <c r="Q92" s="562"/>
      <c r="R92" s="562"/>
      <c r="S92" s="562"/>
      <c r="T92" s="562"/>
      <c r="U92" s="562"/>
      <c r="V92" s="740">
        <v>6.8</v>
      </c>
      <c r="W92" s="562"/>
      <c r="X92" s="562"/>
      <c r="Y92" s="562"/>
      <c r="Z92" s="562"/>
      <c r="AA92" s="562"/>
      <c r="AB92" s="562"/>
      <c r="AC92" s="563"/>
      <c r="AD92" s="629">
        <f t="shared" si="6"/>
        <v>6.8</v>
      </c>
      <c r="AE92" s="629">
        <f t="shared" si="7"/>
        <v>6.8</v>
      </c>
      <c r="AF92" s="634">
        <f t="shared" si="8"/>
        <v>0</v>
      </c>
      <c r="AG92" s="43"/>
    </row>
    <row r="93" spans="1:57">
      <c r="A93" s="555"/>
      <c r="B93" s="719" t="s">
        <v>481</v>
      </c>
      <c r="C93" s="719"/>
      <c r="D93" s="747">
        <v>3811.5</v>
      </c>
      <c r="E93" s="721"/>
      <c r="F93" s="609"/>
      <c r="G93" s="609"/>
      <c r="H93" s="603"/>
      <c r="I93" s="562"/>
      <c r="J93" s="562"/>
      <c r="K93" s="562"/>
      <c r="L93" s="562"/>
      <c r="M93" s="562"/>
      <c r="N93" s="562"/>
      <c r="O93" s="562"/>
      <c r="P93" s="562"/>
      <c r="Q93" s="562"/>
      <c r="R93" s="562"/>
      <c r="S93" s="562"/>
      <c r="T93" s="562"/>
      <c r="U93" s="562"/>
      <c r="V93" s="562"/>
      <c r="W93" s="562"/>
      <c r="X93" s="562"/>
      <c r="Y93" s="562">
        <v>3811.5</v>
      </c>
      <c r="Z93" s="562"/>
      <c r="AA93" s="562"/>
      <c r="AB93" s="562"/>
      <c r="AC93" s="563"/>
      <c r="AD93" s="629">
        <f t="shared" si="6"/>
        <v>3811.5</v>
      </c>
      <c r="AE93" s="629">
        <f t="shared" si="7"/>
        <v>3811.5</v>
      </c>
      <c r="AF93" s="634">
        <f t="shared" si="8"/>
        <v>0</v>
      </c>
      <c r="AG93" s="43"/>
    </row>
    <row r="94" spans="1:57">
      <c r="A94" s="555"/>
      <c r="B94" s="605" t="s">
        <v>507</v>
      </c>
      <c r="C94" s="607"/>
      <c r="D94" s="609"/>
      <c r="E94" s="608">
        <v>13</v>
      </c>
      <c r="F94" s="609"/>
      <c r="G94" s="609"/>
      <c r="H94" s="603"/>
      <c r="I94" s="562"/>
      <c r="J94" s="562"/>
      <c r="K94" s="562"/>
      <c r="L94" s="562"/>
      <c r="M94" s="562"/>
      <c r="N94" s="562"/>
      <c r="O94" s="562"/>
      <c r="P94" s="562"/>
      <c r="Q94" s="562"/>
      <c r="R94" s="562"/>
      <c r="S94" s="562"/>
      <c r="T94" s="562"/>
      <c r="U94" s="562"/>
      <c r="V94" s="562"/>
      <c r="W94" s="562"/>
      <c r="X94" s="562"/>
      <c r="Y94" s="562"/>
      <c r="Z94" s="562"/>
      <c r="AA94" s="562"/>
      <c r="AB94" s="562"/>
      <c r="AC94" s="563">
        <v>13</v>
      </c>
      <c r="AD94" s="629">
        <f t="shared" si="6"/>
        <v>13</v>
      </c>
      <c r="AE94" s="629">
        <f t="shared" si="7"/>
        <v>13</v>
      </c>
      <c r="AF94" s="634">
        <f t="shared" si="8"/>
        <v>0</v>
      </c>
      <c r="AG94" s="43"/>
    </row>
    <row r="95" spans="1:57">
      <c r="A95" s="555"/>
      <c r="B95" s="605"/>
      <c r="C95" s="607"/>
      <c r="D95" s="609"/>
      <c r="E95" s="608"/>
      <c r="F95" s="609"/>
      <c r="G95" s="609"/>
      <c r="H95" s="603"/>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6"/>
        <v>0</v>
      </c>
      <c r="AE95" s="629">
        <f t="shared" si="7"/>
        <v>0</v>
      </c>
      <c r="AF95" s="634">
        <f t="shared" si="8"/>
        <v>0</v>
      </c>
      <c r="AG95" s="43"/>
    </row>
    <row r="96" spans="1:57">
      <c r="A96" s="555"/>
      <c r="B96" s="604"/>
      <c r="C96" s="607"/>
      <c r="D96" s="609"/>
      <c r="E96" s="608"/>
      <c r="F96" s="609"/>
      <c r="G96" s="609"/>
      <c r="H96" s="603"/>
      <c r="I96" s="562"/>
      <c r="J96" s="562"/>
      <c r="K96" s="562"/>
      <c r="L96" s="562"/>
      <c r="M96" s="562"/>
      <c r="N96" s="562"/>
      <c r="O96" s="562"/>
      <c r="P96" s="562"/>
      <c r="Q96" s="562"/>
      <c r="R96" s="562"/>
      <c r="S96" s="562"/>
      <c r="T96" s="562"/>
      <c r="U96" s="562"/>
      <c r="V96" s="562"/>
      <c r="W96" s="562"/>
      <c r="X96" s="562"/>
      <c r="Y96" s="562"/>
      <c r="Z96" s="562"/>
      <c r="AA96" s="562"/>
      <c r="AB96" s="562"/>
      <c r="AC96" s="563"/>
      <c r="AD96" s="629">
        <f t="shared" si="6"/>
        <v>0</v>
      </c>
      <c r="AE96" s="629">
        <f t="shared" si="7"/>
        <v>0</v>
      </c>
      <c r="AF96" s="634">
        <f t="shared" si="8"/>
        <v>0</v>
      </c>
      <c r="AG96" s="43"/>
    </row>
    <row r="97" spans="1:33">
      <c r="A97" s="555"/>
      <c r="B97" s="604"/>
      <c r="C97" s="607"/>
      <c r="D97" s="609"/>
      <c r="E97" s="608"/>
      <c r="F97" s="609"/>
      <c r="G97" s="609"/>
      <c r="H97" s="603"/>
      <c r="I97" s="562"/>
      <c r="J97" s="562"/>
      <c r="K97" s="562"/>
      <c r="L97" s="562"/>
      <c r="M97" s="562"/>
      <c r="N97" s="562"/>
      <c r="O97" s="562"/>
      <c r="P97" s="562"/>
      <c r="Q97" s="562"/>
      <c r="R97" s="562"/>
      <c r="S97" s="562"/>
      <c r="T97" s="562"/>
      <c r="U97" s="562"/>
      <c r="V97" s="562"/>
      <c r="W97" s="562"/>
      <c r="X97" s="562"/>
      <c r="Y97" s="562"/>
      <c r="Z97" s="562"/>
      <c r="AA97" s="562"/>
      <c r="AB97" s="562"/>
      <c r="AC97" s="563"/>
      <c r="AD97" s="629">
        <f t="shared" si="6"/>
        <v>0</v>
      </c>
      <c r="AE97" s="629">
        <f t="shared" si="7"/>
        <v>0</v>
      </c>
      <c r="AF97" s="634">
        <f t="shared" si="8"/>
        <v>0</v>
      </c>
      <c r="AG97" s="43"/>
    </row>
    <row r="98" spans="1:33">
      <c r="A98" s="555"/>
      <c r="B98" s="604"/>
      <c r="C98" s="607"/>
      <c r="D98" s="609"/>
      <c r="E98" s="608"/>
      <c r="F98" s="609"/>
      <c r="G98" s="609"/>
      <c r="H98" s="603"/>
      <c r="I98" s="562"/>
      <c r="J98" s="562"/>
      <c r="K98" s="562"/>
      <c r="L98" s="562"/>
      <c r="M98" s="562"/>
      <c r="N98" s="562"/>
      <c r="O98" s="562"/>
      <c r="P98" s="562"/>
      <c r="Q98" s="562"/>
      <c r="R98" s="562"/>
      <c r="S98" s="562"/>
      <c r="T98" s="562"/>
      <c r="U98" s="562"/>
      <c r="V98" s="562"/>
      <c r="W98" s="562"/>
      <c r="X98" s="562"/>
      <c r="Y98" s="562"/>
      <c r="Z98" s="562"/>
      <c r="AA98" s="562"/>
      <c r="AB98" s="562"/>
      <c r="AC98" s="563"/>
      <c r="AD98" s="629">
        <f t="shared" si="6"/>
        <v>0</v>
      </c>
      <c r="AE98" s="629">
        <f t="shared" si="7"/>
        <v>0</v>
      </c>
      <c r="AF98" s="634">
        <f t="shared" si="8"/>
        <v>0</v>
      </c>
      <c r="AG98" s="43"/>
    </row>
    <row r="99" spans="1:33">
      <c r="A99" s="555"/>
      <c r="B99" s="604"/>
      <c r="C99" s="607"/>
      <c r="D99" s="609"/>
      <c r="E99" s="608"/>
      <c r="F99" s="609"/>
      <c r="G99" s="609"/>
      <c r="H99" s="603"/>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6"/>
        <v>0</v>
      </c>
      <c r="AE99" s="629">
        <f t="shared" si="7"/>
        <v>0</v>
      </c>
      <c r="AF99" s="634">
        <f t="shared" si="8"/>
        <v>0</v>
      </c>
      <c r="AG99" s="43"/>
    </row>
    <row r="100" spans="1:33">
      <c r="A100" s="555"/>
      <c r="B100" s="604"/>
      <c r="C100" s="607"/>
      <c r="D100" s="609"/>
      <c r="E100" s="608"/>
      <c r="F100" s="609"/>
      <c r="G100" s="609"/>
      <c r="H100" s="603"/>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6"/>
        <v>0</v>
      </c>
      <c r="AE100" s="629">
        <f t="shared" si="7"/>
        <v>0</v>
      </c>
      <c r="AF100" s="634">
        <f t="shared" si="8"/>
        <v>0</v>
      </c>
      <c r="AG100" s="43"/>
    </row>
    <row r="101" spans="1:33">
      <c r="A101" s="555"/>
      <c r="B101" s="604"/>
      <c r="C101" s="607"/>
      <c r="D101" s="609"/>
      <c r="E101" s="608"/>
      <c r="F101" s="609"/>
      <c r="G101" s="609"/>
      <c r="H101" s="603"/>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6"/>
        <v>0</v>
      </c>
      <c r="AE101" s="629">
        <f t="shared" si="7"/>
        <v>0</v>
      </c>
      <c r="AF101" s="634">
        <f t="shared" si="8"/>
        <v>0</v>
      </c>
      <c r="AG101" s="43"/>
    </row>
    <row r="102" spans="1:33">
      <c r="A102" s="555"/>
      <c r="B102" s="604"/>
      <c r="C102" s="607"/>
      <c r="D102" s="609"/>
      <c r="E102" s="608"/>
      <c r="F102" s="609"/>
      <c r="G102" s="609"/>
      <c r="H102" s="603"/>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6"/>
        <v>0</v>
      </c>
      <c r="AE102" s="629">
        <f t="shared" si="7"/>
        <v>0</v>
      </c>
      <c r="AF102" s="634">
        <f t="shared" si="8"/>
        <v>0</v>
      </c>
      <c r="AG102" s="43"/>
    </row>
    <row r="103" spans="1:33">
      <c r="A103" s="555"/>
      <c r="B103" s="604"/>
      <c r="C103" s="607"/>
      <c r="D103" s="609"/>
      <c r="E103" s="608"/>
      <c r="F103" s="609"/>
      <c r="G103" s="609"/>
      <c r="H103" s="603"/>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6"/>
        <v>0</v>
      </c>
      <c r="AE103" s="629">
        <f t="shared" si="7"/>
        <v>0</v>
      </c>
      <c r="AF103" s="634">
        <f t="shared" si="8"/>
        <v>0</v>
      </c>
      <c r="AG103" s="43"/>
    </row>
    <row r="104" spans="1:33">
      <c r="A104" s="555"/>
      <c r="B104" s="604"/>
      <c r="C104" s="607"/>
      <c r="D104" s="609"/>
      <c r="E104" s="608"/>
      <c r="F104" s="609"/>
      <c r="G104" s="609"/>
      <c r="H104" s="603"/>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6"/>
        <v>0</v>
      </c>
      <c r="AE104" s="629">
        <f t="shared" si="7"/>
        <v>0</v>
      </c>
      <c r="AF104" s="634">
        <f t="shared" si="8"/>
        <v>0</v>
      </c>
      <c r="AG104" s="43"/>
    </row>
    <row r="105" spans="1:33">
      <c r="A105" s="555"/>
      <c r="B105" s="604"/>
      <c r="C105" s="607"/>
      <c r="D105" s="609"/>
      <c r="E105" s="608"/>
      <c r="F105" s="609"/>
      <c r="G105" s="609"/>
      <c r="H105" s="603"/>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6"/>
        <v>0</v>
      </c>
      <c r="AE105" s="629">
        <f t="shared" si="7"/>
        <v>0</v>
      </c>
      <c r="AF105" s="634">
        <f t="shared" si="8"/>
        <v>0</v>
      </c>
      <c r="AG105" s="43"/>
    </row>
    <row r="106" spans="1:33">
      <c r="A106" s="555"/>
      <c r="B106" s="604"/>
      <c r="C106" s="607"/>
      <c r="D106" s="609"/>
      <c r="E106" s="608"/>
      <c r="F106" s="609"/>
      <c r="G106" s="609"/>
      <c r="H106" s="603"/>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6"/>
        <v>0</v>
      </c>
      <c r="AE106" s="629">
        <f t="shared" si="7"/>
        <v>0</v>
      </c>
      <c r="AF106" s="634">
        <f t="shared" si="8"/>
        <v>0</v>
      </c>
      <c r="AG106" s="43"/>
    </row>
    <row r="107" spans="1:33" ht="13.5" thickBot="1">
      <c r="A107" s="555"/>
      <c r="B107" s="604"/>
      <c r="C107" s="607"/>
      <c r="D107" s="609"/>
      <c r="E107" s="608"/>
      <c r="F107" s="609"/>
      <c r="G107" s="609"/>
      <c r="H107" s="603"/>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6"/>
        <v>0</v>
      </c>
      <c r="AE107" s="629">
        <f t="shared" si="7"/>
        <v>0</v>
      </c>
      <c r="AF107" s="634">
        <f t="shared" si="8"/>
        <v>0</v>
      </c>
      <c r="AG107" s="43"/>
    </row>
    <row r="108" spans="1:33" hidden="1">
      <c r="A108" s="555"/>
      <c r="B108" s="604"/>
      <c r="C108" s="607"/>
      <c r="D108" s="609"/>
      <c r="E108" s="608"/>
      <c r="F108" s="609"/>
      <c r="G108" s="609"/>
      <c r="H108" s="603"/>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6"/>
        <v>0</v>
      </c>
      <c r="AE108" s="629">
        <f t="shared" si="7"/>
        <v>0</v>
      </c>
      <c r="AF108" s="634">
        <f t="shared" si="8"/>
        <v>0</v>
      </c>
      <c r="AG108" s="43"/>
    </row>
    <row r="109" spans="1:33" hidden="1">
      <c r="A109" s="555"/>
      <c r="B109" s="604"/>
      <c r="C109" s="607"/>
      <c r="D109" s="609"/>
      <c r="E109" s="608"/>
      <c r="F109" s="609"/>
      <c r="G109" s="609"/>
      <c r="H109" s="603"/>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6"/>
        <v>0</v>
      </c>
      <c r="AE109" s="629">
        <f t="shared" si="7"/>
        <v>0</v>
      </c>
      <c r="AF109" s="634">
        <f t="shared" si="8"/>
        <v>0</v>
      </c>
      <c r="AG109" s="43"/>
    </row>
    <row r="110" spans="1:33" hidden="1">
      <c r="A110" s="555"/>
      <c r="B110" s="604"/>
      <c r="C110" s="607"/>
      <c r="D110" s="609"/>
      <c r="E110" s="608"/>
      <c r="F110" s="609"/>
      <c r="G110" s="609"/>
      <c r="H110" s="603"/>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6"/>
        <v>0</v>
      </c>
      <c r="AE110" s="629">
        <f t="shared" si="7"/>
        <v>0</v>
      </c>
      <c r="AF110" s="634">
        <f t="shared" si="8"/>
        <v>0</v>
      </c>
      <c r="AG110" s="43"/>
    </row>
    <row r="111" spans="1:33" hidden="1">
      <c r="A111" s="555"/>
      <c r="B111" s="604"/>
      <c r="C111" s="607"/>
      <c r="D111" s="609"/>
      <c r="E111" s="608"/>
      <c r="F111" s="609"/>
      <c r="G111" s="609"/>
      <c r="H111" s="603"/>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6"/>
        <v>0</v>
      </c>
      <c r="AE111" s="629">
        <f t="shared" si="7"/>
        <v>0</v>
      </c>
      <c r="AF111" s="634">
        <f t="shared" si="8"/>
        <v>0</v>
      </c>
      <c r="AG111" s="43"/>
    </row>
    <row r="112" spans="1:33" hidden="1">
      <c r="A112" s="555"/>
      <c r="B112" s="604"/>
      <c r="C112" s="607"/>
      <c r="D112" s="609"/>
      <c r="E112" s="608"/>
      <c r="F112" s="609"/>
      <c r="G112" s="609"/>
      <c r="H112" s="603"/>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6"/>
        <v>0</v>
      </c>
      <c r="AE112" s="629">
        <f t="shared" si="7"/>
        <v>0</v>
      </c>
      <c r="AF112" s="634">
        <f t="shared" si="8"/>
        <v>0</v>
      </c>
      <c r="AG112" s="43"/>
    </row>
    <row r="113" spans="1:33" hidden="1">
      <c r="A113" s="555"/>
      <c r="B113" s="604"/>
      <c r="C113" s="607"/>
      <c r="D113" s="609"/>
      <c r="E113" s="608"/>
      <c r="F113" s="609"/>
      <c r="G113" s="609"/>
      <c r="H113" s="603"/>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6"/>
        <v>0</v>
      </c>
      <c r="AE113" s="629">
        <f t="shared" si="7"/>
        <v>0</v>
      </c>
      <c r="AF113" s="634">
        <f t="shared" si="8"/>
        <v>0</v>
      </c>
      <c r="AG113" s="43"/>
    </row>
    <row r="114" spans="1:33" hidden="1">
      <c r="A114" s="555"/>
      <c r="B114" s="604"/>
      <c r="C114" s="607"/>
      <c r="D114" s="609"/>
      <c r="E114" s="608"/>
      <c r="F114" s="609"/>
      <c r="G114" s="609"/>
      <c r="H114" s="603"/>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6"/>
        <v>0</v>
      </c>
      <c r="AE114" s="629">
        <f t="shared" si="7"/>
        <v>0</v>
      </c>
      <c r="AF114" s="634">
        <f t="shared" si="8"/>
        <v>0</v>
      </c>
      <c r="AG114" s="43"/>
    </row>
    <row r="115" spans="1:33" hidden="1">
      <c r="A115" s="555"/>
      <c r="B115" s="604"/>
      <c r="C115" s="607"/>
      <c r="D115" s="609"/>
      <c r="E115" s="608"/>
      <c r="F115" s="609"/>
      <c r="G115" s="609"/>
      <c r="H115" s="603"/>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6"/>
        <v>0</v>
      </c>
      <c r="AE115" s="629">
        <f t="shared" si="7"/>
        <v>0</v>
      </c>
      <c r="AF115" s="634">
        <f t="shared" si="8"/>
        <v>0</v>
      </c>
      <c r="AG115" s="43"/>
    </row>
    <row r="116" spans="1:33" hidden="1">
      <c r="A116" s="555"/>
      <c r="B116" s="604"/>
      <c r="C116" s="607"/>
      <c r="D116" s="609"/>
      <c r="E116" s="608"/>
      <c r="F116" s="609"/>
      <c r="G116" s="609"/>
      <c r="H116" s="603"/>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6"/>
        <v>0</v>
      </c>
      <c r="AE116" s="629">
        <f t="shared" si="7"/>
        <v>0</v>
      </c>
      <c r="AF116" s="634">
        <f t="shared" si="8"/>
        <v>0</v>
      </c>
      <c r="AG116" s="43"/>
    </row>
    <row r="117" spans="1:33" hidden="1">
      <c r="A117" s="555"/>
      <c r="B117" s="604"/>
      <c r="C117" s="607"/>
      <c r="D117" s="609"/>
      <c r="E117" s="608"/>
      <c r="F117" s="609"/>
      <c r="G117" s="609"/>
      <c r="H117" s="603"/>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6"/>
        <v>0</v>
      </c>
      <c r="AE117" s="629">
        <f t="shared" si="7"/>
        <v>0</v>
      </c>
      <c r="AF117" s="634">
        <f t="shared" si="8"/>
        <v>0</v>
      </c>
      <c r="AG117" s="43"/>
    </row>
    <row r="118" spans="1:33" hidden="1">
      <c r="A118" s="555"/>
      <c r="B118" s="604"/>
      <c r="C118" s="607"/>
      <c r="D118" s="609"/>
      <c r="E118" s="608"/>
      <c r="F118" s="609"/>
      <c r="G118" s="609"/>
      <c r="H118" s="603"/>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6"/>
        <v>0</v>
      </c>
      <c r="AE118" s="629">
        <f t="shared" si="7"/>
        <v>0</v>
      </c>
      <c r="AF118" s="634">
        <f t="shared" si="8"/>
        <v>0</v>
      </c>
      <c r="AG118" s="43"/>
    </row>
    <row r="119" spans="1:33" hidden="1">
      <c r="A119" s="555"/>
      <c r="B119" s="604"/>
      <c r="C119" s="607"/>
      <c r="D119" s="609"/>
      <c r="E119" s="608"/>
      <c r="F119" s="609"/>
      <c r="G119" s="609"/>
      <c r="H119" s="603"/>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6"/>
        <v>0</v>
      </c>
      <c r="AE119" s="629">
        <f t="shared" si="7"/>
        <v>0</v>
      </c>
      <c r="AF119" s="634">
        <f t="shared" si="8"/>
        <v>0</v>
      </c>
      <c r="AG119" s="43"/>
    </row>
    <row r="120" spans="1:33" hidden="1">
      <c r="A120" s="555"/>
      <c r="B120" s="604"/>
      <c r="C120" s="607"/>
      <c r="D120" s="609"/>
      <c r="E120" s="608"/>
      <c r="F120" s="609"/>
      <c r="G120" s="609"/>
      <c r="H120" s="603"/>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6"/>
        <v>0</v>
      </c>
      <c r="AE120" s="629">
        <f t="shared" si="7"/>
        <v>0</v>
      </c>
      <c r="AF120" s="634">
        <f t="shared" si="8"/>
        <v>0</v>
      </c>
      <c r="AG120" s="43"/>
    </row>
    <row r="121" spans="1:33" hidden="1">
      <c r="A121" s="555"/>
      <c r="B121" s="604"/>
      <c r="C121" s="607"/>
      <c r="D121" s="609"/>
      <c r="E121" s="608"/>
      <c r="F121" s="609"/>
      <c r="G121" s="609"/>
      <c r="H121" s="603"/>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6"/>
        <v>0</v>
      </c>
      <c r="AE121" s="629">
        <f t="shared" si="7"/>
        <v>0</v>
      </c>
      <c r="AF121" s="634">
        <f t="shared" si="8"/>
        <v>0</v>
      </c>
      <c r="AG121" s="43"/>
    </row>
    <row r="122" spans="1:33" hidden="1">
      <c r="A122" s="555"/>
      <c r="B122" s="604"/>
      <c r="C122" s="607"/>
      <c r="D122" s="609"/>
      <c r="E122" s="608"/>
      <c r="F122" s="609"/>
      <c r="G122" s="609"/>
      <c r="H122" s="603"/>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6"/>
        <v>0</v>
      </c>
      <c r="AE122" s="629">
        <f t="shared" si="7"/>
        <v>0</v>
      </c>
      <c r="AF122" s="634">
        <f t="shared" si="8"/>
        <v>0</v>
      </c>
      <c r="AG122" s="43"/>
    </row>
    <row r="123" spans="1:33" hidden="1">
      <c r="A123" s="555"/>
      <c r="B123" s="604"/>
      <c r="C123" s="607"/>
      <c r="D123" s="609"/>
      <c r="E123" s="608"/>
      <c r="F123" s="609"/>
      <c r="G123" s="609"/>
      <c r="H123" s="603"/>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6"/>
        <v>0</v>
      </c>
      <c r="AE123" s="629">
        <f t="shared" si="7"/>
        <v>0</v>
      </c>
      <c r="AF123" s="634">
        <f t="shared" si="8"/>
        <v>0</v>
      </c>
      <c r="AG123" s="43"/>
    </row>
    <row r="124" spans="1:33" hidden="1">
      <c r="A124" s="555"/>
      <c r="B124" s="604"/>
      <c r="C124" s="607"/>
      <c r="D124" s="609"/>
      <c r="E124" s="608"/>
      <c r="F124" s="609"/>
      <c r="G124" s="609"/>
      <c r="H124" s="603"/>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6"/>
        <v>0</v>
      </c>
      <c r="AE124" s="629">
        <f t="shared" si="7"/>
        <v>0</v>
      </c>
      <c r="AF124" s="634">
        <f t="shared" si="8"/>
        <v>0</v>
      </c>
      <c r="AG124" s="43"/>
    </row>
    <row r="125" spans="1:33" hidden="1">
      <c r="A125" s="555"/>
      <c r="B125" s="604"/>
      <c r="C125" s="607"/>
      <c r="D125" s="609"/>
      <c r="E125" s="608"/>
      <c r="F125" s="609"/>
      <c r="G125" s="609"/>
      <c r="H125" s="603"/>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6"/>
        <v>0</v>
      </c>
      <c r="AE125" s="629">
        <f t="shared" si="7"/>
        <v>0</v>
      </c>
      <c r="AF125" s="634">
        <f t="shared" si="8"/>
        <v>0</v>
      </c>
      <c r="AG125" s="43"/>
    </row>
    <row r="126" spans="1:33" hidden="1">
      <c r="A126" s="555"/>
      <c r="B126" s="604"/>
      <c r="C126" s="607"/>
      <c r="D126" s="609"/>
      <c r="E126" s="608"/>
      <c r="F126" s="609"/>
      <c r="G126" s="609"/>
      <c r="H126" s="603"/>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6"/>
        <v>0</v>
      </c>
      <c r="AE126" s="629">
        <f t="shared" si="7"/>
        <v>0</v>
      </c>
      <c r="AF126" s="634">
        <f t="shared" si="8"/>
        <v>0</v>
      </c>
      <c r="AG126" s="43"/>
    </row>
    <row r="127" spans="1:33" hidden="1">
      <c r="A127" s="555"/>
      <c r="B127" s="604"/>
      <c r="C127" s="607"/>
      <c r="D127" s="609"/>
      <c r="E127" s="608"/>
      <c r="F127" s="609"/>
      <c r="G127" s="609"/>
      <c r="H127" s="603"/>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6"/>
        <v>0</v>
      </c>
      <c r="AE127" s="629">
        <f t="shared" si="7"/>
        <v>0</v>
      </c>
      <c r="AF127" s="634">
        <f t="shared" si="8"/>
        <v>0</v>
      </c>
      <c r="AG127" s="43"/>
    </row>
    <row r="128" spans="1:33" hidden="1">
      <c r="A128" s="555"/>
      <c r="B128" s="604"/>
      <c r="C128" s="607"/>
      <c r="D128" s="609"/>
      <c r="E128" s="608"/>
      <c r="F128" s="609"/>
      <c r="G128" s="609"/>
      <c r="H128" s="603"/>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6"/>
        <v>0</v>
      </c>
      <c r="AE128" s="629">
        <f t="shared" si="7"/>
        <v>0</v>
      </c>
      <c r="AF128" s="634">
        <f t="shared" si="8"/>
        <v>0</v>
      </c>
      <c r="AG128" s="43"/>
    </row>
    <row r="129" spans="1:33" hidden="1">
      <c r="A129" s="555"/>
      <c r="B129" s="604"/>
      <c r="C129" s="607"/>
      <c r="D129" s="609"/>
      <c r="E129" s="608"/>
      <c r="F129" s="609"/>
      <c r="G129" s="609"/>
      <c r="H129" s="603"/>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6"/>
        <v>0</v>
      </c>
      <c r="AE129" s="629">
        <f t="shared" si="7"/>
        <v>0</v>
      </c>
      <c r="AF129" s="634">
        <f t="shared" si="8"/>
        <v>0</v>
      </c>
      <c r="AG129" s="43"/>
    </row>
    <row r="130" spans="1:33" hidden="1">
      <c r="A130" s="555"/>
      <c r="B130" s="604"/>
      <c r="C130" s="607"/>
      <c r="D130" s="609"/>
      <c r="E130" s="608"/>
      <c r="F130" s="609"/>
      <c r="G130" s="609"/>
      <c r="H130" s="603"/>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6"/>
        <v>0</v>
      </c>
      <c r="AE130" s="629">
        <f t="shared" si="7"/>
        <v>0</v>
      </c>
      <c r="AF130" s="634">
        <f t="shared" si="8"/>
        <v>0</v>
      </c>
      <c r="AG130" s="43"/>
    </row>
    <row r="131" spans="1:33" hidden="1">
      <c r="A131" s="555"/>
      <c r="B131" s="604"/>
      <c r="C131" s="607"/>
      <c r="D131" s="609"/>
      <c r="E131" s="608"/>
      <c r="F131" s="609"/>
      <c r="G131" s="609"/>
      <c r="H131" s="603"/>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6"/>
        <v>0</v>
      </c>
      <c r="AE131" s="629">
        <f t="shared" si="7"/>
        <v>0</v>
      </c>
      <c r="AF131" s="634">
        <f t="shared" si="8"/>
        <v>0</v>
      </c>
      <c r="AG131" s="43"/>
    </row>
    <row r="132" spans="1:33" hidden="1">
      <c r="A132" s="555"/>
      <c r="B132" s="604"/>
      <c r="C132" s="607"/>
      <c r="D132" s="609"/>
      <c r="E132" s="608"/>
      <c r="F132" s="609"/>
      <c r="G132" s="609"/>
      <c r="H132" s="603"/>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6"/>
        <v>0</v>
      </c>
      <c r="AE132" s="629">
        <f t="shared" si="7"/>
        <v>0</v>
      </c>
      <c r="AF132" s="634">
        <f t="shared" si="8"/>
        <v>0</v>
      </c>
      <c r="AG132" s="43"/>
    </row>
    <row r="133" spans="1:33" hidden="1">
      <c r="A133" s="555"/>
      <c r="B133" s="604"/>
      <c r="C133" s="607"/>
      <c r="D133" s="609"/>
      <c r="E133" s="608"/>
      <c r="F133" s="609"/>
      <c r="G133" s="609"/>
      <c r="H133" s="603"/>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6"/>
        <v>0</v>
      </c>
      <c r="AE133" s="629">
        <f t="shared" si="7"/>
        <v>0</v>
      </c>
      <c r="AF133" s="634">
        <f t="shared" si="8"/>
        <v>0</v>
      </c>
      <c r="AG133" s="43"/>
    </row>
    <row r="134" spans="1:33" hidden="1">
      <c r="A134" s="555"/>
      <c r="B134" s="604"/>
      <c r="C134" s="607"/>
      <c r="D134" s="609"/>
      <c r="E134" s="608"/>
      <c r="F134" s="609"/>
      <c r="G134" s="609"/>
      <c r="H134" s="603"/>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6"/>
        <v>0</v>
      </c>
      <c r="AE134" s="629">
        <f t="shared" si="7"/>
        <v>0</v>
      </c>
      <c r="AF134" s="634">
        <f t="shared" si="8"/>
        <v>0</v>
      </c>
      <c r="AG134" s="43"/>
    </row>
    <row r="135" spans="1:33" hidden="1">
      <c r="A135" s="555"/>
      <c r="B135" s="604"/>
      <c r="C135" s="607"/>
      <c r="D135" s="609"/>
      <c r="E135" s="608"/>
      <c r="F135" s="609"/>
      <c r="G135" s="609"/>
      <c r="H135" s="603"/>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6"/>
        <v>0</v>
      </c>
      <c r="AE135" s="629">
        <f t="shared" si="7"/>
        <v>0</v>
      </c>
      <c r="AF135" s="634">
        <f t="shared" si="8"/>
        <v>0</v>
      </c>
      <c r="AG135" s="43"/>
    </row>
    <row r="136" spans="1:33" hidden="1">
      <c r="A136" s="555"/>
      <c r="B136" s="604"/>
      <c r="C136" s="607"/>
      <c r="D136" s="609"/>
      <c r="E136" s="608"/>
      <c r="F136" s="609"/>
      <c r="G136" s="609"/>
      <c r="H136" s="603"/>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6"/>
        <v>0</v>
      </c>
      <c r="AE136" s="629">
        <f t="shared" si="7"/>
        <v>0</v>
      </c>
      <c r="AF136" s="634">
        <f t="shared" si="8"/>
        <v>0</v>
      </c>
      <c r="AG136" s="43"/>
    </row>
    <row r="137" spans="1:33" hidden="1">
      <c r="A137" s="555"/>
      <c r="B137" s="604"/>
      <c r="C137" s="607"/>
      <c r="D137" s="609"/>
      <c r="E137" s="608"/>
      <c r="F137" s="609"/>
      <c r="G137" s="609"/>
      <c r="H137" s="603"/>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6"/>
        <v>0</v>
      </c>
      <c r="AE137" s="629">
        <f t="shared" si="7"/>
        <v>0</v>
      </c>
      <c r="AF137" s="634">
        <f t="shared" si="8"/>
        <v>0</v>
      </c>
      <c r="AG137" s="43"/>
    </row>
    <row r="138" spans="1:33" hidden="1">
      <c r="A138" s="555"/>
      <c r="B138" s="604"/>
      <c r="C138" s="607"/>
      <c r="D138" s="609"/>
      <c r="E138" s="608"/>
      <c r="F138" s="609"/>
      <c r="G138" s="609"/>
      <c r="H138" s="603"/>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6"/>
        <v>0</v>
      </c>
      <c r="AE138" s="629">
        <f t="shared" si="7"/>
        <v>0</v>
      </c>
      <c r="AF138" s="634">
        <f t="shared" si="8"/>
        <v>0</v>
      </c>
      <c r="AG138" s="43"/>
    </row>
    <row r="139" spans="1:33" hidden="1">
      <c r="A139" s="555"/>
      <c r="B139" s="604"/>
      <c r="C139" s="607"/>
      <c r="D139" s="609"/>
      <c r="E139" s="608"/>
      <c r="F139" s="609"/>
      <c r="G139" s="609"/>
      <c r="H139" s="603"/>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6"/>
        <v>0</v>
      </c>
      <c r="AE139" s="629">
        <f t="shared" si="7"/>
        <v>0</v>
      </c>
      <c r="AF139" s="634">
        <f t="shared" si="8"/>
        <v>0</v>
      </c>
      <c r="AG139" s="43"/>
    </row>
    <row r="140" spans="1:33" hidden="1">
      <c r="A140" s="555"/>
      <c r="B140" s="604"/>
      <c r="C140" s="607"/>
      <c r="D140" s="609"/>
      <c r="E140" s="608"/>
      <c r="F140" s="609"/>
      <c r="G140" s="609"/>
      <c r="H140" s="603"/>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6"/>
        <v>0</v>
      </c>
      <c r="AE140" s="629">
        <f t="shared" si="7"/>
        <v>0</v>
      </c>
      <c r="AF140" s="634">
        <f t="shared" si="8"/>
        <v>0</v>
      </c>
      <c r="AG140" s="43"/>
    </row>
    <row r="141" spans="1:33" hidden="1">
      <c r="A141" s="555"/>
      <c r="B141" s="604"/>
      <c r="C141" s="607"/>
      <c r="D141" s="609"/>
      <c r="E141" s="608"/>
      <c r="F141" s="609"/>
      <c r="G141" s="609"/>
      <c r="H141" s="603"/>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6"/>
        <v>0</v>
      </c>
      <c r="AE141" s="629">
        <f t="shared" si="7"/>
        <v>0</v>
      </c>
      <c r="AF141" s="634">
        <f t="shared" si="8"/>
        <v>0</v>
      </c>
      <c r="AG141" s="43"/>
    </row>
    <row r="142" spans="1:33" hidden="1">
      <c r="A142" s="555"/>
      <c r="B142" s="604"/>
      <c r="C142" s="607"/>
      <c r="D142" s="609"/>
      <c r="E142" s="608"/>
      <c r="F142" s="609"/>
      <c r="G142" s="609"/>
      <c r="H142" s="603"/>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6"/>
        <v>0</v>
      </c>
      <c r="AE142" s="629">
        <f t="shared" si="7"/>
        <v>0</v>
      </c>
      <c r="AF142" s="634">
        <f t="shared" si="8"/>
        <v>0</v>
      </c>
      <c r="AG142" s="43"/>
    </row>
    <row r="143" spans="1:33" hidden="1">
      <c r="A143" s="555"/>
      <c r="B143" s="604"/>
      <c r="C143" s="607"/>
      <c r="D143" s="609"/>
      <c r="E143" s="608"/>
      <c r="F143" s="609"/>
      <c r="G143" s="609"/>
      <c r="H143" s="603"/>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6"/>
        <v>0</v>
      </c>
      <c r="AE143" s="629">
        <f t="shared" si="7"/>
        <v>0</v>
      </c>
      <c r="AF143" s="634">
        <f t="shared" si="8"/>
        <v>0</v>
      </c>
      <c r="AG143" s="43"/>
    </row>
    <row r="144" spans="1:33" hidden="1">
      <c r="A144" s="555"/>
      <c r="B144" s="604"/>
      <c r="C144" s="607"/>
      <c r="D144" s="609"/>
      <c r="E144" s="608"/>
      <c r="F144" s="609"/>
      <c r="G144" s="609"/>
      <c r="H144" s="603"/>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si="6"/>
        <v>0</v>
      </c>
      <c r="AE144" s="629">
        <f t="shared" si="7"/>
        <v>0</v>
      </c>
      <c r="AF144" s="634">
        <f t="shared" si="8"/>
        <v>0</v>
      </c>
      <c r="AG144" s="43"/>
    </row>
    <row r="145" spans="1:57" hidden="1">
      <c r="A145" s="555"/>
      <c r="B145" s="604"/>
      <c r="C145" s="607"/>
      <c r="D145" s="609"/>
      <c r="E145" s="608"/>
      <c r="F145" s="609"/>
      <c r="G145" s="609"/>
      <c r="H145" s="603"/>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ref="AD145:AD196" si="9">SUM(G145:AC145)</f>
        <v>0</v>
      </c>
      <c r="AE145" s="629">
        <f t="shared" ref="AE145:AE196" si="10">SUM(D145:F145)</f>
        <v>0</v>
      </c>
      <c r="AF145" s="634">
        <f t="shared" ref="AF145:AF196" si="11">AD145-AE145</f>
        <v>0</v>
      </c>
      <c r="AG145" s="43"/>
    </row>
    <row r="146" spans="1:57" hidden="1">
      <c r="A146" s="555"/>
      <c r="B146" s="604"/>
      <c r="C146" s="607"/>
      <c r="D146" s="609"/>
      <c r="E146" s="608"/>
      <c r="F146" s="609"/>
      <c r="G146" s="609"/>
      <c r="H146" s="603"/>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9"/>
        <v>0</v>
      </c>
      <c r="AE146" s="629">
        <f t="shared" si="10"/>
        <v>0</v>
      </c>
      <c r="AF146" s="634">
        <f t="shared" si="11"/>
        <v>0</v>
      </c>
      <c r="AG146" s="43"/>
    </row>
    <row r="147" spans="1:57" hidden="1">
      <c r="A147" s="555"/>
      <c r="B147" s="604"/>
      <c r="C147" s="607"/>
      <c r="D147" s="609"/>
      <c r="E147" s="608"/>
      <c r="F147" s="609"/>
      <c r="G147" s="609"/>
      <c r="H147" s="603"/>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9"/>
        <v>0</v>
      </c>
      <c r="AE147" s="629">
        <f t="shared" si="10"/>
        <v>0</v>
      </c>
      <c r="AF147" s="634">
        <f t="shared" si="11"/>
        <v>0</v>
      </c>
      <c r="AG147" s="43"/>
    </row>
    <row r="148" spans="1:57" hidden="1">
      <c r="A148" s="555"/>
      <c r="B148" s="604"/>
      <c r="C148" s="607"/>
      <c r="D148" s="609"/>
      <c r="E148" s="608"/>
      <c r="F148" s="609"/>
      <c r="G148" s="609"/>
      <c r="H148" s="603"/>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9"/>
        <v>0</v>
      </c>
      <c r="AE148" s="629">
        <f t="shared" si="10"/>
        <v>0</v>
      </c>
      <c r="AF148" s="634">
        <f t="shared" si="11"/>
        <v>0</v>
      </c>
      <c r="AG148" s="43"/>
    </row>
    <row r="149" spans="1:57" hidden="1">
      <c r="A149" s="555"/>
      <c r="B149" s="604"/>
      <c r="C149" s="607"/>
      <c r="D149" s="609"/>
      <c r="E149" s="608"/>
      <c r="F149" s="609"/>
      <c r="G149" s="609"/>
      <c r="H149" s="603"/>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9"/>
        <v>0</v>
      </c>
      <c r="AE149" s="629">
        <f t="shared" si="10"/>
        <v>0</v>
      </c>
      <c r="AF149" s="634">
        <f t="shared" si="11"/>
        <v>0</v>
      </c>
      <c r="AG149" s="43"/>
    </row>
    <row r="150" spans="1:57" hidden="1">
      <c r="A150" s="555"/>
      <c r="B150" s="604"/>
      <c r="C150" s="607"/>
      <c r="D150" s="609"/>
      <c r="E150" s="608"/>
      <c r="F150" s="609"/>
      <c r="G150" s="609"/>
      <c r="H150" s="603"/>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9"/>
        <v>0</v>
      </c>
      <c r="AE150" s="629">
        <f t="shared" si="10"/>
        <v>0</v>
      </c>
      <c r="AF150" s="634">
        <f t="shared" si="11"/>
        <v>0</v>
      </c>
      <c r="AG150" s="43"/>
    </row>
    <row r="151" spans="1:57" hidden="1">
      <c r="A151" s="555"/>
      <c r="B151" s="604"/>
      <c r="C151" s="607"/>
      <c r="D151" s="609"/>
      <c r="E151" s="608"/>
      <c r="F151" s="609"/>
      <c r="G151" s="609"/>
      <c r="H151" s="603"/>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9"/>
        <v>0</v>
      </c>
      <c r="AE151" s="629">
        <f t="shared" si="10"/>
        <v>0</v>
      </c>
      <c r="AF151" s="634">
        <f t="shared" si="11"/>
        <v>0</v>
      </c>
      <c r="AG151" s="43"/>
    </row>
    <row r="152" spans="1:57" hidden="1">
      <c r="A152" s="555"/>
      <c r="B152" s="604"/>
      <c r="C152" s="607"/>
      <c r="D152" s="609"/>
      <c r="E152" s="608"/>
      <c r="F152" s="609"/>
      <c r="G152" s="609"/>
      <c r="H152" s="603"/>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9"/>
        <v>0</v>
      </c>
      <c r="AE152" s="629">
        <f t="shared" si="10"/>
        <v>0</v>
      </c>
      <c r="AF152" s="634">
        <f t="shared" si="11"/>
        <v>0</v>
      </c>
      <c r="AG152" s="43"/>
    </row>
    <row r="153" spans="1:57" hidden="1">
      <c r="A153" s="555"/>
      <c r="B153" s="604"/>
      <c r="C153" s="607"/>
      <c r="D153" s="609"/>
      <c r="E153" s="608"/>
      <c r="F153" s="609"/>
      <c r="G153" s="609"/>
      <c r="H153" s="603"/>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9"/>
        <v>0</v>
      </c>
      <c r="AE153" s="629">
        <f t="shared" si="10"/>
        <v>0</v>
      </c>
      <c r="AF153" s="634">
        <f t="shared" si="11"/>
        <v>0</v>
      </c>
      <c r="AG153" s="43"/>
    </row>
    <row r="154" spans="1:57" hidden="1">
      <c r="A154" s="555"/>
      <c r="B154" s="604"/>
      <c r="C154" s="607"/>
      <c r="D154" s="609"/>
      <c r="E154" s="608"/>
      <c r="F154" s="609"/>
      <c r="G154" s="609"/>
      <c r="H154" s="603"/>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9"/>
        <v>0</v>
      </c>
      <c r="AE154" s="629">
        <f t="shared" si="10"/>
        <v>0</v>
      </c>
      <c r="AF154" s="634">
        <f t="shared" si="11"/>
        <v>0</v>
      </c>
      <c r="AG154" s="43"/>
    </row>
    <row r="155" spans="1:57" hidden="1">
      <c r="A155" s="555"/>
      <c r="B155" s="604"/>
      <c r="C155" s="607"/>
      <c r="D155" s="609"/>
      <c r="E155" s="608"/>
      <c r="F155" s="609"/>
      <c r="G155" s="609"/>
      <c r="H155" s="603"/>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9"/>
        <v>0</v>
      </c>
      <c r="AE155" s="629">
        <f t="shared" si="10"/>
        <v>0</v>
      </c>
      <c r="AF155" s="634">
        <f t="shared" si="11"/>
        <v>0</v>
      </c>
      <c r="AG155" s="43"/>
    </row>
    <row r="156" spans="1:57" hidden="1">
      <c r="A156" s="555"/>
      <c r="B156" s="604"/>
      <c r="C156" s="607"/>
      <c r="D156" s="609"/>
      <c r="E156" s="608"/>
      <c r="F156" s="609"/>
      <c r="G156" s="609"/>
      <c r="H156" s="603"/>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9"/>
        <v>0</v>
      </c>
      <c r="AE156" s="629">
        <f t="shared" si="10"/>
        <v>0</v>
      </c>
      <c r="AF156" s="634">
        <f t="shared" si="11"/>
        <v>0</v>
      </c>
      <c r="AG156" s="43"/>
    </row>
    <row r="157" spans="1:57" hidden="1">
      <c r="A157" s="555"/>
      <c r="B157" s="604"/>
      <c r="C157" s="607"/>
      <c r="D157" s="609"/>
      <c r="E157" s="608"/>
      <c r="F157" s="609"/>
      <c r="G157" s="609"/>
      <c r="H157" s="603"/>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9"/>
        <v>0</v>
      </c>
      <c r="AE157" s="629">
        <f t="shared" si="10"/>
        <v>0</v>
      </c>
      <c r="AF157" s="634">
        <f t="shared" si="11"/>
        <v>0</v>
      </c>
      <c r="AG157" s="43"/>
    </row>
    <row r="158" spans="1:57" hidden="1">
      <c r="A158" s="555"/>
      <c r="B158" s="604"/>
      <c r="C158" s="607"/>
      <c r="D158" s="609"/>
      <c r="E158" s="608"/>
      <c r="F158" s="609"/>
      <c r="G158" s="609"/>
      <c r="H158" s="603"/>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9"/>
        <v>0</v>
      </c>
      <c r="AE158" s="629">
        <f t="shared" si="10"/>
        <v>0</v>
      </c>
      <c r="AF158" s="634">
        <f t="shared" si="11"/>
        <v>0</v>
      </c>
      <c r="AG158" s="43"/>
    </row>
    <row r="159" spans="1:57" hidden="1">
      <c r="A159" s="555"/>
      <c r="B159" s="604"/>
      <c r="C159" s="607"/>
      <c r="D159" s="609"/>
      <c r="E159" s="608"/>
      <c r="F159" s="609"/>
      <c r="G159" s="609"/>
      <c r="H159" s="603"/>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9"/>
        <v>0</v>
      </c>
      <c r="AE159" s="629">
        <f t="shared" si="10"/>
        <v>0</v>
      </c>
      <c r="AF159" s="634">
        <f t="shared" si="11"/>
        <v>0</v>
      </c>
      <c r="AG159" s="43"/>
    </row>
    <row r="160" spans="1:57" hidden="1">
      <c r="A160" s="555"/>
      <c r="B160" s="604"/>
      <c r="C160" s="607"/>
      <c r="D160" s="609"/>
      <c r="E160" s="608"/>
      <c r="F160" s="609"/>
      <c r="G160" s="609"/>
      <c r="H160" s="603"/>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9"/>
        <v>0</v>
      </c>
      <c r="AE160" s="629">
        <f t="shared" si="10"/>
        <v>0</v>
      </c>
      <c r="AF160" s="634">
        <f t="shared" si="11"/>
        <v>0</v>
      </c>
      <c r="AG160" s="43">
        <f t="shared" ref="AG160:AG166" si="12">IF(AF160=0,0,"ERROR HERE")</f>
        <v>0</v>
      </c>
      <c r="AH160" s="7">
        <f t="shared" ref="AH160:AQ166" si="13">IF(OR(ISERROR(+H160/($D160+$E160-$G160)*$G160+H160),LEFT(F160,1)="x"),0,+H160/($D160+$E160-$G160)*$G160+H160)</f>
        <v>0</v>
      </c>
      <c r="AI160" s="7">
        <f t="shared" si="13"/>
        <v>0</v>
      </c>
      <c r="AJ160" s="7">
        <f t="shared" si="13"/>
        <v>0</v>
      </c>
      <c r="AK160" s="7">
        <f t="shared" si="13"/>
        <v>0</v>
      </c>
      <c r="AL160" s="7">
        <f t="shared" si="13"/>
        <v>0</v>
      </c>
      <c r="AM160" s="7">
        <f t="shared" si="13"/>
        <v>0</v>
      </c>
      <c r="AN160" s="7">
        <f t="shared" si="13"/>
        <v>0</v>
      </c>
      <c r="AO160" s="7">
        <f t="shared" si="13"/>
        <v>0</v>
      </c>
      <c r="AP160" s="7">
        <f t="shared" si="13"/>
        <v>0</v>
      </c>
      <c r="AQ160" s="7">
        <f t="shared" si="13"/>
        <v>0</v>
      </c>
      <c r="AR160" s="7">
        <f t="shared" ref="AR160:BA166" si="14">IF(OR(ISERROR(+R160/($D160+$E160-$G160)*$G160+R160),LEFT(P160,1)="x"),0,+R160/($D160+$E160-$G160)*$G160+R160)</f>
        <v>0</v>
      </c>
      <c r="AS160" s="7">
        <f t="shared" si="14"/>
        <v>0</v>
      </c>
      <c r="AT160" s="7">
        <f t="shared" si="14"/>
        <v>0</v>
      </c>
      <c r="AU160" s="7">
        <f t="shared" si="14"/>
        <v>0</v>
      </c>
      <c r="AV160" s="7">
        <f t="shared" si="14"/>
        <v>0</v>
      </c>
      <c r="AW160" s="7">
        <f t="shared" si="14"/>
        <v>0</v>
      </c>
      <c r="AX160" s="7">
        <f t="shared" si="14"/>
        <v>0</v>
      </c>
      <c r="AY160" s="7">
        <f t="shared" si="14"/>
        <v>0</v>
      </c>
      <c r="AZ160" s="7">
        <f t="shared" si="14"/>
        <v>0</v>
      </c>
      <c r="BA160" s="7">
        <f t="shared" si="14"/>
        <v>0</v>
      </c>
      <c r="BB160" s="7">
        <f t="shared" ref="BB160:BB166" si="15">IF(OR(ISERROR(+AB160/($D160+$E160-$G160)*$G160+AB160),LEFT(Z160,1)="x"),0,+AB160/($D160+$E160-$G160)*$G160+AB160)</f>
        <v>0</v>
      </c>
      <c r="BC160" s="7">
        <f>IF(OR(ISERROR(+#REF!/($D160+$E160-$G160)*$G160+#REF!),LEFT(AA160,1)="x"),0,+#REF!/($D160+$E160-$G160)*$G160+#REF!)</f>
        <v>0</v>
      </c>
      <c r="BD160" s="7">
        <f>IF(OR(ISERROR(+#REF!/($D160+$E160-$G160)*$G160+#REF!),LEFT(AB160,1)="x"),0,+#REF!/($D160+$E160-$G160)*$G160+#REF!)</f>
        <v>0</v>
      </c>
      <c r="BE160" s="7" t="e">
        <f>IF(OR(ISERROR(+AC160/($D160+$E160-$G160)*$G160+AC160),LEFT(#REF!,1)="x"),0,+AC160/($D160+$E160-$G160)*$G160+AC160)</f>
        <v>#REF!</v>
      </c>
    </row>
    <row r="161" spans="1:57" hidden="1">
      <c r="A161" s="555"/>
      <c r="B161" s="604"/>
      <c r="C161" s="607"/>
      <c r="D161" s="609"/>
      <c r="E161" s="608"/>
      <c r="F161" s="609"/>
      <c r="G161" s="609"/>
      <c r="H161" s="603"/>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9"/>
        <v>0</v>
      </c>
      <c r="AE161" s="629">
        <f t="shared" si="10"/>
        <v>0</v>
      </c>
      <c r="AF161" s="634">
        <f t="shared" si="11"/>
        <v>0</v>
      </c>
      <c r="AG161" s="43">
        <f t="shared" si="12"/>
        <v>0</v>
      </c>
      <c r="AH161" s="7">
        <f t="shared" si="13"/>
        <v>0</v>
      </c>
      <c r="AI161" s="7">
        <f t="shared" si="13"/>
        <v>0</v>
      </c>
      <c r="AJ161" s="7">
        <f t="shared" si="13"/>
        <v>0</v>
      </c>
      <c r="AK161" s="7">
        <f t="shared" si="13"/>
        <v>0</v>
      </c>
      <c r="AL161" s="7">
        <f t="shared" si="13"/>
        <v>0</v>
      </c>
      <c r="AM161" s="7">
        <f t="shared" si="13"/>
        <v>0</v>
      </c>
      <c r="AN161" s="7">
        <f t="shared" si="13"/>
        <v>0</v>
      </c>
      <c r="AO161" s="7">
        <f t="shared" si="13"/>
        <v>0</v>
      </c>
      <c r="AP161" s="7">
        <f t="shared" si="13"/>
        <v>0</v>
      </c>
      <c r="AQ161" s="7">
        <f t="shared" si="13"/>
        <v>0</v>
      </c>
      <c r="AR161" s="7">
        <f t="shared" si="14"/>
        <v>0</v>
      </c>
      <c r="AS161" s="7">
        <f t="shared" si="14"/>
        <v>0</v>
      </c>
      <c r="AT161" s="7">
        <f t="shared" si="14"/>
        <v>0</v>
      </c>
      <c r="AU161" s="7">
        <f t="shared" si="14"/>
        <v>0</v>
      </c>
      <c r="AV161" s="7">
        <f t="shared" si="14"/>
        <v>0</v>
      </c>
      <c r="AW161" s="7">
        <f t="shared" si="14"/>
        <v>0</v>
      </c>
      <c r="AX161" s="7">
        <f t="shared" si="14"/>
        <v>0</v>
      </c>
      <c r="AY161" s="7">
        <f t="shared" si="14"/>
        <v>0</v>
      </c>
      <c r="AZ161" s="7">
        <f t="shared" si="14"/>
        <v>0</v>
      </c>
      <c r="BA161" s="7">
        <f t="shared" si="14"/>
        <v>0</v>
      </c>
      <c r="BB161" s="7">
        <f t="shared" si="15"/>
        <v>0</v>
      </c>
      <c r="BC161" s="7">
        <f>IF(OR(ISERROR(+#REF!/($D161+$E161-$G161)*$G161+#REF!),LEFT(AA161,1)="x"),0,+#REF!/($D161+$E161-$G161)*$G161+#REF!)</f>
        <v>0</v>
      </c>
      <c r="BD161" s="7">
        <f>IF(OR(ISERROR(+#REF!/($D161+$E161-$G161)*$G161+#REF!),LEFT(AB161,1)="x"),0,+#REF!/($D161+$E161-$G161)*$G161+#REF!)</f>
        <v>0</v>
      </c>
      <c r="BE161" s="7" t="e">
        <f>IF(OR(ISERROR(+AC161/($D161+$E161-$G161)*$G161+AC161),LEFT(#REF!,1)="x"),0,+AC161/($D161+$E161-$G161)*$G161+AC161)</f>
        <v>#REF!</v>
      </c>
    </row>
    <row r="162" spans="1:57" hidden="1">
      <c r="A162" s="555"/>
      <c r="B162" s="604"/>
      <c r="C162" s="607"/>
      <c r="D162" s="609"/>
      <c r="E162" s="608"/>
      <c r="F162" s="609"/>
      <c r="G162" s="609"/>
      <c r="H162" s="603"/>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9"/>
        <v>0</v>
      </c>
      <c r="AE162" s="629">
        <f t="shared" si="10"/>
        <v>0</v>
      </c>
      <c r="AF162" s="634">
        <f t="shared" si="11"/>
        <v>0</v>
      </c>
      <c r="AG162" s="43">
        <f t="shared" si="12"/>
        <v>0</v>
      </c>
      <c r="AH162" s="7">
        <f t="shared" si="13"/>
        <v>0</v>
      </c>
      <c r="AI162" s="7">
        <f t="shared" si="13"/>
        <v>0</v>
      </c>
      <c r="AJ162" s="7">
        <f t="shared" si="13"/>
        <v>0</v>
      </c>
      <c r="AK162" s="7">
        <f t="shared" si="13"/>
        <v>0</v>
      </c>
      <c r="AL162" s="7">
        <f t="shared" si="13"/>
        <v>0</v>
      </c>
      <c r="AM162" s="7">
        <f t="shared" si="13"/>
        <v>0</v>
      </c>
      <c r="AN162" s="7">
        <f t="shared" si="13"/>
        <v>0</v>
      </c>
      <c r="AO162" s="7">
        <f t="shared" si="13"/>
        <v>0</v>
      </c>
      <c r="AP162" s="7">
        <f t="shared" si="13"/>
        <v>0</v>
      </c>
      <c r="AQ162" s="7">
        <f t="shared" si="13"/>
        <v>0</v>
      </c>
      <c r="AR162" s="7">
        <f t="shared" si="14"/>
        <v>0</v>
      </c>
      <c r="AS162" s="7">
        <f t="shared" si="14"/>
        <v>0</v>
      </c>
      <c r="AT162" s="7">
        <f t="shared" si="14"/>
        <v>0</v>
      </c>
      <c r="AU162" s="7">
        <f t="shared" si="14"/>
        <v>0</v>
      </c>
      <c r="AV162" s="7">
        <f t="shared" si="14"/>
        <v>0</v>
      </c>
      <c r="AW162" s="7">
        <f t="shared" si="14"/>
        <v>0</v>
      </c>
      <c r="AX162" s="7">
        <f t="shared" si="14"/>
        <v>0</v>
      </c>
      <c r="AY162" s="7">
        <f t="shared" si="14"/>
        <v>0</v>
      </c>
      <c r="AZ162" s="7">
        <f t="shared" si="14"/>
        <v>0</v>
      </c>
      <c r="BA162" s="7">
        <f t="shared" si="14"/>
        <v>0</v>
      </c>
      <c r="BB162" s="7">
        <f t="shared" si="15"/>
        <v>0</v>
      </c>
      <c r="BC162" s="7">
        <f>IF(OR(ISERROR(+#REF!/($D162+$E162-$G162)*$G162+#REF!),LEFT(AA162,1)="x"),0,+#REF!/($D162+$E162-$G162)*$G162+#REF!)</f>
        <v>0</v>
      </c>
      <c r="BD162" s="7">
        <f>IF(OR(ISERROR(+#REF!/($D162+$E162-$G162)*$G162+#REF!),LEFT(AB162,1)="x"),0,+#REF!/($D162+$E162-$G162)*$G162+#REF!)</f>
        <v>0</v>
      </c>
      <c r="BE162" s="7" t="e">
        <f>IF(OR(ISERROR(+AC162/($D162+$E162-$G162)*$G162+AC162),LEFT(#REF!,1)="x"),0,+AC162/($D162+$E162-$G162)*$G162+AC162)</f>
        <v>#REF!</v>
      </c>
    </row>
    <row r="163" spans="1:57" hidden="1">
      <c r="A163" s="555"/>
      <c r="B163" s="604"/>
      <c r="C163" s="607"/>
      <c r="D163" s="609"/>
      <c r="E163" s="608"/>
      <c r="F163" s="609"/>
      <c r="G163" s="609"/>
      <c r="H163" s="603"/>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9"/>
        <v>0</v>
      </c>
      <c r="AE163" s="629">
        <f t="shared" si="10"/>
        <v>0</v>
      </c>
      <c r="AF163" s="634">
        <f t="shared" si="11"/>
        <v>0</v>
      </c>
      <c r="AG163" s="43">
        <f t="shared" si="12"/>
        <v>0</v>
      </c>
      <c r="AH163" s="7">
        <f t="shared" si="13"/>
        <v>0</v>
      </c>
      <c r="AI163" s="7">
        <f t="shared" si="13"/>
        <v>0</v>
      </c>
      <c r="AJ163" s="7">
        <f t="shared" si="13"/>
        <v>0</v>
      </c>
      <c r="AK163" s="7">
        <f t="shared" si="13"/>
        <v>0</v>
      </c>
      <c r="AL163" s="7">
        <f t="shared" si="13"/>
        <v>0</v>
      </c>
      <c r="AM163" s="7">
        <f t="shared" si="13"/>
        <v>0</v>
      </c>
      <c r="AN163" s="7">
        <f t="shared" si="13"/>
        <v>0</v>
      </c>
      <c r="AO163" s="7">
        <f t="shared" si="13"/>
        <v>0</v>
      </c>
      <c r="AP163" s="7">
        <f t="shared" si="13"/>
        <v>0</v>
      </c>
      <c r="AQ163" s="7">
        <f t="shared" si="13"/>
        <v>0</v>
      </c>
      <c r="AR163" s="7">
        <f t="shared" si="14"/>
        <v>0</v>
      </c>
      <c r="AS163" s="7">
        <f t="shared" si="14"/>
        <v>0</v>
      </c>
      <c r="AT163" s="7">
        <f t="shared" si="14"/>
        <v>0</v>
      </c>
      <c r="AU163" s="7">
        <f t="shared" si="14"/>
        <v>0</v>
      </c>
      <c r="AV163" s="7">
        <f t="shared" si="14"/>
        <v>0</v>
      </c>
      <c r="AW163" s="7">
        <f t="shared" si="14"/>
        <v>0</v>
      </c>
      <c r="AX163" s="7">
        <f t="shared" si="14"/>
        <v>0</v>
      </c>
      <c r="AY163" s="7">
        <f t="shared" si="14"/>
        <v>0</v>
      </c>
      <c r="AZ163" s="7">
        <f t="shared" si="14"/>
        <v>0</v>
      </c>
      <c r="BA163" s="7">
        <f t="shared" si="14"/>
        <v>0</v>
      </c>
      <c r="BB163" s="7">
        <f t="shared" si="15"/>
        <v>0</v>
      </c>
      <c r="BC163" s="7">
        <f>IF(OR(ISERROR(+#REF!/($D163+$E163-$G163)*$G163+#REF!),LEFT(AA163,1)="x"),0,+#REF!/($D163+$E163-$G163)*$G163+#REF!)</f>
        <v>0</v>
      </c>
      <c r="BD163" s="7">
        <f>IF(OR(ISERROR(+#REF!/($D163+$E163-$G163)*$G163+#REF!),LEFT(AB163,1)="x"),0,+#REF!/($D163+$E163-$G163)*$G163+#REF!)</f>
        <v>0</v>
      </c>
      <c r="BE163" s="7" t="e">
        <f>IF(OR(ISERROR(+AC163/($D163+$E163-$G163)*$G163+AC163),LEFT(#REF!,1)="x"),0,+AC163/($D163+$E163-$G163)*$G163+AC163)</f>
        <v>#REF!</v>
      </c>
    </row>
    <row r="164" spans="1:57" hidden="1">
      <c r="A164" s="555"/>
      <c r="B164" s="604"/>
      <c r="C164" s="607"/>
      <c r="D164" s="609"/>
      <c r="E164" s="608"/>
      <c r="F164" s="609"/>
      <c r="G164" s="609"/>
      <c r="H164" s="603"/>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9"/>
        <v>0</v>
      </c>
      <c r="AE164" s="629">
        <f t="shared" si="10"/>
        <v>0</v>
      </c>
      <c r="AF164" s="634">
        <f t="shared" si="11"/>
        <v>0</v>
      </c>
      <c r="AG164" s="43">
        <f t="shared" si="12"/>
        <v>0</v>
      </c>
      <c r="AH164" s="7">
        <f t="shared" si="13"/>
        <v>0</v>
      </c>
      <c r="AI164" s="7">
        <f t="shared" si="13"/>
        <v>0</v>
      </c>
      <c r="AJ164" s="7">
        <f t="shared" si="13"/>
        <v>0</v>
      </c>
      <c r="AK164" s="7">
        <f t="shared" si="13"/>
        <v>0</v>
      </c>
      <c r="AL164" s="7">
        <f t="shared" si="13"/>
        <v>0</v>
      </c>
      <c r="AM164" s="7">
        <f t="shared" si="13"/>
        <v>0</v>
      </c>
      <c r="AN164" s="7">
        <f t="shared" si="13"/>
        <v>0</v>
      </c>
      <c r="AO164" s="7">
        <f t="shared" si="13"/>
        <v>0</v>
      </c>
      <c r="AP164" s="7">
        <f t="shared" si="13"/>
        <v>0</v>
      </c>
      <c r="AQ164" s="7">
        <f t="shared" si="13"/>
        <v>0</v>
      </c>
      <c r="AR164" s="7">
        <f t="shared" si="14"/>
        <v>0</v>
      </c>
      <c r="AS164" s="7">
        <f t="shared" si="14"/>
        <v>0</v>
      </c>
      <c r="AT164" s="7">
        <f t="shared" si="14"/>
        <v>0</v>
      </c>
      <c r="AU164" s="7">
        <f t="shared" si="14"/>
        <v>0</v>
      </c>
      <c r="AV164" s="7">
        <f t="shared" si="14"/>
        <v>0</v>
      </c>
      <c r="AW164" s="7">
        <f t="shared" si="14"/>
        <v>0</v>
      </c>
      <c r="AX164" s="7">
        <f t="shared" si="14"/>
        <v>0</v>
      </c>
      <c r="AY164" s="7">
        <f t="shared" si="14"/>
        <v>0</v>
      </c>
      <c r="AZ164" s="7">
        <f t="shared" si="14"/>
        <v>0</v>
      </c>
      <c r="BA164" s="7">
        <f t="shared" si="14"/>
        <v>0</v>
      </c>
      <c r="BB164" s="7">
        <f t="shared" si="15"/>
        <v>0</v>
      </c>
      <c r="BC164" s="7">
        <f>IF(OR(ISERROR(+#REF!/($D164+$E164-$G164)*$G164+#REF!),LEFT(AA164,1)="x"),0,+#REF!/($D164+$E164-$G164)*$G164+#REF!)</f>
        <v>0</v>
      </c>
      <c r="BD164" s="7">
        <f>IF(OR(ISERROR(+#REF!/($D164+$E164-$G164)*$G164+#REF!),LEFT(AB164,1)="x"),0,+#REF!/($D164+$E164-$G164)*$G164+#REF!)</f>
        <v>0</v>
      </c>
      <c r="BE164" s="7" t="e">
        <f>IF(OR(ISERROR(+AC164/($D164+$E164-$G164)*$G164+AC164),LEFT(#REF!,1)="x"),0,+AC164/($D164+$E164-$G164)*$G164+AC164)</f>
        <v>#REF!</v>
      </c>
    </row>
    <row r="165" spans="1:57" hidden="1">
      <c r="A165" s="555"/>
      <c r="B165" s="604"/>
      <c r="C165" s="607"/>
      <c r="D165" s="609"/>
      <c r="E165" s="608"/>
      <c r="F165" s="609"/>
      <c r="G165" s="609"/>
      <c r="H165" s="603"/>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9"/>
        <v>0</v>
      </c>
      <c r="AE165" s="629">
        <f t="shared" si="10"/>
        <v>0</v>
      </c>
      <c r="AF165" s="634">
        <f t="shared" si="11"/>
        <v>0</v>
      </c>
      <c r="AG165" s="43">
        <f t="shared" si="12"/>
        <v>0</v>
      </c>
      <c r="AH165" s="7">
        <f t="shared" si="13"/>
        <v>0</v>
      </c>
      <c r="AI165" s="7">
        <f t="shared" si="13"/>
        <v>0</v>
      </c>
      <c r="AJ165" s="7">
        <f t="shared" si="13"/>
        <v>0</v>
      </c>
      <c r="AK165" s="7">
        <f t="shared" si="13"/>
        <v>0</v>
      </c>
      <c r="AL165" s="7">
        <f t="shared" si="13"/>
        <v>0</v>
      </c>
      <c r="AM165" s="7">
        <f t="shared" si="13"/>
        <v>0</v>
      </c>
      <c r="AN165" s="7">
        <f t="shared" si="13"/>
        <v>0</v>
      </c>
      <c r="AO165" s="7">
        <f t="shared" si="13"/>
        <v>0</v>
      </c>
      <c r="AP165" s="7">
        <f t="shared" si="13"/>
        <v>0</v>
      </c>
      <c r="AQ165" s="7">
        <f t="shared" si="13"/>
        <v>0</v>
      </c>
      <c r="AR165" s="7">
        <f t="shared" si="14"/>
        <v>0</v>
      </c>
      <c r="AS165" s="7">
        <f t="shared" si="14"/>
        <v>0</v>
      </c>
      <c r="AT165" s="7">
        <f t="shared" si="14"/>
        <v>0</v>
      </c>
      <c r="AU165" s="7">
        <f t="shared" si="14"/>
        <v>0</v>
      </c>
      <c r="AV165" s="7">
        <f t="shared" si="14"/>
        <v>0</v>
      </c>
      <c r="AW165" s="7">
        <f t="shared" si="14"/>
        <v>0</v>
      </c>
      <c r="AX165" s="7">
        <f t="shared" si="14"/>
        <v>0</v>
      </c>
      <c r="AY165" s="7">
        <f t="shared" si="14"/>
        <v>0</v>
      </c>
      <c r="AZ165" s="7">
        <f t="shared" si="14"/>
        <v>0</v>
      </c>
      <c r="BA165" s="7">
        <f t="shared" si="14"/>
        <v>0</v>
      </c>
      <c r="BB165" s="7">
        <f t="shared" si="15"/>
        <v>0</v>
      </c>
      <c r="BC165" s="7">
        <f>IF(OR(ISERROR(+#REF!/($D165+$E165-$G165)*$G165+#REF!),LEFT(AA165,1)="x"),0,+#REF!/($D165+$E165-$G165)*$G165+#REF!)</f>
        <v>0</v>
      </c>
      <c r="BD165" s="7">
        <f>IF(OR(ISERROR(+#REF!/($D165+$E165-$G165)*$G165+#REF!),LEFT(AB165,1)="x"),0,+#REF!/($D165+$E165-$G165)*$G165+#REF!)</f>
        <v>0</v>
      </c>
      <c r="BE165" s="7" t="e">
        <f>IF(OR(ISERROR(+AC165/($D165+$E165-$G165)*$G165+AC165),LEFT(#REF!,1)="x"),0,+AC165/($D165+$E165-$G165)*$G165+AC165)</f>
        <v>#REF!</v>
      </c>
    </row>
    <row r="166" spans="1:57" hidden="1">
      <c r="A166" s="555"/>
      <c r="B166" s="604"/>
      <c r="C166" s="607"/>
      <c r="D166" s="609"/>
      <c r="E166" s="608"/>
      <c r="F166" s="609"/>
      <c r="G166" s="609"/>
      <c r="H166" s="603"/>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9"/>
        <v>0</v>
      </c>
      <c r="AE166" s="629">
        <f t="shared" si="10"/>
        <v>0</v>
      </c>
      <c r="AF166" s="634">
        <f t="shared" si="11"/>
        <v>0</v>
      </c>
      <c r="AG166" s="43">
        <f t="shared" si="12"/>
        <v>0</v>
      </c>
      <c r="AH166" s="7">
        <f t="shared" si="13"/>
        <v>0</v>
      </c>
      <c r="AI166" s="7">
        <f t="shared" si="13"/>
        <v>0</v>
      </c>
      <c r="AJ166" s="7">
        <f t="shared" si="13"/>
        <v>0</v>
      </c>
      <c r="AK166" s="7">
        <f t="shared" si="13"/>
        <v>0</v>
      </c>
      <c r="AL166" s="7">
        <f t="shared" si="13"/>
        <v>0</v>
      </c>
      <c r="AM166" s="7">
        <f t="shared" si="13"/>
        <v>0</v>
      </c>
      <c r="AN166" s="7">
        <f t="shared" si="13"/>
        <v>0</v>
      </c>
      <c r="AO166" s="7">
        <f t="shared" si="13"/>
        <v>0</v>
      </c>
      <c r="AP166" s="7">
        <f t="shared" si="13"/>
        <v>0</v>
      </c>
      <c r="AQ166" s="7">
        <f t="shared" si="13"/>
        <v>0</v>
      </c>
      <c r="AR166" s="7">
        <f t="shared" si="14"/>
        <v>0</v>
      </c>
      <c r="AS166" s="7">
        <f t="shared" si="14"/>
        <v>0</v>
      </c>
      <c r="AT166" s="7">
        <f t="shared" si="14"/>
        <v>0</v>
      </c>
      <c r="AU166" s="7">
        <f t="shared" si="14"/>
        <v>0</v>
      </c>
      <c r="AV166" s="7">
        <f t="shared" si="14"/>
        <v>0</v>
      </c>
      <c r="AW166" s="7">
        <f t="shared" si="14"/>
        <v>0</v>
      </c>
      <c r="AX166" s="7">
        <f t="shared" si="14"/>
        <v>0</v>
      </c>
      <c r="AY166" s="7">
        <f t="shared" si="14"/>
        <v>0</v>
      </c>
      <c r="AZ166" s="7">
        <f t="shared" si="14"/>
        <v>0</v>
      </c>
      <c r="BA166" s="7">
        <f t="shared" si="14"/>
        <v>0</v>
      </c>
      <c r="BB166" s="7">
        <f t="shared" si="15"/>
        <v>0</v>
      </c>
      <c r="BC166" s="7">
        <f>IF(OR(ISERROR(+#REF!/($D166+$E166-$G166)*$G166+#REF!),LEFT(AA166,1)="x"),0,+#REF!/($D166+$E166-$G166)*$G166+#REF!)</f>
        <v>0</v>
      </c>
      <c r="BD166" s="7">
        <f>IF(OR(ISERROR(+#REF!/($D166+$E166-$G166)*$G166+#REF!),LEFT(AB166,1)="x"),0,+#REF!/($D166+$E166-$G166)*$G166+#REF!)</f>
        <v>0</v>
      </c>
      <c r="BE166" s="7" t="e">
        <f>IF(OR(ISERROR(+AC166/($D166+$E166-$G166)*$G166+AC166),LEFT(#REF!,1)="x"),0,+AC166/($D166+$E166-$G166)*$G166+AC166)</f>
        <v>#REF!</v>
      </c>
    </row>
    <row r="167" spans="1:57" hidden="1">
      <c r="A167" s="555"/>
      <c r="B167" s="604"/>
      <c r="C167" s="607"/>
      <c r="D167" s="609"/>
      <c r="E167" s="608"/>
      <c r="F167" s="609"/>
      <c r="G167" s="609"/>
      <c r="H167" s="603"/>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9"/>
        <v>0</v>
      </c>
      <c r="AE167" s="629">
        <f t="shared" si="10"/>
        <v>0</v>
      </c>
      <c r="AF167" s="634">
        <f t="shared" si="11"/>
        <v>0</v>
      </c>
      <c r="AG167" s="43"/>
    </row>
    <row r="168" spans="1:57" hidden="1">
      <c r="A168" s="555"/>
      <c r="B168" s="604"/>
      <c r="C168" s="607"/>
      <c r="D168" s="609"/>
      <c r="E168" s="608"/>
      <c r="F168" s="609"/>
      <c r="G168" s="609"/>
      <c r="H168" s="603"/>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9"/>
        <v>0</v>
      </c>
      <c r="AE168" s="629">
        <f t="shared" si="10"/>
        <v>0</v>
      </c>
      <c r="AF168" s="634">
        <f t="shared" si="11"/>
        <v>0</v>
      </c>
      <c r="AG168" s="43"/>
    </row>
    <row r="169" spans="1:57" hidden="1">
      <c r="A169" s="555"/>
      <c r="B169" s="604"/>
      <c r="C169" s="607"/>
      <c r="D169" s="609"/>
      <c r="E169" s="608"/>
      <c r="F169" s="609"/>
      <c r="G169" s="609"/>
      <c r="H169" s="603"/>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9"/>
        <v>0</v>
      </c>
      <c r="AE169" s="629">
        <f t="shared" si="10"/>
        <v>0</v>
      </c>
      <c r="AF169" s="634">
        <f t="shared" si="11"/>
        <v>0</v>
      </c>
      <c r="AG169" s="43"/>
    </row>
    <row r="170" spans="1:57" hidden="1">
      <c r="A170" s="555"/>
      <c r="B170" s="604"/>
      <c r="C170" s="607"/>
      <c r="D170" s="609"/>
      <c r="E170" s="608"/>
      <c r="F170" s="609"/>
      <c r="G170" s="609"/>
      <c r="H170" s="603"/>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9"/>
        <v>0</v>
      </c>
      <c r="AE170" s="629">
        <f t="shared" si="10"/>
        <v>0</v>
      </c>
      <c r="AF170" s="634">
        <f t="shared" si="11"/>
        <v>0</v>
      </c>
      <c r="AG170" s="43"/>
    </row>
    <row r="171" spans="1:57" hidden="1">
      <c r="A171" s="555"/>
      <c r="B171" s="604"/>
      <c r="C171" s="607"/>
      <c r="D171" s="609"/>
      <c r="E171" s="608"/>
      <c r="F171" s="609"/>
      <c r="G171" s="609"/>
      <c r="H171" s="603"/>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9"/>
        <v>0</v>
      </c>
      <c r="AE171" s="629">
        <f t="shared" si="10"/>
        <v>0</v>
      </c>
      <c r="AF171" s="634">
        <f t="shared" si="11"/>
        <v>0</v>
      </c>
      <c r="AG171" s="43"/>
    </row>
    <row r="172" spans="1:57" hidden="1">
      <c r="A172" s="555"/>
      <c r="B172" s="604"/>
      <c r="C172" s="607"/>
      <c r="D172" s="609"/>
      <c r="E172" s="608"/>
      <c r="F172" s="609"/>
      <c r="G172" s="609"/>
      <c r="H172" s="603"/>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9"/>
        <v>0</v>
      </c>
      <c r="AE172" s="629">
        <f t="shared" si="10"/>
        <v>0</v>
      </c>
      <c r="AF172" s="634">
        <f t="shared" si="11"/>
        <v>0</v>
      </c>
      <c r="AG172" s="43"/>
    </row>
    <row r="173" spans="1:57" hidden="1">
      <c r="A173" s="555"/>
      <c r="B173" s="604"/>
      <c r="C173" s="607"/>
      <c r="D173" s="609"/>
      <c r="E173" s="608"/>
      <c r="F173" s="609"/>
      <c r="G173" s="609"/>
      <c r="H173" s="603"/>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9"/>
        <v>0</v>
      </c>
      <c r="AE173" s="629">
        <f t="shared" si="10"/>
        <v>0</v>
      </c>
      <c r="AF173" s="634">
        <f t="shared" si="11"/>
        <v>0</v>
      </c>
      <c r="AG173" s="43"/>
    </row>
    <row r="174" spans="1:57" hidden="1">
      <c r="A174" s="555"/>
      <c r="B174" s="604"/>
      <c r="C174" s="607"/>
      <c r="D174" s="609"/>
      <c r="E174" s="608"/>
      <c r="F174" s="609"/>
      <c r="G174" s="609"/>
      <c r="H174" s="603"/>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9"/>
        <v>0</v>
      </c>
      <c r="AE174" s="629">
        <f t="shared" si="10"/>
        <v>0</v>
      </c>
      <c r="AF174" s="634">
        <f t="shared" si="11"/>
        <v>0</v>
      </c>
      <c r="AG174" s="43"/>
    </row>
    <row r="175" spans="1:57" hidden="1">
      <c r="A175" s="555"/>
      <c r="B175" s="604"/>
      <c r="C175" s="607"/>
      <c r="D175" s="609"/>
      <c r="E175" s="608"/>
      <c r="F175" s="609"/>
      <c r="G175" s="609"/>
      <c r="H175" s="603"/>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9"/>
        <v>0</v>
      </c>
      <c r="AE175" s="629">
        <f t="shared" si="10"/>
        <v>0</v>
      </c>
      <c r="AF175" s="634">
        <f t="shared" si="11"/>
        <v>0</v>
      </c>
      <c r="AG175" s="43"/>
    </row>
    <row r="176" spans="1:57" hidden="1">
      <c r="A176" s="555"/>
      <c r="B176" s="604"/>
      <c r="C176" s="607"/>
      <c r="D176" s="609"/>
      <c r="E176" s="608"/>
      <c r="F176" s="609"/>
      <c r="G176" s="609"/>
      <c r="H176" s="603"/>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9"/>
        <v>0</v>
      </c>
      <c r="AE176" s="629">
        <f t="shared" si="10"/>
        <v>0</v>
      </c>
      <c r="AF176" s="634">
        <f t="shared" si="11"/>
        <v>0</v>
      </c>
      <c r="AG176" s="43"/>
    </row>
    <row r="177" spans="1:57" hidden="1">
      <c r="A177" s="555"/>
      <c r="B177" s="604"/>
      <c r="C177" s="607"/>
      <c r="D177" s="609"/>
      <c r="E177" s="608"/>
      <c r="F177" s="609"/>
      <c r="G177" s="609"/>
      <c r="H177" s="603"/>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9"/>
        <v>0</v>
      </c>
      <c r="AE177" s="629">
        <f t="shared" si="10"/>
        <v>0</v>
      </c>
      <c r="AF177" s="634">
        <f t="shared" si="11"/>
        <v>0</v>
      </c>
      <c r="AG177" s="43"/>
    </row>
    <row r="178" spans="1:57" hidden="1">
      <c r="A178" s="555"/>
      <c r="B178" s="604"/>
      <c r="C178" s="607"/>
      <c r="D178" s="609"/>
      <c r="E178" s="608"/>
      <c r="F178" s="609"/>
      <c r="G178" s="609"/>
      <c r="H178" s="603"/>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9"/>
        <v>0</v>
      </c>
      <c r="AE178" s="629">
        <f t="shared" si="10"/>
        <v>0</v>
      </c>
      <c r="AF178" s="634">
        <f t="shared" si="11"/>
        <v>0</v>
      </c>
      <c r="AG178" s="43"/>
    </row>
    <row r="179" spans="1:57" hidden="1">
      <c r="A179" s="555"/>
      <c r="B179" s="604"/>
      <c r="C179" s="607"/>
      <c r="D179" s="609"/>
      <c r="E179" s="608"/>
      <c r="F179" s="609"/>
      <c r="G179" s="609"/>
      <c r="H179" s="603"/>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9"/>
        <v>0</v>
      </c>
      <c r="AE179" s="629">
        <f t="shared" si="10"/>
        <v>0</v>
      </c>
      <c r="AF179" s="634">
        <f t="shared" si="11"/>
        <v>0</v>
      </c>
      <c r="AG179" s="43"/>
    </row>
    <row r="180" spans="1:57" hidden="1">
      <c r="A180" s="555"/>
      <c r="B180" s="604"/>
      <c r="C180" s="607"/>
      <c r="D180" s="609"/>
      <c r="E180" s="608"/>
      <c r="F180" s="609"/>
      <c r="G180" s="609"/>
      <c r="H180" s="603"/>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9"/>
        <v>0</v>
      </c>
      <c r="AE180" s="629">
        <f t="shared" si="10"/>
        <v>0</v>
      </c>
      <c r="AF180" s="634">
        <f t="shared" si="11"/>
        <v>0</v>
      </c>
      <c r="AG180" s="43">
        <f t="shared" ref="AG180:AG196" si="16">IF(AF180=0,0,"ERROR HERE")</f>
        <v>0</v>
      </c>
      <c r="AH180" s="7">
        <f t="shared" ref="AH180:AQ181" si="17">IF(OR(ISERROR(+H180/($D180+$E180-$G180)*$G180+H180),LEFT(F180,1)="x"),0,+H180/($D180+$E180-$G180)*$G180+H180)</f>
        <v>0</v>
      </c>
      <c r="AI180" s="7">
        <f t="shared" si="17"/>
        <v>0</v>
      </c>
      <c r="AJ180" s="7">
        <f t="shared" si="17"/>
        <v>0</v>
      </c>
      <c r="AK180" s="7">
        <f t="shared" si="17"/>
        <v>0</v>
      </c>
      <c r="AL180" s="7">
        <f t="shared" si="17"/>
        <v>0</v>
      </c>
      <c r="AM180" s="7">
        <f t="shared" si="17"/>
        <v>0</v>
      </c>
      <c r="AN180" s="7">
        <f t="shared" si="17"/>
        <v>0</v>
      </c>
      <c r="AO180" s="7">
        <f t="shared" si="17"/>
        <v>0</v>
      </c>
      <c r="AP180" s="7">
        <f t="shared" si="17"/>
        <v>0</v>
      </c>
      <c r="AQ180" s="7">
        <f t="shared" si="17"/>
        <v>0</v>
      </c>
      <c r="AR180" s="7">
        <f t="shared" ref="AR180:BA181" si="18">IF(OR(ISERROR(+R180/($D180+$E180-$G180)*$G180+R180),LEFT(P180,1)="x"),0,+R180/($D180+$E180-$G180)*$G180+R180)</f>
        <v>0</v>
      </c>
      <c r="AS180" s="7">
        <f t="shared" si="18"/>
        <v>0</v>
      </c>
      <c r="AT180" s="7">
        <f t="shared" si="18"/>
        <v>0</v>
      </c>
      <c r="AU180" s="7">
        <f t="shared" si="18"/>
        <v>0</v>
      </c>
      <c r="AV180" s="7">
        <f t="shared" si="18"/>
        <v>0</v>
      </c>
      <c r="AW180" s="7">
        <f t="shared" si="18"/>
        <v>0</v>
      </c>
      <c r="AX180" s="7">
        <f t="shared" si="18"/>
        <v>0</v>
      </c>
      <c r="AY180" s="7">
        <f t="shared" si="18"/>
        <v>0</v>
      </c>
      <c r="AZ180" s="7">
        <f t="shared" si="18"/>
        <v>0</v>
      </c>
      <c r="BA180" s="7">
        <f t="shared" si="18"/>
        <v>0</v>
      </c>
      <c r="BB180" s="7">
        <f>IF(OR(ISERROR(+AB180/($D180+$E180-$G180)*$G180+AB180),LEFT(Z180,1)="x"),0,+AB180/($D180+$E180-$G180)*$G180+AB180)</f>
        <v>0</v>
      </c>
      <c r="BC180" s="7">
        <f>IF(OR(ISERROR(+#REF!/($D180+$E180-$G180)*$G180+#REF!),LEFT(AA180,1)="x"),0,+#REF!/($D180+$E180-$G180)*$G180+#REF!)</f>
        <v>0</v>
      </c>
      <c r="BD180" s="7">
        <f>IF(OR(ISERROR(+#REF!/($D180+$E180-$G180)*$G180+#REF!),LEFT(AB180,1)="x"),0,+#REF!/($D180+$E180-$G180)*$G180+#REF!)</f>
        <v>0</v>
      </c>
      <c r="BE180" s="7" t="e">
        <f>IF(OR(ISERROR(+AC180/($D180+$E180-$G180)*$G180+AC180),LEFT(#REF!,1)="x"),0,+AC180/($D180+$E180-$G180)*$G180+AC180)</f>
        <v>#REF!</v>
      </c>
    </row>
    <row r="181" spans="1:57" hidden="1">
      <c r="A181" s="555"/>
      <c r="B181" s="604"/>
      <c r="C181" s="607"/>
      <c r="D181" s="609"/>
      <c r="E181" s="608"/>
      <c r="F181" s="609"/>
      <c r="G181" s="609"/>
      <c r="H181" s="603"/>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9"/>
        <v>0</v>
      </c>
      <c r="AE181" s="629">
        <f t="shared" si="10"/>
        <v>0</v>
      </c>
      <c r="AF181" s="634">
        <f t="shared" si="11"/>
        <v>0</v>
      </c>
      <c r="AG181" s="43">
        <f t="shared" si="16"/>
        <v>0</v>
      </c>
      <c r="AH181" s="7">
        <f t="shared" si="17"/>
        <v>0</v>
      </c>
      <c r="AI181" s="7">
        <f t="shared" si="17"/>
        <v>0</v>
      </c>
      <c r="AJ181" s="7">
        <f t="shared" si="17"/>
        <v>0</v>
      </c>
      <c r="AK181" s="7">
        <f t="shared" si="17"/>
        <v>0</v>
      </c>
      <c r="AL181" s="7">
        <f t="shared" si="17"/>
        <v>0</v>
      </c>
      <c r="AM181" s="7">
        <f t="shared" si="17"/>
        <v>0</v>
      </c>
      <c r="AN181" s="7">
        <f t="shared" si="17"/>
        <v>0</v>
      </c>
      <c r="AO181" s="7">
        <f t="shared" si="17"/>
        <v>0</v>
      </c>
      <c r="AP181" s="7">
        <f t="shared" si="17"/>
        <v>0</v>
      </c>
      <c r="AQ181" s="7">
        <f t="shared" si="17"/>
        <v>0</v>
      </c>
      <c r="AR181" s="7">
        <f t="shared" si="18"/>
        <v>0</v>
      </c>
      <c r="AS181" s="7">
        <f t="shared" si="18"/>
        <v>0</v>
      </c>
      <c r="AT181" s="7">
        <f t="shared" si="18"/>
        <v>0</v>
      </c>
      <c r="AU181" s="7">
        <f t="shared" si="18"/>
        <v>0</v>
      </c>
      <c r="AV181" s="7">
        <f t="shared" si="18"/>
        <v>0</v>
      </c>
      <c r="AW181" s="7">
        <f t="shared" si="18"/>
        <v>0</v>
      </c>
      <c r="AX181" s="7">
        <f t="shared" si="18"/>
        <v>0</v>
      </c>
      <c r="AY181" s="7">
        <f t="shared" si="18"/>
        <v>0</v>
      </c>
      <c r="AZ181" s="7">
        <f t="shared" si="18"/>
        <v>0</v>
      </c>
      <c r="BA181" s="7">
        <f t="shared" si="18"/>
        <v>0</v>
      </c>
      <c r="BB181" s="7">
        <f>IF(OR(ISERROR(+AB181/($D181+$E181-$G181)*$G181+AB181),LEFT(Z181,1)="x"),0,+AB181/($D181+$E181-$G181)*$G181+AB181)</f>
        <v>0</v>
      </c>
      <c r="BC181" s="7">
        <f>IF(OR(ISERROR(+#REF!/($D181+$E181-$G181)*$G181+#REF!),LEFT(AA181,1)="x"),0,+#REF!/($D181+$E181-$G181)*$G181+#REF!)</f>
        <v>0</v>
      </c>
      <c r="BD181" s="7">
        <f>IF(OR(ISERROR(+#REF!/($D181+$E181-$G181)*$G181+#REF!),LEFT(AB181,1)="x"),0,+#REF!/($D181+$E181-$G181)*$G181+#REF!)</f>
        <v>0</v>
      </c>
      <c r="BE181" s="7" t="e">
        <f>IF(OR(ISERROR(+AC181/($D181+$E181-$G181)*$G181+AC181),LEFT(#REF!,1)="x"),0,+AC181/($D181+$E181-$G181)*$G181+AC181)</f>
        <v>#REF!</v>
      </c>
    </row>
    <row r="182" spans="1:57" hidden="1">
      <c r="A182" s="555"/>
      <c r="B182" s="604"/>
      <c r="C182" s="607"/>
      <c r="D182" s="609"/>
      <c r="E182" s="608"/>
      <c r="F182" s="609"/>
      <c r="G182" s="609"/>
      <c r="H182" s="585"/>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9"/>
        <v>0</v>
      </c>
      <c r="AE182" s="629">
        <f t="shared" si="10"/>
        <v>0</v>
      </c>
      <c r="AF182" s="634">
        <f t="shared" si="11"/>
        <v>0</v>
      </c>
      <c r="AG182" s="43">
        <f t="shared" si="16"/>
        <v>0</v>
      </c>
      <c r="AH182" s="7">
        <f t="shared" ref="AH182:AV182" si="19">IF(OR(ISERROR(+H182/($D182+$E182-$G182)*$G182+H182),LEFT(F182,1)="x"),0,+H182/($D182+$E182-$G182)*$G182+H182)</f>
        <v>0</v>
      </c>
      <c r="AI182" s="7">
        <f t="shared" si="19"/>
        <v>0</v>
      </c>
      <c r="AJ182" s="7">
        <f t="shared" si="19"/>
        <v>0</v>
      </c>
      <c r="AK182" s="7">
        <f t="shared" si="19"/>
        <v>0</v>
      </c>
      <c r="AL182" s="7">
        <f t="shared" si="19"/>
        <v>0</v>
      </c>
      <c r="AM182" s="7">
        <f t="shared" si="19"/>
        <v>0</v>
      </c>
      <c r="AN182" s="7">
        <f t="shared" si="19"/>
        <v>0</v>
      </c>
      <c r="AO182" s="7">
        <f t="shared" si="19"/>
        <v>0</v>
      </c>
      <c r="AP182" s="7">
        <f t="shared" si="19"/>
        <v>0</v>
      </c>
      <c r="AQ182" s="7">
        <f t="shared" si="19"/>
        <v>0</v>
      </c>
      <c r="AR182" s="7">
        <f t="shared" si="19"/>
        <v>0</v>
      </c>
      <c r="AS182" s="7">
        <f t="shared" si="19"/>
        <v>0</v>
      </c>
      <c r="AT182" s="7">
        <f t="shared" si="19"/>
        <v>0</v>
      </c>
      <c r="AU182" s="7">
        <f t="shared" si="19"/>
        <v>0</v>
      </c>
      <c r="AV182" s="7">
        <f t="shared" si="19"/>
        <v>0</v>
      </c>
      <c r="AW182" s="7">
        <f t="shared" ref="AW182:AW201" si="20">IF(OR(ISERROR(+W182/($D182+$E182-$G182)*$G182+W182),LEFT(U182,1)="x"),0,+W182/($D182+$E182-$G182)*$G182+W182)</f>
        <v>0</v>
      </c>
      <c r="AX182" s="7">
        <f t="shared" ref="AX182:AX201" si="21">IF(OR(ISERROR(+X182/($D182+$E182-$G182)*$G182+X182),LEFT(V182,1)="x"),0,+X182/($D182+$E182-$G182)*$G182+X182)</f>
        <v>0</v>
      </c>
      <c r="AY182" s="7">
        <f t="shared" ref="AY182:AY201" si="22">IF(OR(ISERROR(+Y182/($D182+$E182-$G182)*$G182+Y182),LEFT(W182,1)="x"),0,+Y182/($D182+$E182-$G182)*$G182+Y182)</f>
        <v>0</v>
      </c>
      <c r="AZ182" s="7">
        <f t="shared" ref="AZ182:AZ201" si="23">IF(OR(ISERROR(+Z182/($D182+$E182-$G182)*$G182+Z182),LEFT(X182,1)="x"),0,+Z182/($D182+$E182-$G182)*$G182+Z182)</f>
        <v>0</v>
      </c>
      <c r="BA182" s="7">
        <f t="shared" ref="BA182:BA201" si="24">IF(OR(ISERROR(+AA182/($D182+$E182-$G182)*$G182+AA182),LEFT(Y182,1)="x"),0,+AA182/($D182+$E182-$G182)*$G182+AA182)</f>
        <v>0</v>
      </c>
      <c r="BB182" s="7">
        <f t="shared" ref="BB182:BB201" si="25">IF(OR(ISERROR(+AB182/($D182+$E182-$G182)*$G182+AB182),LEFT(Z182,1)="x"),0,+AB182/($D182+$E182-$G182)*$G182+AB182)</f>
        <v>0</v>
      </c>
      <c r="BC182" s="7">
        <f>IF(OR(ISERROR(+#REF!/($D182+$E182-$G182)*$G182+#REF!),LEFT(AA182,1)="x"),0,+#REF!/($D182+$E182-$G182)*$G182+#REF!)</f>
        <v>0</v>
      </c>
      <c r="BD182" s="7">
        <f>IF(OR(ISERROR(+#REF!/($D182+$E182-$G182)*$G182+#REF!),LEFT(AB182,1)="x"),0,+#REF!/($D182+$E182-$G182)*$G182+#REF!)</f>
        <v>0</v>
      </c>
      <c r="BE182" s="7" t="e">
        <f>IF(OR(ISERROR(+AC182/($D182+$E182-$G182)*$G182+AC182),LEFT(#REF!,1)="x"),0,+AC182/($D182+$E182-$G182)*$G182+AC182)</f>
        <v>#REF!</v>
      </c>
    </row>
    <row r="183" spans="1:57" hidden="1">
      <c r="A183" s="555"/>
      <c r="B183" s="604"/>
      <c r="C183" s="607"/>
      <c r="D183" s="609"/>
      <c r="E183" s="608"/>
      <c r="F183" s="609"/>
      <c r="G183" s="609"/>
      <c r="H183" s="585"/>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9"/>
        <v>0</v>
      </c>
      <c r="AE183" s="629">
        <f t="shared" si="10"/>
        <v>0</v>
      </c>
      <c r="AF183" s="634">
        <f t="shared" si="11"/>
        <v>0</v>
      </c>
      <c r="AG183" s="43">
        <f t="shared" si="16"/>
        <v>0</v>
      </c>
      <c r="AH183" s="7">
        <f t="shared" ref="AH183:AV197" si="26">IF(OR(ISERROR(+H183/($D183+$E183-$G183)*$G183+H183),LEFT(F183,1)="x"),0,+H183/($D183+$E183-$G183)*$G183+H183)</f>
        <v>0</v>
      </c>
      <c r="AI183" s="7">
        <f t="shared" si="26"/>
        <v>0</v>
      </c>
      <c r="AJ183" s="7">
        <f t="shared" si="26"/>
        <v>0</v>
      </c>
      <c r="AK183" s="7">
        <f t="shared" si="26"/>
        <v>0</v>
      </c>
      <c r="AL183" s="7">
        <f t="shared" si="26"/>
        <v>0</v>
      </c>
      <c r="AM183" s="7">
        <f t="shared" si="26"/>
        <v>0</v>
      </c>
      <c r="AN183" s="7">
        <f t="shared" si="26"/>
        <v>0</v>
      </c>
      <c r="AO183" s="7">
        <f t="shared" si="26"/>
        <v>0</v>
      </c>
      <c r="AP183" s="7">
        <f t="shared" si="26"/>
        <v>0</v>
      </c>
      <c r="AQ183" s="7">
        <f t="shared" si="26"/>
        <v>0</v>
      </c>
      <c r="AR183" s="7">
        <f t="shared" si="26"/>
        <v>0</v>
      </c>
      <c r="AS183" s="7">
        <f t="shared" si="26"/>
        <v>0</v>
      </c>
      <c r="AT183" s="7">
        <f t="shared" si="26"/>
        <v>0</v>
      </c>
      <c r="AU183" s="7">
        <f t="shared" si="26"/>
        <v>0</v>
      </c>
      <c r="AV183" s="7">
        <f t="shared" si="26"/>
        <v>0</v>
      </c>
      <c r="AW183" s="7">
        <f t="shared" si="20"/>
        <v>0</v>
      </c>
      <c r="AX183" s="7">
        <f t="shared" si="21"/>
        <v>0</v>
      </c>
      <c r="AY183" s="7">
        <f t="shared" si="22"/>
        <v>0</v>
      </c>
      <c r="AZ183" s="7">
        <f t="shared" si="23"/>
        <v>0</v>
      </c>
      <c r="BA183" s="7">
        <f t="shared" si="24"/>
        <v>0</v>
      </c>
      <c r="BB183" s="7">
        <f t="shared" si="25"/>
        <v>0</v>
      </c>
      <c r="BC183" s="7">
        <f>IF(OR(ISERROR(+#REF!/($D183+$E183-$G183)*$G183+#REF!),LEFT(AA183,1)="x"),0,+#REF!/($D183+$E183-$G183)*$G183+#REF!)</f>
        <v>0</v>
      </c>
      <c r="BD183" s="7">
        <f>IF(OR(ISERROR(+#REF!/($D183+$E183-$G183)*$G183+#REF!),LEFT(AB183,1)="x"),0,+#REF!/($D183+$E183-$G183)*$G183+#REF!)</f>
        <v>0</v>
      </c>
      <c r="BE183" s="7" t="e">
        <f>IF(OR(ISERROR(+AC183/($D183+$E183-$G183)*$G183+AC183),LEFT(#REF!,1)="x"),0,+AC183/($D183+$E183-$G183)*$G183+AC183)</f>
        <v>#REF!</v>
      </c>
    </row>
    <row r="184" spans="1:57" hidden="1">
      <c r="A184" s="555"/>
      <c r="B184" s="604"/>
      <c r="C184" s="607"/>
      <c r="D184" s="609"/>
      <c r="E184" s="608"/>
      <c r="F184" s="609"/>
      <c r="G184" s="609"/>
      <c r="H184" s="585"/>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9"/>
        <v>0</v>
      </c>
      <c r="AE184" s="629">
        <f t="shared" si="10"/>
        <v>0</v>
      </c>
      <c r="AF184" s="634">
        <f t="shared" si="11"/>
        <v>0</v>
      </c>
      <c r="AG184" s="43">
        <f t="shared" si="16"/>
        <v>0</v>
      </c>
      <c r="AH184" s="7">
        <f t="shared" si="26"/>
        <v>0</v>
      </c>
      <c r="AI184" s="7">
        <f t="shared" si="26"/>
        <v>0</v>
      </c>
      <c r="AJ184" s="7">
        <f t="shared" si="26"/>
        <v>0</v>
      </c>
      <c r="AK184" s="7">
        <f t="shared" si="26"/>
        <v>0</v>
      </c>
      <c r="AL184" s="7">
        <f t="shared" si="26"/>
        <v>0</v>
      </c>
      <c r="AM184" s="7">
        <f t="shared" si="26"/>
        <v>0</v>
      </c>
      <c r="AN184" s="7">
        <f t="shared" si="26"/>
        <v>0</v>
      </c>
      <c r="AO184" s="7">
        <f t="shared" si="26"/>
        <v>0</v>
      </c>
      <c r="AP184" s="7">
        <f t="shared" si="26"/>
        <v>0</v>
      </c>
      <c r="AQ184" s="7">
        <f t="shared" si="26"/>
        <v>0</v>
      </c>
      <c r="AR184" s="7">
        <f t="shared" si="26"/>
        <v>0</v>
      </c>
      <c r="AS184" s="7">
        <f t="shared" si="26"/>
        <v>0</v>
      </c>
      <c r="AT184" s="7">
        <f t="shared" si="26"/>
        <v>0</v>
      </c>
      <c r="AU184" s="7">
        <f t="shared" si="26"/>
        <v>0</v>
      </c>
      <c r="AV184" s="7">
        <f t="shared" si="26"/>
        <v>0</v>
      </c>
      <c r="AW184" s="7">
        <f t="shared" si="20"/>
        <v>0</v>
      </c>
      <c r="AX184" s="7">
        <f t="shared" si="21"/>
        <v>0</v>
      </c>
      <c r="AY184" s="7">
        <f t="shared" si="22"/>
        <v>0</v>
      </c>
      <c r="AZ184" s="7">
        <f t="shared" si="23"/>
        <v>0</v>
      </c>
      <c r="BA184" s="7">
        <f t="shared" si="24"/>
        <v>0</v>
      </c>
      <c r="BB184" s="7">
        <f t="shared" si="25"/>
        <v>0</v>
      </c>
      <c r="BC184" s="7">
        <f>IF(OR(ISERROR(+#REF!/($D184+$E184-$G184)*$G184+#REF!),LEFT(AA184,1)="x"),0,+#REF!/($D184+$E184-$G184)*$G184+#REF!)</f>
        <v>0</v>
      </c>
      <c r="BD184" s="7">
        <f>IF(OR(ISERROR(+#REF!/($D184+$E184-$G184)*$G184+#REF!),LEFT(AB184,1)="x"),0,+#REF!/($D184+$E184-$G184)*$G184+#REF!)</f>
        <v>0</v>
      </c>
      <c r="BE184" s="7" t="e">
        <f>IF(OR(ISERROR(+AC184/($D184+$E184-$G184)*$G184+AC184),LEFT(#REF!,1)="x"),0,+AC184/($D184+$E184-$G184)*$G184+AC184)</f>
        <v>#REF!</v>
      </c>
    </row>
    <row r="185" spans="1:57" hidden="1">
      <c r="A185" s="555"/>
      <c r="B185" s="604"/>
      <c r="C185" s="607"/>
      <c r="D185" s="609"/>
      <c r="E185" s="608"/>
      <c r="F185" s="609"/>
      <c r="G185" s="609"/>
      <c r="H185" s="585"/>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9"/>
        <v>0</v>
      </c>
      <c r="AE185" s="629">
        <f t="shared" si="10"/>
        <v>0</v>
      </c>
      <c r="AF185" s="634">
        <f t="shared" si="11"/>
        <v>0</v>
      </c>
      <c r="AG185" s="43">
        <f t="shared" si="16"/>
        <v>0</v>
      </c>
      <c r="AH185" s="7">
        <f t="shared" si="26"/>
        <v>0</v>
      </c>
      <c r="AI185" s="7">
        <f t="shared" si="26"/>
        <v>0</v>
      </c>
      <c r="AJ185" s="7">
        <f t="shared" si="26"/>
        <v>0</v>
      </c>
      <c r="AK185" s="7">
        <f t="shared" si="26"/>
        <v>0</v>
      </c>
      <c r="AL185" s="7">
        <f t="shared" si="26"/>
        <v>0</v>
      </c>
      <c r="AM185" s="7">
        <f t="shared" si="26"/>
        <v>0</v>
      </c>
      <c r="AN185" s="7">
        <f t="shared" si="26"/>
        <v>0</v>
      </c>
      <c r="AO185" s="7">
        <f t="shared" si="26"/>
        <v>0</v>
      </c>
      <c r="AP185" s="7">
        <f t="shared" si="26"/>
        <v>0</v>
      </c>
      <c r="AQ185" s="7">
        <f t="shared" si="26"/>
        <v>0</v>
      </c>
      <c r="AR185" s="7">
        <f t="shared" si="26"/>
        <v>0</v>
      </c>
      <c r="AS185" s="7">
        <f t="shared" si="26"/>
        <v>0</v>
      </c>
      <c r="AT185" s="7">
        <f t="shared" si="26"/>
        <v>0</v>
      </c>
      <c r="AU185" s="7">
        <f t="shared" si="26"/>
        <v>0</v>
      </c>
      <c r="AV185" s="7">
        <f t="shared" si="26"/>
        <v>0</v>
      </c>
      <c r="AW185" s="7">
        <f t="shared" si="20"/>
        <v>0</v>
      </c>
      <c r="AX185" s="7">
        <f t="shared" si="21"/>
        <v>0</v>
      </c>
      <c r="AY185" s="7">
        <f t="shared" si="22"/>
        <v>0</v>
      </c>
      <c r="AZ185" s="7">
        <f t="shared" si="23"/>
        <v>0</v>
      </c>
      <c r="BA185" s="7">
        <f t="shared" si="24"/>
        <v>0</v>
      </c>
      <c r="BB185" s="7">
        <f t="shared" si="25"/>
        <v>0</v>
      </c>
      <c r="BC185" s="7">
        <f>IF(OR(ISERROR(+#REF!/($D185+$E185-$G185)*$G185+#REF!),LEFT(AA185,1)="x"),0,+#REF!/($D185+$E185-$G185)*$G185+#REF!)</f>
        <v>0</v>
      </c>
      <c r="BD185" s="7">
        <f>IF(OR(ISERROR(+#REF!/($D185+$E185-$G185)*$G185+#REF!),LEFT(AB185,1)="x"),0,+#REF!/($D185+$E185-$G185)*$G185+#REF!)</f>
        <v>0</v>
      </c>
      <c r="BE185" s="7" t="e">
        <f>IF(OR(ISERROR(+AC185/($D185+$E185-$G185)*$G185+AC185),LEFT(#REF!,1)="x"),0,+AC185/($D185+$E185-$G185)*$G185+AC185)</f>
        <v>#REF!</v>
      </c>
    </row>
    <row r="186" spans="1:57" hidden="1">
      <c r="A186" s="555"/>
      <c r="B186" s="604"/>
      <c r="C186" s="607"/>
      <c r="D186" s="609"/>
      <c r="E186" s="608"/>
      <c r="F186" s="609"/>
      <c r="G186" s="609"/>
      <c r="H186" s="585"/>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9"/>
        <v>0</v>
      </c>
      <c r="AE186" s="629">
        <f t="shared" si="10"/>
        <v>0</v>
      </c>
      <c r="AF186" s="634">
        <f t="shared" si="11"/>
        <v>0</v>
      </c>
      <c r="AG186" s="43">
        <f t="shared" si="16"/>
        <v>0</v>
      </c>
      <c r="AH186" s="7">
        <f t="shared" si="26"/>
        <v>0</v>
      </c>
      <c r="AI186" s="7">
        <f t="shared" si="26"/>
        <v>0</v>
      </c>
      <c r="AJ186" s="7">
        <f t="shared" si="26"/>
        <v>0</v>
      </c>
      <c r="AK186" s="7">
        <f t="shared" si="26"/>
        <v>0</v>
      </c>
      <c r="AL186" s="7">
        <f t="shared" si="26"/>
        <v>0</v>
      </c>
      <c r="AM186" s="7">
        <f t="shared" si="26"/>
        <v>0</v>
      </c>
      <c r="AN186" s="7">
        <f t="shared" si="26"/>
        <v>0</v>
      </c>
      <c r="AO186" s="7">
        <f t="shared" si="26"/>
        <v>0</v>
      </c>
      <c r="AP186" s="7">
        <f t="shared" si="26"/>
        <v>0</v>
      </c>
      <c r="AQ186" s="7">
        <f t="shared" si="26"/>
        <v>0</v>
      </c>
      <c r="AR186" s="7">
        <f t="shared" si="26"/>
        <v>0</v>
      </c>
      <c r="AS186" s="7">
        <f t="shared" si="26"/>
        <v>0</v>
      </c>
      <c r="AT186" s="7">
        <f t="shared" si="26"/>
        <v>0</v>
      </c>
      <c r="AU186" s="7">
        <f t="shared" si="26"/>
        <v>0</v>
      </c>
      <c r="AV186" s="7">
        <f t="shared" si="26"/>
        <v>0</v>
      </c>
      <c r="AW186" s="7">
        <f t="shared" si="20"/>
        <v>0</v>
      </c>
      <c r="AX186" s="7">
        <f t="shared" si="21"/>
        <v>0</v>
      </c>
      <c r="AY186" s="7">
        <f t="shared" si="22"/>
        <v>0</v>
      </c>
      <c r="AZ186" s="7">
        <f t="shared" si="23"/>
        <v>0</v>
      </c>
      <c r="BA186" s="7">
        <f t="shared" si="24"/>
        <v>0</v>
      </c>
      <c r="BB186" s="7">
        <f t="shared" si="25"/>
        <v>0</v>
      </c>
      <c r="BC186" s="7">
        <f>IF(OR(ISERROR(+#REF!/($D186+$E186-$G186)*$G186+#REF!),LEFT(AA186,1)="x"),0,+#REF!/($D186+$E186-$G186)*$G186+#REF!)</f>
        <v>0</v>
      </c>
      <c r="BD186" s="7">
        <f>IF(OR(ISERROR(+#REF!/($D186+$E186-$G186)*$G186+#REF!),LEFT(AB186,1)="x"),0,+#REF!/($D186+$E186-$G186)*$G186+#REF!)</f>
        <v>0</v>
      </c>
      <c r="BE186" s="7" t="e">
        <f>IF(OR(ISERROR(+AC186/($D186+$E186-$G186)*$G186+AC186),LEFT(#REF!,1)="x"),0,+AC186/($D186+$E186-$G186)*$G186+AC186)</f>
        <v>#REF!</v>
      </c>
    </row>
    <row r="187" spans="1:57" hidden="1">
      <c r="A187" s="555"/>
      <c r="B187" s="604"/>
      <c r="C187" s="607"/>
      <c r="D187" s="609"/>
      <c r="E187" s="608"/>
      <c r="F187" s="609"/>
      <c r="G187" s="609"/>
      <c r="H187" s="585"/>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9"/>
        <v>0</v>
      </c>
      <c r="AE187" s="629">
        <f t="shared" si="10"/>
        <v>0</v>
      </c>
      <c r="AF187" s="634">
        <f t="shared" si="11"/>
        <v>0</v>
      </c>
      <c r="AG187" s="43">
        <f t="shared" si="16"/>
        <v>0</v>
      </c>
      <c r="AH187" s="7">
        <f t="shared" si="26"/>
        <v>0</v>
      </c>
      <c r="AI187" s="7">
        <f t="shared" si="26"/>
        <v>0</v>
      </c>
      <c r="AJ187" s="7">
        <f t="shared" si="26"/>
        <v>0</v>
      </c>
      <c r="AK187" s="7">
        <f t="shared" si="26"/>
        <v>0</v>
      </c>
      <c r="AL187" s="7">
        <f t="shared" si="26"/>
        <v>0</v>
      </c>
      <c r="AM187" s="7">
        <f t="shared" si="26"/>
        <v>0</v>
      </c>
      <c r="AN187" s="7">
        <f t="shared" si="26"/>
        <v>0</v>
      </c>
      <c r="AO187" s="7">
        <f t="shared" si="26"/>
        <v>0</v>
      </c>
      <c r="AP187" s="7">
        <f t="shared" si="26"/>
        <v>0</v>
      </c>
      <c r="AQ187" s="7">
        <f t="shared" si="26"/>
        <v>0</v>
      </c>
      <c r="AR187" s="7">
        <f t="shared" si="26"/>
        <v>0</v>
      </c>
      <c r="AS187" s="7">
        <f t="shared" si="26"/>
        <v>0</v>
      </c>
      <c r="AT187" s="7">
        <f t="shared" si="26"/>
        <v>0</v>
      </c>
      <c r="AU187" s="7">
        <f t="shared" si="26"/>
        <v>0</v>
      </c>
      <c r="AV187" s="7">
        <f t="shared" si="26"/>
        <v>0</v>
      </c>
      <c r="AW187" s="7">
        <f t="shared" si="20"/>
        <v>0</v>
      </c>
      <c r="AX187" s="7">
        <f t="shared" si="21"/>
        <v>0</v>
      </c>
      <c r="AY187" s="7">
        <f t="shared" si="22"/>
        <v>0</v>
      </c>
      <c r="AZ187" s="7">
        <f t="shared" si="23"/>
        <v>0</v>
      </c>
      <c r="BA187" s="7">
        <f t="shared" si="24"/>
        <v>0</v>
      </c>
      <c r="BB187" s="7">
        <f t="shared" si="25"/>
        <v>0</v>
      </c>
      <c r="BC187" s="7">
        <f>IF(OR(ISERROR(+#REF!/($D187+$E187-$G187)*$G187+#REF!),LEFT(AA187,1)="x"),0,+#REF!/($D187+$E187-$G187)*$G187+#REF!)</f>
        <v>0</v>
      </c>
      <c r="BD187" s="7">
        <f>IF(OR(ISERROR(+#REF!/($D187+$E187-$G187)*$G187+#REF!),LEFT(AB187,1)="x"),0,+#REF!/($D187+$E187-$G187)*$G187+#REF!)</f>
        <v>0</v>
      </c>
      <c r="BE187" s="7" t="e">
        <f>IF(OR(ISERROR(+AC187/($D187+$E187-$G187)*$G187+AC187),LEFT(#REF!,1)="x"),0,+AC187/($D187+$E187-$G187)*$G187+AC187)</f>
        <v>#REF!</v>
      </c>
    </row>
    <row r="188" spans="1:57" hidden="1">
      <c r="A188" s="555"/>
      <c r="B188" s="604"/>
      <c r="C188" s="607"/>
      <c r="D188" s="609"/>
      <c r="E188" s="608"/>
      <c r="F188" s="609"/>
      <c r="G188" s="609"/>
      <c r="H188" s="585"/>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9"/>
        <v>0</v>
      </c>
      <c r="AE188" s="629">
        <f t="shared" si="10"/>
        <v>0</v>
      </c>
      <c r="AF188" s="634">
        <f t="shared" si="11"/>
        <v>0</v>
      </c>
      <c r="AG188" s="43">
        <f t="shared" si="16"/>
        <v>0</v>
      </c>
      <c r="AH188" s="7">
        <f t="shared" si="26"/>
        <v>0</v>
      </c>
      <c r="AI188" s="7">
        <f t="shared" si="26"/>
        <v>0</v>
      </c>
      <c r="AJ188" s="7">
        <f t="shared" si="26"/>
        <v>0</v>
      </c>
      <c r="AK188" s="7">
        <f t="shared" si="26"/>
        <v>0</v>
      </c>
      <c r="AL188" s="7">
        <f t="shared" si="26"/>
        <v>0</v>
      </c>
      <c r="AM188" s="7">
        <f t="shared" si="26"/>
        <v>0</v>
      </c>
      <c r="AN188" s="7">
        <f t="shared" si="26"/>
        <v>0</v>
      </c>
      <c r="AO188" s="7">
        <f t="shared" si="26"/>
        <v>0</v>
      </c>
      <c r="AP188" s="7">
        <f t="shared" si="26"/>
        <v>0</v>
      </c>
      <c r="AQ188" s="7">
        <f t="shared" si="26"/>
        <v>0</v>
      </c>
      <c r="AR188" s="7">
        <f t="shared" si="26"/>
        <v>0</v>
      </c>
      <c r="AS188" s="7">
        <f t="shared" si="26"/>
        <v>0</v>
      </c>
      <c r="AT188" s="7">
        <f t="shared" si="26"/>
        <v>0</v>
      </c>
      <c r="AU188" s="7">
        <f t="shared" si="26"/>
        <v>0</v>
      </c>
      <c r="AV188" s="7">
        <f t="shared" si="26"/>
        <v>0</v>
      </c>
      <c r="AW188" s="7">
        <f t="shared" si="20"/>
        <v>0</v>
      </c>
      <c r="AX188" s="7">
        <f t="shared" si="21"/>
        <v>0</v>
      </c>
      <c r="AY188" s="7">
        <f t="shared" si="22"/>
        <v>0</v>
      </c>
      <c r="AZ188" s="7">
        <f t="shared" si="23"/>
        <v>0</v>
      </c>
      <c r="BA188" s="7">
        <f t="shared" si="24"/>
        <v>0</v>
      </c>
      <c r="BB188" s="7">
        <f t="shared" si="25"/>
        <v>0</v>
      </c>
      <c r="BC188" s="7">
        <f>IF(OR(ISERROR(+#REF!/($D188+$E188-$G188)*$G188+#REF!),LEFT(AA188,1)="x"),0,+#REF!/($D188+$E188-$G188)*$G188+#REF!)</f>
        <v>0</v>
      </c>
      <c r="BD188" s="7">
        <f>IF(OR(ISERROR(+#REF!/($D188+$E188-$G188)*$G188+#REF!),LEFT(AB188,1)="x"),0,+#REF!/($D188+$E188-$G188)*$G188+#REF!)</f>
        <v>0</v>
      </c>
      <c r="BE188" s="7" t="e">
        <f>IF(OR(ISERROR(+AC188/($D188+$E188-$G188)*$G188+AC188),LEFT(#REF!,1)="x"),0,+AC188/($D188+$E188-$G188)*$G188+AC188)</f>
        <v>#REF!</v>
      </c>
    </row>
    <row r="189" spans="1:57" hidden="1">
      <c r="A189" s="555"/>
      <c r="B189" s="604"/>
      <c r="C189" s="607"/>
      <c r="D189" s="609"/>
      <c r="E189" s="608"/>
      <c r="F189" s="609"/>
      <c r="G189" s="609"/>
      <c r="H189" s="585"/>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9"/>
        <v>0</v>
      </c>
      <c r="AE189" s="629">
        <f t="shared" si="10"/>
        <v>0</v>
      </c>
      <c r="AF189" s="634">
        <f t="shared" si="11"/>
        <v>0</v>
      </c>
      <c r="AG189" s="43">
        <f t="shared" si="16"/>
        <v>0</v>
      </c>
      <c r="AH189" s="7">
        <f t="shared" si="26"/>
        <v>0</v>
      </c>
      <c r="AI189" s="7">
        <f t="shared" si="26"/>
        <v>0</v>
      </c>
      <c r="AJ189" s="7">
        <f t="shared" si="26"/>
        <v>0</v>
      </c>
      <c r="AK189" s="7">
        <f t="shared" si="26"/>
        <v>0</v>
      </c>
      <c r="AL189" s="7">
        <f t="shared" si="26"/>
        <v>0</v>
      </c>
      <c r="AM189" s="7">
        <f t="shared" si="26"/>
        <v>0</v>
      </c>
      <c r="AN189" s="7">
        <f t="shared" si="26"/>
        <v>0</v>
      </c>
      <c r="AO189" s="7">
        <f t="shared" si="26"/>
        <v>0</v>
      </c>
      <c r="AP189" s="7">
        <f t="shared" si="26"/>
        <v>0</v>
      </c>
      <c r="AQ189" s="7">
        <f t="shared" si="26"/>
        <v>0</v>
      </c>
      <c r="AR189" s="7">
        <f t="shared" si="26"/>
        <v>0</v>
      </c>
      <c r="AS189" s="7">
        <f t="shared" si="26"/>
        <v>0</v>
      </c>
      <c r="AT189" s="7">
        <f t="shared" si="26"/>
        <v>0</v>
      </c>
      <c r="AU189" s="7">
        <f t="shared" si="26"/>
        <v>0</v>
      </c>
      <c r="AV189" s="7">
        <f t="shared" si="26"/>
        <v>0</v>
      </c>
      <c r="AW189" s="7">
        <f t="shared" si="20"/>
        <v>0</v>
      </c>
      <c r="AX189" s="7">
        <f t="shared" si="21"/>
        <v>0</v>
      </c>
      <c r="AY189" s="7">
        <f t="shared" si="22"/>
        <v>0</v>
      </c>
      <c r="AZ189" s="7">
        <f t="shared" si="23"/>
        <v>0</v>
      </c>
      <c r="BA189" s="7">
        <f t="shared" si="24"/>
        <v>0</v>
      </c>
      <c r="BB189" s="7">
        <f t="shared" si="25"/>
        <v>0</v>
      </c>
      <c r="BC189" s="7">
        <f>IF(OR(ISERROR(+#REF!/($D189+$E189-$G189)*$G189+#REF!),LEFT(AA189,1)="x"),0,+#REF!/($D189+$E189-$G189)*$G189+#REF!)</f>
        <v>0</v>
      </c>
      <c r="BD189" s="7">
        <f>IF(OR(ISERROR(+#REF!/($D189+$E189-$G189)*$G189+#REF!),LEFT(AB189,1)="x"),0,+#REF!/($D189+$E189-$G189)*$G189+#REF!)</f>
        <v>0</v>
      </c>
      <c r="BE189" s="7" t="e">
        <f>IF(OR(ISERROR(+AC189/($D189+$E189-$G189)*$G189+AC189),LEFT(#REF!,1)="x"),0,+AC189/($D189+$E189-$G189)*$G189+AC189)</f>
        <v>#REF!</v>
      </c>
    </row>
    <row r="190" spans="1:57" hidden="1">
      <c r="A190" s="555"/>
      <c r="B190" s="604"/>
      <c r="C190" s="607"/>
      <c r="D190" s="609"/>
      <c r="E190" s="608"/>
      <c r="F190" s="609"/>
      <c r="G190" s="609"/>
      <c r="H190" s="585"/>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9"/>
        <v>0</v>
      </c>
      <c r="AE190" s="629">
        <f t="shared" si="10"/>
        <v>0</v>
      </c>
      <c r="AF190" s="634">
        <f t="shared" si="11"/>
        <v>0</v>
      </c>
      <c r="AG190" s="43">
        <f t="shared" si="16"/>
        <v>0</v>
      </c>
      <c r="AH190" s="7">
        <f t="shared" si="26"/>
        <v>0</v>
      </c>
      <c r="AI190" s="7">
        <f t="shared" si="26"/>
        <v>0</v>
      </c>
      <c r="AJ190" s="7">
        <f t="shared" si="26"/>
        <v>0</v>
      </c>
      <c r="AK190" s="7">
        <f t="shared" si="26"/>
        <v>0</v>
      </c>
      <c r="AL190" s="7">
        <f t="shared" si="26"/>
        <v>0</v>
      </c>
      <c r="AM190" s="7">
        <f t="shared" si="26"/>
        <v>0</v>
      </c>
      <c r="AN190" s="7">
        <f t="shared" si="26"/>
        <v>0</v>
      </c>
      <c r="AO190" s="7">
        <f t="shared" si="26"/>
        <v>0</v>
      </c>
      <c r="AP190" s="7">
        <f t="shared" si="26"/>
        <v>0</v>
      </c>
      <c r="AQ190" s="7">
        <f t="shared" si="26"/>
        <v>0</v>
      </c>
      <c r="AR190" s="7">
        <f t="shared" si="26"/>
        <v>0</v>
      </c>
      <c r="AS190" s="7">
        <f t="shared" si="26"/>
        <v>0</v>
      </c>
      <c r="AT190" s="7">
        <f t="shared" si="26"/>
        <v>0</v>
      </c>
      <c r="AU190" s="7">
        <f t="shared" si="26"/>
        <v>0</v>
      </c>
      <c r="AV190" s="7">
        <f t="shared" si="26"/>
        <v>0</v>
      </c>
      <c r="AW190" s="7">
        <f t="shared" si="20"/>
        <v>0</v>
      </c>
      <c r="AX190" s="7">
        <f t="shared" si="21"/>
        <v>0</v>
      </c>
      <c r="AY190" s="7">
        <f t="shared" si="22"/>
        <v>0</v>
      </c>
      <c r="AZ190" s="7">
        <f t="shared" si="23"/>
        <v>0</v>
      </c>
      <c r="BA190" s="7">
        <f t="shared" si="24"/>
        <v>0</v>
      </c>
      <c r="BB190" s="7">
        <f t="shared" si="25"/>
        <v>0</v>
      </c>
      <c r="BC190" s="7">
        <f>IF(OR(ISERROR(+#REF!/($D190+$E190-$G190)*$G190+#REF!),LEFT(AA190,1)="x"),0,+#REF!/($D190+$E190-$G190)*$G190+#REF!)</f>
        <v>0</v>
      </c>
      <c r="BD190" s="7">
        <f>IF(OR(ISERROR(+#REF!/($D190+$E190-$G190)*$G190+#REF!),LEFT(AB190,1)="x"),0,+#REF!/($D190+$E190-$G190)*$G190+#REF!)</f>
        <v>0</v>
      </c>
      <c r="BE190" s="7" t="e">
        <f>IF(OR(ISERROR(+AC190/($D190+$E190-$G190)*$G190+AC190),LEFT(#REF!,1)="x"),0,+AC190/($D190+$E190-$G190)*$G190+AC190)</f>
        <v>#REF!</v>
      </c>
    </row>
    <row r="191" spans="1:57" hidden="1">
      <c r="A191" s="555"/>
      <c r="B191" s="604"/>
      <c r="C191" s="607"/>
      <c r="D191" s="609"/>
      <c r="E191" s="608"/>
      <c r="F191" s="609"/>
      <c r="G191" s="609"/>
      <c r="H191" s="585"/>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9"/>
        <v>0</v>
      </c>
      <c r="AE191" s="629">
        <f t="shared" si="10"/>
        <v>0</v>
      </c>
      <c r="AF191" s="634">
        <f t="shared" si="11"/>
        <v>0</v>
      </c>
      <c r="AG191" s="43">
        <f t="shared" si="16"/>
        <v>0</v>
      </c>
      <c r="AH191" s="7">
        <f t="shared" si="26"/>
        <v>0</v>
      </c>
      <c r="AI191" s="7">
        <f t="shared" si="26"/>
        <v>0</v>
      </c>
      <c r="AJ191" s="7">
        <f t="shared" si="26"/>
        <v>0</v>
      </c>
      <c r="AK191" s="7">
        <f t="shared" si="26"/>
        <v>0</v>
      </c>
      <c r="AL191" s="7">
        <f t="shared" si="26"/>
        <v>0</v>
      </c>
      <c r="AM191" s="7">
        <f t="shared" si="26"/>
        <v>0</v>
      </c>
      <c r="AN191" s="7">
        <f t="shared" si="26"/>
        <v>0</v>
      </c>
      <c r="AO191" s="7">
        <f t="shared" si="26"/>
        <v>0</v>
      </c>
      <c r="AP191" s="7">
        <f t="shared" si="26"/>
        <v>0</v>
      </c>
      <c r="AQ191" s="7">
        <f t="shared" si="26"/>
        <v>0</v>
      </c>
      <c r="AR191" s="7">
        <f t="shared" si="26"/>
        <v>0</v>
      </c>
      <c r="AS191" s="7">
        <f t="shared" si="26"/>
        <v>0</v>
      </c>
      <c r="AT191" s="7">
        <f t="shared" si="26"/>
        <v>0</v>
      </c>
      <c r="AU191" s="7">
        <f t="shared" si="26"/>
        <v>0</v>
      </c>
      <c r="AV191" s="7">
        <f t="shared" si="26"/>
        <v>0</v>
      </c>
      <c r="AW191" s="7">
        <f t="shared" si="20"/>
        <v>0</v>
      </c>
      <c r="AX191" s="7">
        <f t="shared" si="21"/>
        <v>0</v>
      </c>
      <c r="AY191" s="7">
        <f t="shared" si="22"/>
        <v>0</v>
      </c>
      <c r="AZ191" s="7">
        <f t="shared" si="23"/>
        <v>0</v>
      </c>
      <c r="BA191" s="7">
        <f t="shared" si="24"/>
        <v>0</v>
      </c>
      <c r="BB191" s="7">
        <f t="shared" si="25"/>
        <v>0</v>
      </c>
      <c r="BC191" s="7">
        <f>IF(OR(ISERROR(+#REF!/($D191+$E191-$G191)*$G191+#REF!),LEFT(AA191,1)="x"),0,+#REF!/($D191+$E191-$G191)*$G191+#REF!)</f>
        <v>0</v>
      </c>
      <c r="BD191" s="7">
        <f>IF(OR(ISERROR(+#REF!/($D191+$E191-$G191)*$G191+#REF!),LEFT(AB191,1)="x"),0,+#REF!/($D191+$E191-$G191)*$G191+#REF!)</f>
        <v>0</v>
      </c>
      <c r="BE191" s="7" t="e">
        <f>IF(OR(ISERROR(+AC191/($D191+$E191-$G191)*$G191+AC191),LEFT(#REF!,1)="x"),0,+AC191/($D191+$E191-$G191)*$G191+AC191)</f>
        <v>#REF!</v>
      </c>
    </row>
    <row r="192" spans="1:57" hidden="1">
      <c r="A192" s="555"/>
      <c r="B192" s="604"/>
      <c r="C192" s="607"/>
      <c r="D192" s="609"/>
      <c r="E192" s="608"/>
      <c r="F192" s="609"/>
      <c r="G192" s="609"/>
      <c r="H192" s="585"/>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9"/>
        <v>0</v>
      </c>
      <c r="AE192" s="629">
        <f t="shared" si="10"/>
        <v>0</v>
      </c>
      <c r="AF192" s="634">
        <f t="shared" si="11"/>
        <v>0</v>
      </c>
      <c r="AG192" s="43">
        <f t="shared" si="16"/>
        <v>0</v>
      </c>
      <c r="AH192" s="7">
        <f t="shared" si="26"/>
        <v>0</v>
      </c>
      <c r="AI192" s="7">
        <f t="shared" si="26"/>
        <v>0</v>
      </c>
      <c r="AJ192" s="7">
        <f t="shared" si="26"/>
        <v>0</v>
      </c>
      <c r="AK192" s="7">
        <f t="shared" si="26"/>
        <v>0</v>
      </c>
      <c r="AL192" s="7">
        <f t="shared" si="26"/>
        <v>0</v>
      </c>
      <c r="AM192" s="7">
        <f t="shared" si="26"/>
        <v>0</v>
      </c>
      <c r="AN192" s="7">
        <f t="shared" si="26"/>
        <v>0</v>
      </c>
      <c r="AO192" s="7">
        <f t="shared" si="26"/>
        <v>0</v>
      </c>
      <c r="AP192" s="7">
        <f t="shared" si="26"/>
        <v>0</v>
      </c>
      <c r="AQ192" s="7">
        <f t="shared" si="26"/>
        <v>0</v>
      </c>
      <c r="AR192" s="7">
        <f t="shared" si="26"/>
        <v>0</v>
      </c>
      <c r="AS192" s="7">
        <f t="shared" si="26"/>
        <v>0</v>
      </c>
      <c r="AT192" s="7">
        <f t="shared" si="26"/>
        <v>0</v>
      </c>
      <c r="AU192" s="7">
        <f t="shared" si="26"/>
        <v>0</v>
      </c>
      <c r="AV192" s="7">
        <f t="shared" si="26"/>
        <v>0</v>
      </c>
      <c r="AW192" s="7">
        <f t="shared" si="20"/>
        <v>0</v>
      </c>
      <c r="AX192" s="7">
        <f t="shared" si="21"/>
        <v>0</v>
      </c>
      <c r="AY192" s="7">
        <f t="shared" si="22"/>
        <v>0</v>
      </c>
      <c r="AZ192" s="7">
        <f t="shared" si="23"/>
        <v>0</v>
      </c>
      <c r="BA192" s="7">
        <f t="shared" si="24"/>
        <v>0</v>
      </c>
      <c r="BB192" s="7">
        <f t="shared" si="25"/>
        <v>0</v>
      </c>
      <c r="BC192" s="7">
        <f>IF(OR(ISERROR(+#REF!/($D192+$E192-$G192)*$G192+#REF!),LEFT(AA192,1)="x"),0,+#REF!/($D192+$E192-$G192)*$G192+#REF!)</f>
        <v>0</v>
      </c>
      <c r="BD192" s="7">
        <f>IF(OR(ISERROR(+#REF!/($D192+$E192-$G192)*$G192+#REF!),LEFT(AB192,1)="x"),0,+#REF!/($D192+$E192-$G192)*$G192+#REF!)</f>
        <v>0</v>
      </c>
      <c r="BE192" s="7" t="e">
        <f>IF(OR(ISERROR(+AC192/($D192+$E192-$G192)*$G192+AC192),LEFT(#REF!,1)="x"),0,+AC192/($D192+$E192-$G192)*$G192+AC192)</f>
        <v>#REF!</v>
      </c>
    </row>
    <row r="193" spans="1:57" hidden="1">
      <c r="A193" s="555"/>
      <c r="B193" s="604"/>
      <c r="C193" s="607"/>
      <c r="D193" s="609"/>
      <c r="E193" s="608"/>
      <c r="F193" s="609"/>
      <c r="G193" s="60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9"/>
        <v>0</v>
      </c>
      <c r="AE193" s="629">
        <f t="shared" si="10"/>
        <v>0</v>
      </c>
      <c r="AF193" s="634">
        <f t="shared" si="11"/>
        <v>0</v>
      </c>
      <c r="AG193" s="43">
        <f t="shared" si="16"/>
        <v>0</v>
      </c>
      <c r="AH193" s="7">
        <f t="shared" si="26"/>
        <v>0</v>
      </c>
      <c r="AI193" s="7">
        <f t="shared" si="26"/>
        <v>0</v>
      </c>
      <c r="AJ193" s="7">
        <f t="shared" si="26"/>
        <v>0</v>
      </c>
      <c r="AK193" s="7">
        <f t="shared" si="26"/>
        <v>0</v>
      </c>
      <c r="AL193" s="7">
        <f t="shared" si="26"/>
        <v>0</v>
      </c>
      <c r="AM193" s="7">
        <f t="shared" si="26"/>
        <v>0</v>
      </c>
      <c r="AN193" s="7">
        <f t="shared" si="26"/>
        <v>0</v>
      </c>
      <c r="AO193" s="7">
        <f t="shared" si="26"/>
        <v>0</v>
      </c>
      <c r="AP193" s="7">
        <f t="shared" si="26"/>
        <v>0</v>
      </c>
      <c r="AQ193" s="7">
        <f t="shared" si="26"/>
        <v>0</v>
      </c>
      <c r="AR193" s="7">
        <f t="shared" si="26"/>
        <v>0</v>
      </c>
      <c r="AS193" s="7">
        <f t="shared" si="26"/>
        <v>0</v>
      </c>
      <c r="AT193" s="7">
        <f t="shared" si="26"/>
        <v>0</v>
      </c>
      <c r="AU193" s="7">
        <f t="shared" si="26"/>
        <v>0</v>
      </c>
      <c r="AV193" s="7">
        <f t="shared" si="26"/>
        <v>0</v>
      </c>
      <c r="AW193" s="7">
        <f t="shared" si="20"/>
        <v>0</v>
      </c>
      <c r="AX193" s="7">
        <f t="shared" si="21"/>
        <v>0</v>
      </c>
      <c r="AY193" s="7">
        <f t="shared" si="22"/>
        <v>0</v>
      </c>
      <c r="AZ193" s="7">
        <f t="shared" si="23"/>
        <v>0</v>
      </c>
      <c r="BA193" s="7">
        <f t="shared" si="24"/>
        <v>0</v>
      </c>
      <c r="BB193" s="7">
        <f t="shared" si="25"/>
        <v>0</v>
      </c>
      <c r="BC193" s="7">
        <f>IF(OR(ISERROR(+#REF!/($D193+$E193-$G193)*$G193+#REF!),LEFT(AA193,1)="x"),0,+#REF!/($D193+$E193-$G193)*$G193+#REF!)</f>
        <v>0</v>
      </c>
      <c r="BD193" s="7">
        <f>IF(OR(ISERROR(+#REF!/($D193+$E193-$G193)*$G193+#REF!),LEFT(AB193,1)="x"),0,+#REF!/($D193+$E193-$G193)*$G193+#REF!)</f>
        <v>0</v>
      </c>
      <c r="BE193" s="7" t="e">
        <f>IF(OR(ISERROR(+AC193/($D193+$E193-$G193)*$G193+AC193),LEFT(#REF!,1)="x"),0,+AC193/($D193+$E193-$G193)*$G193+AC193)</f>
        <v>#REF!</v>
      </c>
    </row>
    <row r="194" spans="1:57" hidden="1">
      <c r="A194" s="555"/>
      <c r="B194" s="604"/>
      <c r="C194" s="607"/>
      <c r="D194" s="609"/>
      <c r="E194" s="608"/>
      <c r="F194" s="609"/>
      <c r="G194" s="60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9"/>
        <v>0</v>
      </c>
      <c r="AE194" s="629">
        <f t="shared" si="10"/>
        <v>0</v>
      </c>
      <c r="AF194" s="634">
        <f t="shared" si="11"/>
        <v>0</v>
      </c>
      <c r="AG194" s="43">
        <f t="shared" si="16"/>
        <v>0</v>
      </c>
      <c r="AH194" s="7">
        <f t="shared" si="26"/>
        <v>0</v>
      </c>
      <c r="AI194" s="7">
        <f t="shared" si="26"/>
        <v>0</v>
      </c>
      <c r="AJ194" s="7">
        <f t="shared" si="26"/>
        <v>0</v>
      </c>
      <c r="AK194" s="7">
        <f t="shared" si="26"/>
        <v>0</v>
      </c>
      <c r="AL194" s="7">
        <f t="shared" si="26"/>
        <v>0</v>
      </c>
      <c r="AM194" s="7">
        <f t="shared" si="26"/>
        <v>0</v>
      </c>
      <c r="AN194" s="7">
        <f t="shared" si="26"/>
        <v>0</v>
      </c>
      <c r="AO194" s="7">
        <f t="shared" si="26"/>
        <v>0</v>
      </c>
      <c r="AP194" s="7">
        <f t="shared" si="26"/>
        <v>0</v>
      </c>
      <c r="AQ194" s="7">
        <f t="shared" si="26"/>
        <v>0</v>
      </c>
      <c r="AR194" s="7">
        <f t="shared" si="26"/>
        <v>0</v>
      </c>
      <c r="AS194" s="7">
        <f t="shared" si="26"/>
        <v>0</v>
      </c>
      <c r="AT194" s="7">
        <f t="shared" si="26"/>
        <v>0</v>
      </c>
      <c r="AU194" s="7">
        <f t="shared" si="26"/>
        <v>0</v>
      </c>
      <c r="AV194" s="7">
        <f t="shared" si="26"/>
        <v>0</v>
      </c>
      <c r="AW194" s="7">
        <f t="shared" si="20"/>
        <v>0</v>
      </c>
      <c r="AX194" s="7">
        <f t="shared" si="21"/>
        <v>0</v>
      </c>
      <c r="AY194" s="7">
        <f t="shared" si="22"/>
        <v>0</v>
      </c>
      <c r="AZ194" s="7">
        <f t="shared" si="23"/>
        <v>0</v>
      </c>
      <c r="BA194" s="7">
        <f t="shared" si="24"/>
        <v>0</v>
      </c>
      <c r="BB194" s="7">
        <f t="shared" si="25"/>
        <v>0</v>
      </c>
      <c r="BC194" s="7">
        <f>IF(OR(ISERROR(+#REF!/($D194+$E194-$G194)*$G194+#REF!),LEFT(AA194,1)="x"),0,+#REF!/($D194+$E194-$G194)*$G194+#REF!)</f>
        <v>0</v>
      </c>
      <c r="BD194" s="7">
        <f>IF(OR(ISERROR(+#REF!/($D194+$E194-$G194)*$G194+#REF!),LEFT(AB194,1)="x"),0,+#REF!/($D194+$E194-$G194)*$G194+#REF!)</f>
        <v>0</v>
      </c>
      <c r="BE194" s="7" t="e">
        <f>IF(OR(ISERROR(+AC194/($D194+$E194-$G194)*$G194+AC194),LEFT(#REF!,1)="x"),0,+AC194/($D194+$E194-$G194)*$G194+AC194)</f>
        <v>#REF!</v>
      </c>
    </row>
    <row r="195" spans="1:57" hidden="1">
      <c r="A195" s="555"/>
      <c r="B195" s="604"/>
      <c r="C195" s="607"/>
      <c r="D195" s="609"/>
      <c r="E195" s="608"/>
      <c r="F195" s="609"/>
      <c r="G195" s="60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9"/>
        <v>0</v>
      </c>
      <c r="AE195" s="629">
        <f t="shared" si="10"/>
        <v>0</v>
      </c>
      <c r="AF195" s="634">
        <f t="shared" si="11"/>
        <v>0</v>
      </c>
      <c r="AG195" s="43">
        <f t="shared" si="16"/>
        <v>0</v>
      </c>
      <c r="AH195" s="7">
        <f t="shared" si="26"/>
        <v>0</v>
      </c>
      <c r="AI195" s="7">
        <f t="shared" si="26"/>
        <v>0</v>
      </c>
      <c r="AJ195" s="7">
        <f t="shared" si="26"/>
        <v>0</v>
      </c>
      <c r="AK195" s="7">
        <f t="shared" si="26"/>
        <v>0</v>
      </c>
      <c r="AL195" s="7">
        <f t="shared" si="26"/>
        <v>0</v>
      </c>
      <c r="AM195" s="7">
        <f t="shared" si="26"/>
        <v>0</v>
      </c>
      <c r="AN195" s="7">
        <f t="shared" si="26"/>
        <v>0</v>
      </c>
      <c r="AO195" s="7">
        <f t="shared" si="26"/>
        <v>0</v>
      </c>
      <c r="AP195" s="7">
        <f t="shared" si="26"/>
        <v>0</v>
      </c>
      <c r="AQ195" s="7">
        <f t="shared" si="26"/>
        <v>0</v>
      </c>
      <c r="AR195" s="7">
        <f t="shared" si="26"/>
        <v>0</v>
      </c>
      <c r="AS195" s="7">
        <f t="shared" si="26"/>
        <v>0</v>
      </c>
      <c r="AT195" s="7">
        <f t="shared" si="26"/>
        <v>0</v>
      </c>
      <c r="AU195" s="7">
        <f t="shared" si="26"/>
        <v>0</v>
      </c>
      <c r="AV195" s="7">
        <f t="shared" si="26"/>
        <v>0</v>
      </c>
      <c r="AW195" s="7">
        <f t="shared" si="20"/>
        <v>0</v>
      </c>
      <c r="AX195" s="7">
        <f t="shared" si="21"/>
        <v>0</v>
      </c>
      <c r="AY195" s="7">
        <f t="shared" si="22"/>
        <v>0</v>
      </c>
      <c r="AZ195" s="7">
        <f t="shared" si="23"/>
        <v>0</v>
      </c>
      <c r="BA195" s="7">
        <f t="shared" si="24"/>
        <v>0</v>
      </c>
      <c r="BB195" s="7">
        <f t="shared" si="25"/>
        <v>0</v>
      </c>
      <c r="BC195" s="7">
        <f>IF(OR(ISERROR(+#REF!/($D195+$E195-$G195)*$G195+#REF!),LEFT(AA195,1)="x"),0,+#REF!/($D195+$E195-$G195)*$G195+#REF!)</f>
        <v>0</v>
      </c>
      <c r="BD195" s="7">
        <f>IF(OR(ISERROR(+#REF!/($D195+$E195-$G195)*$G195+#REF!),LEFT(AB195,1)="x"),0,+#REF!/($D195+$E195-$G195)*$G195+#REF!)</f>
        <v>0</v>
      </c>
      <c r="BE195" s="7" t="e">
        <f>IF(OR(ISERROR(+AC195/($D195+$E195-$G195)*$G195+AC195),LEFT(#REF!,1)="x"),0,+AC195/($D195+$E195-$G195)*$G195+AC195)</f>
        <v>#REF!</v>
      </c>
    </row>
    <row r="196" spans="1:57" ht="13.5" hidden="1" thickBot="1">
      <c r="A196" s="556"/>
      <c r="B196" s="606"/>
      <c r="C196" s="611"/>
      <c r="D196" s="610"/>
      <c r="E196" s="612"/>
      <c r="F196" s="610"/>
      <c r="G196" s="610"/>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9"/>
        <v>0</v>
      </c>
      <c r="AE196" s="629">
        <f t="shared" si="10"/>
        <v>0</v>
      </c>
      <c r="AF196" s="634">
        <f t="shared" si="11"/>
        <v>0</v>
      </c>
      <c r="AG196" s="43">
        <f t="shared" si="16"/>
        <v>0</v>
      </c>
      <c r="AH196" s="7">
        <f t="shared" si="26"/>
        <v>0</v>
      </c>
      <c r="AI196" s="7">
        <f t="shared" si="26"/>
        <v>0</v>
      </c>
      <c r="AJ196" s="7">
        <f t="shared" si="26"/>
        <v>0</v>
      </c>
      <c r="AK196" s="7">
        <f t="shared" si="26"/>
        <v>0</v>
      </c>
      <c r="AL196" s="7">
        <f t="shared" si="26"/>
        <v>0</v>
      </c>
      <c r="AM196" s="7">
        <f t="shared" si="26"/>
        <v>0</v>
      </c>
      <c r="AN196" s="7">
        <f t="shared" si="26"/>
        <v>0</v>
      </c>
      <c r="AO196" s="7">
        <f t="shared" si="26"/>
        <v>0</v>
      </c>
      <c r="AP196" s="7">
        <f t="shared" si="26"/>
        <v>0</v>
      </c>
      <c r="AQ196" s="7">
        <f t="shared" si="26"/>
        <v>0</v>
      </c>
      <c r="AR196" s="7">
        <f t="shared" si="26"/>
        <v>0</v>
      </c>
      <c r="AS196" s="7">
        <f t="shared" si="26"/>
        <v>0</v>
      </c>
      <c r="AT196" s="7">
        <f t="shared" si="26"/>
        <v>0</v>
      </c>
      <c r="AU196" s="7">
        <f t="shared" si="26"/>
        <v>0</v>
      </c>
      <c r="AV196" s="7">
        <f t="shared" si="26"/>
        <v>0</v>
      </c>
      <c r="AW196" s="7">
        <f t="shared" si="20"/>
        <v>0</v>
      </c>
      <c r="AX196" s="7">
        <f t="shared" si="21"/>
        <v>0</v>
      </c>
      <c r="AY196" s="7">
        <f t="shared" si="22"/>
        <v>0</v>
      </c>
      <c r="AZ196" s="7">
        <f t="shared" si="23"/>
        <v>0</v>
      </c>
      <c r="BA196" s="7">
        <f t="shared" si="24"/>
        <v>0</v>
      </c>
      <c r="BB196" s="7">
        <f t="shared" si="25"/>
        <v>0</v>
      </c>
      <c r="BC196" s="7">
        <f>IF(OR(ISERROR(+#REF!/($D196+$E196-$G196)*$G196+#REF!),LEFT(AA196,1)="x"),0,+#REF!/($D196+$E196-$G196)*$G196+#REF!)</f>
        <v>0</v>
      </c>
      <c r="BD196" s="7">
        <f>IF(OR(ISERROR(+#REF!/($D196+$E196-$G196)*$G196+#REF!),LEFT(AB196,1)="x"),0,+#REF!/($D196+$E196-$G196)*$G196+#REF!)</f>
        <v>0</v>
      </c>
      <c r="BE196" s="7" t="e">
        <f>IF(OR(ISERROR(+AC196/($D196+$E196-$G196)*$G196+AC196),LEFT(#REF!,1)="x"),0,+AC196/($D196+$E196-$G196)*$G196+AC196)</f>
        <v>#REF!</v>
      </c>
    </row>
    <row r="197" spans="1:57" ht="14.25">
      <c r="A197" s="99" t="s">
        <v>20</v>
      </c>
      <c r="B197" s="100"/>
      <c r="C197" s="97" t="s">
        <v>26</v>
      </c>
      <c r="D197" s="92">
        <f t="shared" ref="D197:AC197" si="27">SUM(D80:D196)</f>
        <v>5780.3</v>
      </c>
      <c r="E197" s="92">
        <f t="shared" si="27"/>
        <v>914</v>
      </c>
      <c r="F197" s="208">
        <f t="shared" si="27"/>
        <v>0</v>
      </c>
      <c r="G197" s="92">
        <f t="shared" si="27"/>
        <v>0</v>
      </c>
      <c r="H197" s="92">
        <f t="shared" si="27"/>
        <v>225</v>
      </c>
      <c r="I197" s="92">
        <f t="shared" si="27"/>
        <v>164</v>
      </c>
      <c r="J197" s="92">
        <f t="shared" si="27"/>
        <v>35</v>
      </c>
      <c r="K197" s="92">
        <f t="shared" si="27"/>
        <v>0</v>
      </c>
      <c r="L197" s="92">
        <f t="shared" si="27"/>
        <v>1824</v>
      </c>
      <c r="M197" s="92">
        <f t="shared" si="27"/>
        <v>0</v>
      </c>
      <c r="N197" s="92">
        <f t="shared" si="27"/>
        <v>0</v>
      </c>
      <c r="O197" s="92">
        <f t="shared" si="27"/>
        <v>0</v>
      </c>
      <c r="P197" s="92">
        <f t="shared" si="27"/>
        <v>20</v>
      </c>
      <c r="Q197" s="92">
        <f t="shared" si="27"/>
        <v>0</v>
      </c>
      <c r="R197" s="92">
        <f t="shared" si="27"/>
        <v>65</v>
      </c>
      <c r="S197" s="92">
        <f t="shared" si="27"/>
        <v>55</v>
      </c>
      <c r="T197" s="92">
        <f t="shared" si="27"/>
        <v>85</v>
      </c>
      <c r="U197" s="92">
        <f t="shared" si="27"/>
        <v>138</v>
      </c>
      <c r="V197" s="92">
        <f t="shared" si="27"/>
        <v>6.8</v>
      </c>
      <c r="W197" s="92">
        <f t="shared" si="27"/>
        <v>95</v>
      </c>
      <c r="X197" s="92">
        <f t="shared" si="27"/>
        <v>0</v>
      </c>
      <c r="Y197" s="92">
        <f t="shared" si="27"/>
        <v>3811.5</v>
      </c>
      <c r="Z197" s="92">
        <f t="shared" si="27"/>
        <v>0</v>
      </c>
      <c r="AA197" s="92">
        <f t="shared" si="27"/>
        <v>0</v>
      </c>
      <c r="AB197" s="92">
        <f t="shared" si="27"/>
        <v>157</v>
      </c>
      <c r="AC197" s="208">
        <f t="shared" si="27"/>
        <v>13</v>
      </c>
      <c r="AH197" s="7">
        <f t="shared" si="26"/>
        <v>225</v>
      </c>
      <c r="AI197" s="7">
        <f t="shared" si="26"/>
        <v>164</v>
      </c>
      <c r="AJ197" s="7">
        <f t="shared" si="26"/>
        <v>35</v>
      </c>
      <c r="AK197" s="7">
        <f t="shared" si="26"/>
        <v>0</v>
      </c>
      <c r="AL197" s="7">
        <f t="shared" si="26"/>
        <v>1824</v>
      </c>
      <c r="AM197" s="7">
        <f t="shared" si="26"/>
        <v>0</v>
      </c>
      <c r="AN197" s="7">
        <f t="shared" si="26"/>
        <v>0</v>
      </c>
      <c r="AO197" s="7">
        <f t="shared" si="26"/>
        <v>0</v>
      </c>
      <c r="AP197" s="7">
        <f t="shared" si="26"/>
        <v>20</v>
      </c>
      <c r="AQ197" s="7">
        <f t="shared" si="26"/>
        <v>0</v>
      </c>
      <c r="AR197" s="7">
        <f t="shared" si="26"/>
        <v>65</v>
      </c>
      <c r="AS197" s="7">
        <f t="shared" si="26"/>
        <v>55</v>
      </c>
      <c r="AT197" s="7">
        <f t="shared" si="26"/>
        <v>85</v>
      </c>
      <c r="AU197" s="7">
        <f t="shared" si="26"/>
        <v>138</v>
      </c>
      <c r="AV197" s="7">
        <f t="shared" si="26"/>
        <v>6.8</v>
      </c>
      <c r="AW197" s="7">
        <f t="shared" si="20"/>
        <v>95</v>
      </c>
      <c r="AX197" s="7">
        <f t="shared" si="21"/>
        <v>0</v>
      </c>
      <c r="AY197" s="7">
        <f t="shared" si="22"/>
        <v>3811.5</v>
      </c>
      <c r="AZ197" s="7">
        <f t="shared" si="23"/>
        <v>0</v>
      </c>
      <c r="BA197" s="7">
        <f t="shared" si="24"/>
        <v>0</v>
      </c>
      <c r="BB197" s="7">
        <f t="shared" si="25"/>
        <v>157</v>
      </c>
      <c r="BC197" s="7">
        <f>IF(OR(ISERROR(+#REF!/($D197+$E197-$G197)*$G197+#REF!),LEFT(AA197,1)="x"),0,+#REF!/($D197+$E197-$G197)*$G197+#REF!)</f>
        <v>0</v>
      </c>
      <c r="BD197" s="7">
        <f>IF(OR(ISERROR(+AC197/($D197+$E197-$G197)*$G197+AC197),LEFT(Z197,1)="x"),0,+AC197/($D197+$E197-$G197)*$G197+AC197)</f>
        <v>13</v>
      </c>
    </row>
    <row r="198" spans="1:57" ht="13.5" thickBot="1">
      <c r="A198" s="50"/>
      <c r="B198" s="51"/>
      <c r="C198" s="39" t="s">
        <v>27</v>
      </c>
      <c r="D198" s="643">
        <f t="shared" ref="D198:AC198" si="28">SUM(D79:D196)</f>
        <v>76607.289999999994</v>
      </c>
      <c r="E198" s="643">
        <f t="shared" si="28"/>
        <v>914</v>
      </c>
      <c r="F198" s="644">
        <f t="shared" si="28"/>
        <v>0</v>
      </c>
      <c r="G198" s="643">
        <f t="shared" si="28"/>
        <v>0</v>
      </c>
      <c r="H198" s="643">
        <f t="shared" si="28"/>
        <v>1125</v>
      </c>
      <c r="I198" s="643">
        <f t="shared" si="28"/>
        <v>820</v>
      </c>
      <c r="J198" s="643">
        <f t="shared" si="28"/>
        <v>175</v>
      </c>
      <c r="K198" s="643">
        <f t="shared" si="28"/>
        <v>0</v>
      </c>
      <c r="L198" s="643">
        <f t="shared" si="28"/>
        <v>10944</v>
      </c>
      <c r="M198" s="643">
        <f t="shared" si="28"/>
        <v>0</v>
      </c>
      <c r="N198" s="643">
        <f t="shared" si="28"/>
        <v>0</v>
      </c>
      <c r="O198" s="643">
        <f t="shared" si="28"/>
        <v>0</v>
      </c>
      <c r="P198" s="643">
        <f t="shared" si="28"/>
        <v>100</v>
      </c>
      <c r="Q198" s="643">
        <f t="shared" si="28"/>
        <v>0</v>
      </c>
      <c r="R198" s="643">
        <f t="shared" si="28"/>
        <v>325</v>
      </c>
      <c r="S198" s="643">
        <f t="shared" si="28"/>
        <v>275</v>
      </c>
      <c r="T198" s="643">
        <f t="shared" si="28"/>
        <v>425</v>
      </c>
      <c r="U198" s="643">
        <f t="shared" si="28"/>
        <v>690</v>
      </c>
      <c r="V198" s="643">
        <f t="shared" si="28"/>
        <v>32.799999999999997</v>
      </c>
      <c r="W198" s="643">
        <f t="shared" si="28"/>
        <v>475</v>
      </c>
      <c r="X198" s="643">
        <f t="shared" si="28"/>
        <v>50555.39</v>
      </c>
      <c r="Y198" s="643">
        <f t="shared" si="28"/>
        <v>10781.1</v>
      </c>
      <c r="Z198" s="643">
        <f t="shared" si="28"/>
        <v>0</v>
      </c>
      <c r="AA198" s="643">
        <f t="shared" si="28"/>
        <v>0</v>
      </c>
      <c r="AB198" s="643">
        <f t="shared" si="28"/>
        <v>785</v>
      </c>
      <c r="AC198" s="645">
        <f t="shared" si="28"/>
        <v>13</v>
      </c>
      <c r="AG198" s="57"/>
      <c r="AH198" s="7">
        <f t="shared" ref="AH198:AV201" si="29">IF(OR(ISERROR(+H198/($D198+$E198-$G198)*$G198+H198),LEFT(F198,1)="x"),0,+H198/($D198+$E198-$G198)*$G198+H198)</f>
        <v>1125</v>
      </c>
      <c r="AI198" s="7">
        <f t="shared" si="29"/>
        <v>820</v>
      </c>
      <c r="AJ198" s="7">
        <f t="shared" si="29"/>
        <v>175</v>
      </c>
      <c r="AK198" s="7">
        <f t="shared" si="29"/>
        <v>0</v>
      </c>
      <c r="AL198" s="7">
        <f t="shared" si="29"/>
        <v>10944</v>
      </c>
      <c r="AM198" s="7">
        <f t="shared" si="29"/>
        <v>0</v>
      </c>
      <c r="AN198" s="7">
        <f t="shared" si="29"/>
        <v>0</v>
      </c>
      <c r="AO198" s="7">
        <f t="shared" si="29"/>
        <v>0</v>
      </c>
      <c r="AP198" s="7">
        <f t="shared" si="29"/>
        <v>100</v>
      </c>
      <c r="AQ198" s="7">
        <f t="shared" si="29"/>
        <v>0</v>
      </c>
      <c r="AR198" s="7">
        <f t="shared" si="29"/>
        <v>325</v>
      </c>
      <c r="AS198" s="7">
        <f t="shared" si="29"/>
        <v>275</v>
      </c>
      <c r="AT198" s="7">
        <f t="shared" si="29"/>
        <v>425</v>
      </c>
      <c r="AU198" s="7">
        <f t="shared" si="29"/>
        <v>690</v>
      </c>
      <c r="AV198" s="7">
        <f t="shared" si="29"/>
        <v>32.799999999999997</v>
      </c>
      <c r="AW198" s="7">
        <f t="shared" si="20"/>
        <v>475</v>
      </c>
      <c r="AX198" s="7">
        <f t="shared" si="21"/>
        <v>50555.39</v>
      </c>
      <c r="AY198" s="7">
        <f t="shared" si="22"/>
        <v>10781.1</v>
      </c>
      <c r="AZ198" s="7">
        <f t="shared" si="23"/>
        <v>0</v>
      </c>
      <c r="BA198" s="7">
        <f t="shared" si="24"/>
        <v>0</v>
      </c>
      <c r="BB198" s="7">
        <f t="shared" si="25"/>
        <v>785</v>
      </c>
      <c r="BC198" s="7">
        <f>IF(OR(ISERROR(+#REF!/($D198+$E198-$G198)*$G198+#REF!),LEFT(AA198,1)="x"),0,+#REF!/($D198+$E198-$G198)*$G198+#REF!)</f>
        <v>0</v>
      </c>
      <c r="BD198" s="7">
        <f>IF(OR(ISERROR(+AC198/($D198+$E198-$G198)*$G198+AC198),LEFT(Z198,1)="x"),0,+AC198/($D198+$E198-$G198)*$G198+AC198)</f>
        <v>13</v>
      </c>
    </row>
    <row r="199" spans="1:5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H199" s="7">
        <f t="shared" si="29"/>
        <v>0</v>
      </c>
      <c r="AI199" s="7">
        <f t="shared" si="29"/>
        <v>0</v>
      </c>
      <c r="AJ199" s="7">
        <f t="shared" si="29"/>
        <v>0</v>
      </c>
      <c r="AK199" s="7">
        <f t="shared" si="29"/>
        <v>0</v>
      </c>
      <c r="AL199" s="7">
        <f t="shared" si="29"/>
        <v>0</v>
      </c>
      <c r="AM199" s="7">
        <f t="shared" si="29"/>
        <v>0</v>
      </c>
      <c r="AN199" s="7">
        <f t="shared" si="29"/>
        <v>0</v>
      </c>
      <c r="AO199" s="7">
        <f t="shared" si="29"/>
        <v>0</v>
      </c>
      <c r="AP199" s="7">
        <f t="shared" si="29"/>
        <v>0</v>
      </c>
      <c r="AQ199" s="7">
        <f t="shared" si="29"/>
        <v>0</v>
      </c>
      <c r="AR199" s="7">
        <f t="shared" si="29"/>
        <v>0</v>
      </c>
      <c r="AS199" s="7">
        <f t="shared" si="29"/>
        <v>0</v>
      </c>
      <c r="AT199" s="7">
        <f t="shared" si="29"/>
        <v>0</v>
      </c>
      <c r="AU199" s="7">
        <f t="shared" si="29"/>
        <v>0</v>
      </c>
      <c r="AV199" s="7">
        <f t="shared" si="29"/>
        <v>0</v>
      </c>
      <c r="AW199" s="7">
        <f t="shared" si="20"/>
        <v>0</v>
      </c>
      <c r="AX199" s="7">
        <f t="shared" si="21"/>
        <v>0</v>
      </c>
      <c r="AY199" s="7">
        <f t="shared" si="22"/>
        <v>0</v>
      </c>
      <c r="AZ199" s="7">
        <f t="shared" si="23"/>
        <v>0</v>
      </c>
      <c r="BA199" s="7">
        <f t="shared" si="24"/>
        <v>0</v>
      </c>
      <c r="BB199" s="7">
        <f t="shared" si="25"/>
        <v>0</v>
      </c>
      <c r="BC199" s="7">
        <f>IF(OR(ISERROR(+#REF!/($D199+$E199-$G199)*$G199+#REF!),LEFT(AA199,1)="x"),0,+#REF!/($D199+$E199-$G199)*$G199+#REF!)</f>
        <v>0</v>
      </c>
      <c r="BD199" s="7">
        <f>IF(OR(ISERROR(+AC199/($D199+$E199-$G199)*$G199+AC199),LEFT(Z199,1)="x"),0,+AC199/($D199+$E199-$G199)*$G199+AC199)</f>
        <v>0</v>
      </c>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H200" s="7">
        <f t="shared" si="29"/>
        <v>0</v>
      </c>
      <c r="AI200" s="7">
        <f t="shared" si="29"/>
        <v>0</v>
      </c>
      <c r="AJ200" s="7">
        <f t="shared" si="29"/>
        <v>0</v>
      </c>
      <c r="AK200" s="7">
        <f t="shared" si="29"/>
        <v>0</v>
      </c>
      <c r="AL200" s="7">
        <f t="shared" si="29"/>
        <v>0</v>
      </c>
      <c r="AM200" s="7">
        <f t="shared" si="29"/>
        <v>0</v>
      </c>
      <c r="AN200" s="7">
        <f t="shared" si="29"/>
        <v>0</v>
      </c>
      <c r="AO200" s="7">
        <f t="shared" si="29"/>
        <v>0</v>
      </c>
      <c r="AP200" s="7">
        <f t="shared" si="29"/>
        <v>0</v>
      </c>
      <c r="AQ200" s="7">
        <f t="shared" si="29"/>
        <v>0</v>
      </c>
      <c r="AR200" s="7">
        <f t="shared" si="29"/>
        <v>0</v>
      </c>
      <c r="AS200" s="7">
        <f t="shared" si="29"/>
        <v>0</v>
      </c>
      <c r="AT200" s="7">
        <f t="shared" si="29"/>
        <v>0</v>
      </c>
      <c r="AU200" s="7">
        <f t="shared" si="29"/>
        <v>0</v>
      </c>
      <c r="AV200" s="7">
        <f t="shared" si="29"/>
        <v>0</v>
      </c>
      <c r="AW200" s="7">
        <f t="shared" si="20"/>
        <v>0</v>
      </c>
      <c r="AX200" s="7">
        <f t="shared" si="21"/>
        <v>0</v>
      </c>
      <c r="AY200" s="7">
        <f t="shared" si="22"/>
        <v>0</v>
      </c>
      <c r="AZ200" s="7">
        <f t="shared" si="23"/>
        <v>0</v>
      </c>
      <c r="BA200" s="7">
        <f t="shared" si="24"/>
        <v>0</v>
      </c>
      <c r="BB200" s="7">
        <f t="shared" si="25"/>
        <v>0</v>
      </c>
      <c r="BC200" s="7">
        <f>IF(OR(ISERROR(+#REF!/($D200+$E200-$G200)*$G200+#REF!),LEFT(AA200,1)="x"),0,+#REF!/($D200+$E200-$G200)*$G200+#REF!)</f>
        <v>0</v>
      </c>
      <c r="BD200" s="7">
        <f>IF(OR(ISERROR(+AC200/($D200+$E200-$G200)*$G200+AC200),LEFT(Z200,1)="x"),0,+AC200/($D200+$E200-$G200)*$G200+AC200)</f>
        <v>0</v>
      </c>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H201" s="7">
        <f t="shared" si="29"/>
        <v>0</v>
      </c>
      <c r="AI201" s="7">
        <f t="shared" si="29"/>
        <v>0</v>
      </c>
      <c r="AJ201" s="7">
        <f t="shared" si="29"/>
        <v>0</v>
      </c>
      <c r="AK201" s="7">
        <f t="shared" si="29"/>
        <v>0</v>
      </c>
      <c r="AL201" s="7">
        <f t="shared" si="29"/>
        <v>0</v>
      </c>
      <c r="AM201" s="7">
        <f t="shared" si="29"/>
        <v>0</v>
      </c>
      <c r="AN201" s="7">
        <f t="shared" si="29"/>
        <v>0</v>
      </c>
      <c r="AO201" s="7">
        <f t="shared" si="29"/>
        <v>0</v>
      </c>
      <c r="AP201" s="7">
        <f t="shared" si="29"/>
        <v>0</v>
      </c>
      <c r="AQ201" s="7">
        <f t="shared" si="29"/>
        <v>0</v>
      </c>
      <c r="AR201" s="7">
        <f t="shared" si="29"/>
        <v>0</v>
      </c>
      <c r="AS201" s="7">
        <f t="shared" si="29"/>
        <v>0</v>
      </c>
      <c r="AT201" s="7">
        <f t="shared" si="29"/>
        <v>0</v>
      </c>
      <c r="AU201" s="7">
        <f t="shared" si="29"/>
        <v>0</v>
      </c>
      <c r="AV201" s="7">
        <f t="shared" si="29"/>
        <v>0</v>
      </c>
      <c r="AW201" s="7">
        <f t="shared" si="20"/>
        <v>0</v>
      </c>
      <c r="AX201" s="7">
        <f t="shared" si="21"/>
        <v>0</v>
      </c>
      <c r="AY201" s="7">
        <f t="shared" si="22"/>
        <v>0</v>
      </c>
      <c r="AZ201" s="7">
        <f t="shared" si="23"/>
        <v>0</v>
      </c>
      <c r="BA201" s="7">
        <f t="shared" si="24"/>
        <v>0</v>
      </c>
      <c r="BB201" s="7">
        <f t="shared" si="25"/>
        <v>0</v>
      </c>
      <c r="BC201" s="7">
        <f>IF(OR(ISERROR(+#REF!/($D201+$E201-$G201)*$G201+#REF!),LEFT(AA201,1)="x"),0,+#REF!/($D201+$E201-$G201)*$G201+#REF!)</f>
        <v>0</v>
      </c>
      <c r="BD201" s="7">
        <f>IF(OR(ISERROR(+AC201/($D201+$E201-$G201)*$G201+AC201),LEFT(Z201,1)="x"),0,+AC201/($D201+$E201-$G201)*$G201+AC201)</f>
        <v>0</v>
      </c>
    </row>
    <row r="202" spans="1:57" ht="15.75">
      <c r="A202" s="52" t="s">
        <v>226</v>
      </c>
      <c r="B202" s="52"/>
      <c r="C202" s="52"/>
      <c r="D202" s="19">
        <f>E202-H202</f>
        <v>0</v>
      </c>
      <c r="E202" s="53">
        <f>D197+E197+F197</f>
        <v>6694.3</v>
      </c>
      <c r="F202" s="53" t="s">
        <v>20</v>
      </c>
      <c r="G202" s="17"/>
      <c r="H202" s="53">
        <f>SUM(G197:AC197)</f>
        <v>6694.3</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
      <c r="A203" s="17"/>
      <c r="B203" s="17"/>
      <c r="C203" s="17"/>
      <c r="D203" s="54">
        <f>IF(D202=0,0,"Error - check totals do not balance, please see column AF - at the right side of the expenditure table for corrections to be made")</f>
        <v>0</v>
      </c>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ht="15">
      <c r="A205" s="17"/>
      <c r="B205" s="17"/>
      <c r="C205" s="17"/>
      <c r="D205" s="54"/>
      <c r="E205" s="5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32">
      <c r="A209" s="161" t="s">
        <v>166</v>
      </c>
      <c r="B209" s="17"/>
      <c r="C209" s="17"/>
      <c r="D209" s="17"/>
      <c r="E209" s="639">
        <f>'Nov 17'!K10+L54+M54+N54+O54-D198</f>
        <v>78063.410000000018</v>
      </c>
      <c r="F209" s="639">
        <f>'Nov 17'!K11+P54+X198-O54</f>
        <v>87021.900000000009</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32">
      <c r="A210" s="161"/>
      <c r="B210" s="17"/>
      <c r="C210" s="73"/>
      <c r="D210" s="73"/>
      <c r="E210" s="637"/>
      <c r="F210" s="6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32">
      <c r="A211" s="161" t="s">
        <v>63</v>
      </c>
      <c r="B211" s="17"/>
      <c r="C211" s="642"/>
      <c r="D211" s="642"/>
      <c r="E211" s="637" t="s">
        <v>20</v>
      </c>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32">
      <c r="B212" s="162" t="s">
        <v>187</v>
      </c>
      <c r="C212" s="642"/>
      <c r="D212" s="642"/>
      <c r="E212" s="637" t="s">
        <v>20</v>
      </c>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32">
      <c r="A213" s="17"/>
      <c r="B213" s="162" t="s">
        <v>164</v>
      </c>
      <c r="C213" s="642"/>
      <c r="D213" s="642"/>
      <c r="E213" s="637" t="s">
        <v>20</v>
      </c>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32">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32">
      <c r="A215" s="17"/>
      <c r="B215" s="17"/>
      <c r="C215" s="642"/>
      <c r="D215" s="642"/>
      <c r="E215" s="637"/>
      <c r="F215" s="6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32" ht="13.5" thickBot="1">
      <c r="A216" s="56" t="s">
        <v>165</v>
      </c>
      <c r="B216" s="56"/>
      <c r="C216" s="17"/>
      <c r="D216" s="17"/>
      <c r="E216" s="641">
        <f>E209+SUM(E211:E215)</f>
        <v>78063.410000000018</v>
      </c>
      <c r="F216" s="641">
        <f>F209+SUM(F211:F215)</f>
        <v>87021.900000000009</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32" ht="13.5" thickTop="1">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32" s="17" customFormat="1">
      <c r="A218" s="56"/>
      <c r="E218" s="53"/>
      <c r="AD218" s="346"/>
      <c r="AE218" s="346"/>
      <c r="AF218" s="636"/>
    </row>
    <row r="219" spans="1:3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32" hidden="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32" hidden="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32" hidden="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32"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32"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5" hidden="1">
      <c r="B246" s="213"/>
      <c r="C246" s="18"/>
      <c r="D246" s="18"/>
      <c r="E246" s="18"/>
      <c r="F246" s="215"/>
      <c r="G246" s="18"/>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2.6" hidden="1" customHeight="1">
      <c r="B247" s="213" t="s">
        <v>196</v>
      </c>
      <c r="C247" s="214"/>
      <c r="D247" s="214">
        <f>$C$58+$C$59-D249</f>
        <v>0</v>
      </c>
      <c r="E247" s="18"/>
      <c r="F247" s="215" t="s">
        <v>197</v>
      </c>
      <c r="G247" s="18"/>
      <c r="H247" s="18"/>
      <c r="I247" s="18"/>
      <c r="J247" s="18"/>
      <c r="K247" s="18"/>
      <c r="L247" s="18"/>
      <c r="M247" s="18"/>
      <c r="N247" s="17"/>
      <c r="O247" s="17"/>
      <c r="P247" s="17"/>
      <c r="Q247" s="17"/>
      <c r="R247" s="17"/>
      <c r="S247" s="17"/>
      <c r="T247" s="17"/>
      <c r="U247" s="17"/>
      <c r="V247" s="17"/>
      <c r="W247" s="17"/>
      <c r="X247" s="17"/>
      <c r="Y247" s="17"/>
      <c r="Z247" s="17"/>
      <c r="AA247" s="17"/>
      <c r="AB247" s="17"/>
      <c r="AC247" s="17"/>
    </row>
    <row r="248" spans="1:29" ht="14.25" hidden="1" customHeight="1">
      <c r="B248" s="216" t="s">
        <v>64</v>
      </c>
      <c r="C248" s="18">
        <f>($C$58+$C$59-663)/113.8*13.8</f>
        <v>-80.398945518453431</v>
      </c>
      <c r="D248" s="18"/>
      <c r="E248" s="7"/>
      <c r="F248" s="393" t="s">
        <v>397</v>
      </c>
      <c r="G248" s="18"/>
      <c r="H248" s="18"/>
      <c r="I248" s="18"/>
      <c r="J248" s="18"/>
      <c r="K248" s="18"/>
      <c r="L248" s="18"/>
      <c r="M248" s="18"/>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8"/>
      <c r="I249" s="18"/>
      <c r="J249" s="18"/>
      <c r="K249" s="18"/>
      <c r="L249" s="18"/>
      <c r="M249" s="18"/>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8"/>
      <c r="I250" s="18"/>
      <c r="J250" s="18"/>
      <c r="K250" s="18"/>
      <c r="L250" s="18"/>
      <c r="M250" s="18"/>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8"/>
      <c r="I251" s="18"/>
      <c r="J251" s="18"/>
      <c r="K251" s="18"/>
      <c r="L251" s="18"/>
      <c r="M251" s="18"/>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8"/>
      <c r="I252" s="18"/>
      <c r="J252" s="18"/>
      <c r="K252" s="18"/>
      <c r="L252" s="18"/>
      <c r="M252" s="18"/>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8"/>
      <c r="I253" s="18"/>
      <c r="J253" s="18"/>
      <c r="K253" s="18"/>
      <c r="L253" s="18"/>
      <c r="M253" s="18"/>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8"/>
      <c r="I254" s="18"/>
      <c r="J254" s="18"/>
      <c r="K254" s="18"/>
      <c r="L254" s="18"/>
      <c r="M254" s="18"/>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8"/>
      <c r="I255" s="18"/>
      <c r="J255" s="18"/>
      <c r="K255" s="18"/>
      <c r="L255" s="18"/>
      <c r="M255" s="18"/>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8"/>
      <c r="I256" s="18"/>
      <c r="J256" s="18"/>
      <c r="K256" s="18"/>
      <c r="L256" s="18"/>
      <c r="M256" s="18"/>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8"/>
      <c r="I257" s="18"/>
      <c r="J257" s="18"/>
      <c r="K257" s="18"/>
      <c r="L257" s="18"/>
      <c r="M257" s="18"/>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8"/>
      <c r="I258" s="18"/>
      <c r="J258" s="18"/>
      <c r="K258" s="18"/>
      <c r="L258" s="18"/>
      <c r="M258" s="18"/>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8"/>
      <c r="I259" s="18"/>
      <c r="J259" s="18"/>
      <c r="K259" s="18"/>
      <c r="L259" s="18"/>
      <c r="M259" s="18"/>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8"/>
      <c r="I260" s="18"/>
      <c r="J260" s="18"/>
      <c r="K260" s="18"/>
      <c r="L260" s="18"/>
      <c r="M260" s="18"/>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c r="H261" s="18"/>
      <c r="I261" s="18"/>
      <c r="J261" s="18"/>
      <c r="K261" s="18"/>
      <c r="L261" s="18"/>
      <c r="M261" s="18"/>
      <c r="N261" s="17"/>
      <c r="O261" s="17"/>
      <c r="P261" s="17"/>
      <c r="Q261" s="17"/>
      <c r="R261" s="17"/>
      <c r="S261" s="17"/>
      <c r="T261" s="17"/>
      <c r="U261" s="17"/>
      <c r="V261" s="17"/>
      <c r="W261" s="17"/>
      <c r="X261" s="17"/>
      <c r="Y261" s="17"/>
      <c r="Z261" s="17"/>
      <c r="AA261" s="17"/>
      <c r="AB261" s="17"/>
      <c r="AC261" s="17"/>
    </row>
    <row r="262" spans="1:29" ht="15" hidden="1">
      <c r="B262" s="216"/>
      <c r="C262" s="214">
        <v>0</v>
      </c>
      <c r="D262" s="214">
        <f>MAX(C261:C262)</f>
        <v>0</v>
      </c>
      <c r="E262" s="220"/>
      <c r="H262" s="18"/>
      <c r="I262" s="18"/>
      <c r="J262" s="18"/>
      <c r="K262" s="18"/>
      <c r="L262" s="18"/>
      <c r="M262" s="18"/>
      <c r="N262" s="17"/>
      <c r="O262" s="17"/>
      <c r="P262" s="17"/>
      <c r="Q262" s="17"/>
      <c r="R262" s="17"/>
      <c r="S262" s="17"/>
      <c r="T262" s="17"/>
      <c r="U262" s="17"/>
      <c r="V262" s="17"/>
      <c r="W262" s="17"/>
      <c r="X262" s="17"/>
      <c r="Y262" s="17"/>
      <c r="Z262" s="17"/>
      <c r="AA262" s="17"/>
      <c r="AB262" s="17"/>
      <c r="AC262" s="17"/>
    </row>
    <row r="263" spans="1:29" ht="15" hidden="1">
      <c r="B263" s="216" t="s">
        <v>203</v>
      </c>
      <c r="C263" s="329">
        <v>0</v>
      </c>
      <c r="D263" s="329">
        <v>0</v>
      </c>
      <c r="E263" s="220"/>
    </row>
    <row r="264" spans="1:29" ht="15" hidden="1">
      <c r="B264" s="330" t="s">
        <v>204</v>
      </c>
      <c r="C264" s="20"/>
      <c r="E264" s="219">
        <f>D263+D262+D260+D258+D256</f>
        <v>0</v>
      </c>
    </row>
    <row r="265" spans="1:29" ht="15.75" hidden="1" thickBot="1">
      <c r="B265" s="330" t="s">
        <v>69</v>
      </c>
      <c r="C265" s="20"/>
      <c r="E265" s="331">
        <f>E254+E264</f>
        <v>0</v>
      </c>
    </row>
    <row r="266" spans="1:29" ht="13.5" hidden="1" thickTop="1"/>
    <row r="267" spans="1:29" hidden="1"/>
    <row r="268" spans="1:29" ht="15" hidden="1">
      <c r="A268" s="211" t="s">
        <v>318</v>
      </c>
      <c r="B268" s="17"/>
      <c r="D268" s="212"/>
      <c r="E268" s="17"/>
      <c r="F268" s="17"/>
    </row>
    <row r="269" spans="1:29" hidden="1">
      <c r="B269" s="18"/>
      <c r="C269" s="18"/>
      <c r="D269" s="18"/>
      <c r="E269" s="18"/>
      <c r="F269" s="18"/>
    </row>
    <row r="270" spans="1:29" ht="15" hidden="1">
      <c r="B270" s="213" t="s">
        <v>196</v>
      </c>
      <c r="C270" s="214"/>
      <c r="D270" s="214">
        <f>$C$58+$C$59-D272</f>
        <v>0</v>
      </c>
      <c r="E270" s="18"/>
      <c r="F270" s="215" t="s">
        <v>197</v>
      </c>
    </row>
    <row r="271" spans="1:29" hidden="1">
      <c r="B271" s="216" t="s">
        <v>64</v>
      </c>
      <c r="C271" s="18">
        <f>($C$58+$C$59-641)/113.8*13.8</f>
        <v>-77.7311072056239</v>
      </c>
      <c r="D271" s="18"/>
      <c r="E271" s="7"/>
      <c r="F271" s="393" t="s">
        <v>324</v>
      </c>
    </row>
    <row r="272" spans="1:29" hidden="1">
      <c r="B272" s="216"/>
      <c r="C272" s="214">
        <v>0</v>
      </c>
      <c r="D272" s="214">
        <f>MAX(C271:C272)</f>
        <v>0</v>
      </c>
      <c r="E272" s="7"/>
      <c r="F272" s="216"/>
    </row>
    <row r="273" spans="2:6" hidden="1">
      <c r="B273" s="216" t="s">
        <v>65</v>
      </c>
      <c r="C273" s="18">
        <f>IF((D248&lt;3454.17), ((D248-645)*0.12),((3539.58-645)*0.12))</f>
        <v>-77.399999999999991</v>
      </c>
      <c r="D273" s="18"/>
      <c r="E273" s="7"/>
      <c r="F273" s="393" t="s">
        <v>323</v>
      </c>
    </row>
    <row r="274" spans="2:6" hidden="1">
      <c r="B274" s="216"/>
      <c r="C274" s="214">
        <v>0</v>
      </c>
      <c r="D274" s="214">
        <f>MAX(C273:C274)</f>
        <v>0</v>
      </c>
      <c r="E274" s="7"/>
      <c r="F274" s="216"/>
    </row>
    <row r="275" spans="2:6" hidden="1">
      <c r="B275" s="216" t="s">
        <v>120</v>
      </c>
      <c r="C275" s="18">
        <f>(D248-3454.17)*0.02</f>
        <v>-69.083399999999997</v>
      </c>
      <c r="D275" s="18"/>
      <c r="E275" s="7"/>
      <c r="F275" s="393" t="s">
        <v>322</v>
      </c>
    </row>
    <row r="276" spans="2:6" hidden="1">
      <c r="B276" s="217"/>
      <c r="C276" s="214">
        <v>0</v>
      </c>
      <c r="D276" s="214">
        <f>MAX(C275:C276)</f>
        <v>0</v>
      </c>
      <c r="E276" s="7"/>
      <c r="F276" s="216"/>
    </row>
    <row r="277" spans="2:6" ht="15" hidden="1">
      <c r="B277" s="218" t="s">
        <v>198</v>
      </c>
      <c r="C277" s="71"/>
      <c r="D277" s="71"/>
      <c r="E277" s="219">
        <f>D276+D274+D272</f>
        <v>0</v>
      </c>
      <c r="F277" s="216"/>
    </row>
    <row r="278" spans="2:6" ht="15" hidden="1">
      <c r="D278" s="18"/>
      <c r="E278" s="220"/>
      <c r="F278" s="327" t="s">
        <v>210</v>
      </c>
    </row>
    <row r="279" spans="2:6" ht="15" hidden="1">
      <c r="B279" s="217" t="s">
        <v>199</v>
      </c>
      <c r="C279" s="328">
        <f>IF((D248&lt;12500),0,((D248-12500)*0.45))</f>
        <v>0</v>
      </c>
      <c r="D279" s="214">
        <f>C279</f>
        <v>0</v>
      </c>
      <c r="E279" s="220"/>
      <c r="F279" s="216"/>
    </row>
    <row r="280" spans="2:6" ht="15" hidden="1">
      <c r="B280" s="217" t="s">
        <v>200</v>
      </c>
      <c r="C280" s="20">
        <f>IF((D248&lt;12500),(((D248-8333.33)*0.4)+(786.67*0.4)),(((12500-8333.33)*0.4)+(786.67*0.4)))</f>
        <v>-3018.6640000000002</v>
      </c>
      <c r="D280" s="18"/>
      <c r="E280" s="220"/>
      <c r="F280" s="327" t="s">
        <v>209</v>
      </c>
    </row>
    <row r="281" spans="2:6" ht="15" hidden="1">
      <c r="B281" s="217"/>
      <c r="C281" s="214">
        <v>0</v>
      </c>
      <c r="D281" s="214">
        <f>MAX(C280:C281)</f>
        <v>0</v>
      </c>
      <c r="E281" s="220"/>
      <c r="F281" s="217"/>
    </row>
    <row r="282" spans="2:6" ht="15" hidden="1">
      <c r="B282" s="216" t="s">
        <v>201</v>
      </c>
      <c r="C282" s="20">
        <f>IF((D248&lt;8333.33),((D248-3454.17)*0.4),((8333.33-3454.17)*0.4))</f>
        <v>-1381.6680000000001</v>
      </c>
      <c r="D282" s="18"/>
      <c r="E282" s="220"/>
      <c r="F282" s="393" t="s">
        <v>321</v>
      </c>
    </row>
    <row r="283" spans="2:6" ht="15" hidden="1">
      <c r="B283" s="216"/>
      <c r="C283" s="214">
        <v>0</v>
      </c>
      <c r="D283" s="214">
        <f>MAX(C282:C283)</f>
        <v>0</v>
      </c>
      <c r="E283" s="220"/>
      <c r="F283" s="393" t="s">
        <v>320</v>
      </c>
    </row>
    <row r="284" spans="2:6" ht="15" hidden="1">
      <c r="B284" s="216" t="s">
        <v>202</v>
      </c>
      <c r="C284" s="20">
        <f>IF((D248&lt;3454.17),((D248-786.67)*0.2),(2667.5*0.2))</f>
        <v>-157.334</v>
      </c>
      <c r="D284" s="18"/>
      <c r="E284" s="221"/>
      <c r="F284" s="393" t="s">
        <v>319</v>
      </c>
    </row>
    <row r="285" spans="2:6" ht="15" hidden="1">
      <c r="B285" s="216"/>
      <c r="C285" s="214">
        <v>0</v>
      </c>
      <c r="D285" s="214">
        <f>MAX(C284:C285)</f>
        <v>0</v>
      </c>
      <c r="E285" s="220"/>
    </row>
    <row r="286" spans="2:6" ht="15" hidden="1">
      <c r="B286" s="216" t="s">
        <v>203</v>
      </c>
      <c r="C286" s="329">
        <v>0</v>
      </c>
      <c r="D286" s="329">
        <v>0</v>
      </c>
      <c r="E286" s="220"/>
    </row>
    <row r="287" spans="2:6" ht="15" hidden="1">
      <c r="B287" s="330" t="s">
        <v>204</v>
      </c>
      <c r="C287" s="20"/>
      <c r="E287" s="219">
        <f>D286+D285+D283+D281+D279</f>
        <v>0</v>
      </c>
    </row>
    <row r="288" spans="2:6"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sheetData>
  <sheetProtection password="CE8E" sheet="1" objects="1" scenarios="1"/>
  <phoneticPr fontId="0" type="noConversion"/>
  <conditionalFormatting sqref="G79 G94:G196">
    <cfRule type="expression" dxfId="288" priority="35" stopIfTrue="1">
      <formula>$E$12&gt;0</formula>
    </cfRule>
  </conditionalFormatting>
  <conditionalFormatting sqref="G79 G94:G196">
    <cfRule type="expression" dxfId="287" priority="36" stopIfTrue="1">
      <formula>$E$12&gt;0</formula>
    </cfRule>
    <cfRule type="expression" priority="37" stopIfTrue="1">
      <formula>$E$12 &gt;0</formula>
    </cfRule>
  </conditionalFormatting>
  <conditionalFormatting sqref="G79 G94:G196">
    <cfRule type="expression" dxfId="286" priority="34" stopIfTrue="1">
      <formula>"e12&gt;0"</formula>
    </cfRule>
  </conditionalFormatting>
  <conditionalFormatting sqref="G93">
    <cfRule type="expression" dxfId="285" priority="31" stopIfTrue="1">
      <formula>$E$12&gt;0</formula>
    </cfRule>
  </conditionalFormatting>
  <conditionalFormatting sqref="G93">
    <cfRule type="expression" dxfId="284" priority="32" stopIfTrue="1">
      <formula>$E$12&gt;0</formula>
    </cfRule>
    <cfRule type="expression" priority="33" stopIfTrue="1">
      <formula>$E$12 &gt;0</formula>
    </cfRule>
  </conditionalFormatting>
  <conditionalFormatting sqref="G93">
    <cfRule type="expression" dxfId="283" priority="30" stopIfTrue="1">
      <formula>"e12&gt;0"</formula>
    </cfRule>
  </conditionalFormatting>
  <conditionalFormatting sqref="G91">
    <cfRule type="expression" dxfId="282" priority="28" stopIfTrue="1">
      <formula>$E$12&gt;0</formula>
    </cfRule>
    <cfRule type="expression" priority="29" stopIfTrue="1">
      <formula>$E$12 &gt;0</formula>
    </cfRule>
  </conditionalFormatting>
  <conditionalFormatting sqref="G91">
    <cfRule type="expression" dxfId="281" priority="27" stopIfTrue="1">
      <formula>$E$12&gt;0</formula>
    </cfRule>
  </conditionalFormatting>
  <conditionalFormatting sqref="G91">
    <cfRule type="expression" dxfId="280" priority="26" stopIfTrue="1">
      <formula>"e12&gt;0"</formula>
    </cfRule>
  </conditionalFormatting>
  <conditionalFormatting sqref="G90">
    <cfRule type="expression" dxfId="279" priority="24" stopIfTrue="1">
      <formula>$E$12&gt;0</formula>
    </cfRule>
    <cfRule type="expression" priority="25" stopIfTrue="1">
      <formula>$E$12 &gt;0</formula>
    </cfRule>
  </conditionalFormatting>
  <conditionalFormatting sqref="G90">
    <cfRule type="expression" dxfId="278" priority="23" stopIfTrue="1">
      <formula>$E$12&gt;0</formula>
    </cfRule>
  </conditionalFormatting>
  <conditionalFormatting sqref="G90">
    <cfRule type="expression" dxfId="277" priority="22" stopIfTrue="1">
      <formula>"e12&gt;0"</formula>
    </cfRule>
  </conditionalFormatting>
  <conditionalFormatting sqref="G80:G82 G87:G88">
    <cfRule type="expression" dxfId="276" priority="15">
      <formula>$E$12&gt;0</formula>
    </cfRule>
  </conditionalFormatting>
  <conditionalFormatting sqref="G80:G82 G87:G88">
    <cfRule type="expression" dxfId="275" priority="16">
      <formula>$E$12&gt;0</formula>
    </cfRule>
  </conditionalFormatting>
  <conditionalFormatting sqref="G80:G82 G87:G88">
    <cfRule type="expression" dxfId="274" priority="17">
      <formula>"e12&gt;0"</formula>
    </cfRule>
  </conditionalFormatting>
  <conditionalFormatting sqref="G80:G82 G87:G88">
    <cfRule type="expression" dxfId="273" priority="18">
      <formula>$E$12&gt;0</formula>
    </cfRule>
  </conditionalFormatting>
  <conditionalFormatting sqref="G80:G82 G87:G88">
    <cfRule type="expression" dxfId="272" priority="19">
      <formula>$E$12</formula>
    </cfRule>
  </conditionalFormatting>
  <conditionalFormatting sqref="G80:G82 G87:G88">
    <cfRule type="expression" dxfId="271" priority="20">
      <formula>$E$12</formula>
    </cfRule>
  </conditionalFormatting>
  <conditionalFormatting sqref="G80:G82 G87:G88">
    <cfRule type="expression" dxfId="270" priority="21">
      <formula>"e12&gt;0"</formula>
    </cfRule>
  </conditionalFormatting>
  <conditionalFormatting sqref="G89">
    <cfRule type="expression" dxfId="269" priority="12">
      <formula>$E$12&gt;0</formula>
    </cfRule>
  </conditionalFormatting>
  <conditionalFormatting sqref="G89">
    <cfRule type="expression" dxfId="268" priority="13">
      <formula>$E$12&gt;0</formula>
    </cfRule>
  </conditionalFormatting>
  <conditionalFormatting sqref="G89">
    <cfRule type="expression" dxfId="267" priority="14">
      <formula>"e12&gt;0"</formula>
    </cfRule>
  </conditionalFormatting>
  <conditionalFormatting sqref="G83:G86">
    <cfRule type="expression" dxfId="266" priority="5">
      <formula>$E$12&gt;0</formula>
    </cfRule>
  </conditionalFormatting>
  <conditionalFormatting sqref="G83:G86">
    <cfRule type="expression" dxfId="265" priority="6">
      <formula>$E$12&gt;0</formula>
    </cfRule>
  </conditionalFormatting>
  <conditionalFormatting sqref="G83:G86">
    <cfRule type="expression" dxfId="264" priority="7">
      <formula>"e12&gt;0"</formula>
    </cfRule>
  </conditionalFormatting>
  <conditionalFormatting sqref="G83:G86">
    <cfRule type="expression" dxfId="263" priority="8">
      <formula>$E$12&gt;0</formula>
    </cfRule>
  </conditionalFormatting>
  <conditionalFormatting sqref="G83:G86">
    <cfRule type="expression" dxfId="262" priority="9">
      <formula>$E$12</formula>
    </cfRule>
  </conditionalFormatting>
  <conditionalFormatting sqref="G83:G86">
    <cfRule type="expression" dxfId="261" priority="10">
      <formula>$E$12</formula>
    </cfRule>
  </conditionalFormatting>
  <conditionalFormatting sqref="G83:G86">
    <cfRule type="expression" dxfId="260" priority="11">
      <formula>"e12&gt;0"</formula>
    </cfRule>
  </conditionalFormatting>
  <conditionalFormatting sqref="G92">
    <cfRule type="expression" dxfId="259" priority="2" stopIfTrue="1">
      <formula>$E$12&gt;0</formula>
    </cfRule>
  </conditionalFormatting>
  <conditionalFormatting sqref="G92">
    <cfRule type="expression" dxfId="258" priority="3" stopIfTrue="1">
      <formula>$E$12&gt;0</formula>
    </cfRule>
    <cfRule type="expression" priority="4" stopIfTrue="1">
      <formula>$E$12 &gt;0</formula>
    </cfRule>
  </conditionalFormatting>
  <conditionalFormatting sqref="G92">
    <cfRule type="expression" dxfId="257" priority="1" stopIfTrue="1">
      <formula>"e12&gt;0"</formula>
    </cfRule>
  </conditionalFormatting>
  <pageMargins left="0.74803149606299213" right="0.74803149606299213" top="0.98425196850393704" bottom="0.98425196850393704" header="0.51181102362204722" footer="0.51181102362204722"/>
  <pageSetup paperSize="9" scale="47" fitToHeight="4" orientation="landscape" horizontalDpi="300" verticalDpi="300" r:id="rId1"/>
  <headerFooter alignWithMargins="0">
    <oddFooter>&amp;C&amp;"Bodoni Bd BT,Bold Italic"&amp;9Page &amp;P of &amp;N</oddFooter>
  </headerFooter>
  <ignoredErrors>
    <ignoredError sqref="E216:F216 D41:E52 B41 E9 E11:E1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2308" r:id="rId4" name="Check Box 20">
              <controlPr defaultSize="0" autoFill="0" autoLine="0" autoPict="0">
                <anchor moveWithCells="1">
                  <from>
                    <xdr:col>6</xdr:col>
                    <xdr:colOff>66675</xdr:colOff>
                    <xdr:row>214</xdr:row>
                    <xdr:rowOff>142875</xdr:rowOff>
                  </from>
                  <to>
                    <xdr:col>7</xdr:col>
                    <xdr:colOff>561975</xdr:colOff>
                    <xdr:row>215</xdr:row>
                    <xdr:rowOff>171450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BE294"/>
  <sheetViews>
    <sheetView showZeros="0" topLeftCell="A52" zoomScale="70" zoomScaleNormal="70" workbookViewId="0">
      <pane xSplit="7" topLeftCell="K1" activePane="topRight" state="frozen"/>
      <selection activeCell="L49" sqref="L49"/>
      <selection pane="topRight" activeCell="J98" sqref="J98"/>
    </sheetView>
  </sheetViews>
  <sheetFormatPr defaultColWidth="0" defaultRowHeight="12.75"/>
  <cols>
    <col min="1" max="1" width="10.7109375" style="7" customWidth="1"/>
    <col min="2" max="2" width="25.7109375" style="7" customWidth="1"/>
    <col min="3" max="3" width="17.7109375" style="7" customWidth="1"/>
    <col min="4"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1" width="10.42578125" style="629" hidden="1" customWidth="1"/>
    <col min="32" max="32" width="12.7109375" style="634" customWidth="1"/>
    <col min="33" max="33" width="17.140625" style="7" hidden="1" customWidth="1"/>
    <col min="34" max="16384" width="0" style="7" hidden="1"/>
  </cols>
  <sheetData>
    <row r="1" spans="1:29" ht="13.5" thickBot="1">
      <c r="A1" s="7">
        <v>0</v>
      </c>
    </row>
    <row r="2" spans="1:29" ht="29.45" customHeight="1" thickBot="1">
      <c r="A2" s="81" t="str">
        <f>'Nov 17'!A2</f>
        <v>Design-spectrum Limited</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86" t="s">
        <v>84</v>
      </c>
      <c r="B4" s="87"/>
      <c r="C4" s="85">
        <f>'Mar 18'!C4+31</f>
        <v>43195</v>
      </c>
      <c r="F4" s="21"/>
      <c r="G4" s="21"/>
      <c r="H4" s="21"/>
      <c r="I4" s="21"/>
      <c r="J4" s="21"/>
      <c r="K4" s="21"/>
      <c r="L4" s="21"/>
      <c r="M4" s="21"/>
      <c r="N4" s="21"/>
      <c r="O4" s="21"/>
      <c r="P4" s="21"/>
      <c r="Q4" s="22"/>
      <c r="R4" s="22"/>
      <c r="S4" s="22"/>
      <c r="T4" s="22"/>
      <c r="U4" s="22"/>
      <c r="V4" s="22"/>
      <c r="W4" s="22"/>
      <c r="X4" s="22"/>
      <c r="Y4" s="22"/>
      <c r="Z4" s="22"/>
      <c r="AA4" s="22"/>
      <c r="AB4" s="22"/>
      <c r="AC4" s="22"/>
    </row>
    <row r="5" spans="1:29">
      <c r="C5" s="58"/>
    </row>
    <row r="6" spans="1:29" ht="13.5" thickBot="1"/>
    <row r="7" spans="1:29" ht="21" thickBot="1">
      <c r="A7" s="101" t="s">
        <v>0</v>
      </c>
      <c r="B7" s="102"/>
      <c r="C7" s="102"/>
      <c r="D7" s="102"/>
      <c r="E7" s="102"/>
      <c r="F7" s="102"/>
      <c r="G7" s="103"/>
      <c r="H7" s="23"/>
      <c r="I7" s="101" t="s">
        <v>211</v>
      </c>
      <c r="J7" s="102"/>
      <c r="K7" s="102"/>
      <c r="L7" s="103"/>
      <c r="M7" s="7"/>
    </row>
    <row r="8" spans="1:29" ht="13.5" thickBot="1">
      <c r="A8" s="24"/>
      <c r="B8" s="24"/>
      <c r="C8" s="24"/>
      <c r="D8" s="5"/>
      <c r="E8" s="5"/>
      <c r="F8" s="5"/>
      <c r="G8" s="5"/>
      <c r="H8" s="5"/>
      <c r="I8" s="5"/>
      <c r="J8" s="5"/>
      <c r="K8" s="5"/>
      <c r="L8" s="5"/>
      <c r="M8" s="5"/>
    </row>
    <row r="9" spans="1:29" ht="15.75" thickBot="1">
      <c r="A9" s="25" t="s">
        <v>2</v>
      </c>
      <c r="B9" s="24"/>
      <c r="C9" s="24"/>
      <c r="D9" s="26"/>
      <c r="E9" s="334" t="str">
        <f>'Mar 18'!E9</f>
        <v>n</v>
      </c>
      <c r="F9" s="5">
        <f>IF(E9="Both","enter sales invoices manually at row 30 onwards",0)</f>
        <v>0</v>
      </c>
      <c r="G9" s="5"/>
      <c r="H9" s="5"/>
      <c r="I9" s="5"/>
      <c r="J9" s="5"/>
      <c r="K9" s="5"/>
      <c r="L9" s="5"/>
      <c r="M9" s="5"/>
    </row>
    <row r="10" spans="1:29" ht="15.75" thickBot="1">
      <c r="A10" s="24"/>
      <c r="B10" s="24"/>
      <c r="C10" s="24"/>
      <c r="E10" s="27"/>
      <c r="F10" s="5"/>
      <c r="G10" s="5"/>
      <c r="H10" s="5"/>
      <c r="I10" s="5"/>
      <c r="J10" s="5"/>
      <c r="K10" s="5"/>
      <c r="L10" s="5"/>
      <c r="M10" s="5"/>
    </row>
    <row r="11" spans="1:29" ht="15.75" thickBot="1">
      <c r="A11" s="25" t="s">
        <v>4</v>
      </c>
      <c r="B11" s="24"/>
      <c r="C11" s="24"/>
      <c r="E11" s="334" t="str">
        <f>'Mar 18'!E11</f>
        <v>y</v>
      </c>
      <c r="F11" s="5"/>
      <c r="G11" s="5"/>
      <c r="H11" s="5"/>
      <c r="I11" s="5"/>
      <c r="J11" s="5"/>
      <c r="K11" s="65" t="s">
        <v>20</v>
      </c>
      <c r="L11" s="65"/>
      <c r="M11" s="5"/>
      <c r="N11" s="5"/>
      <c r="O11" s="14" t="s">
        <v>20</v>
      </c>
    </row>
    <row r="12" spans="1:29" ht="15.75" thickBot="1">
      <c r="A12" s="25" t="s">
        <v>306</v>
      </c>
      <c r="B12" s="24"/>
      <c r="C12" s="24"/>
      <c r="E12" s="335">
        <f>'Mar 18'!E12</f>
        <v>0.16500000000000001</v>
      </c>
      <c r="F12" s="5"/>
      <c r="G12" s="5"/>
      <c r="H12" s="5"/>
      <c r="I12" s="5"/>
      <c r="J12" s="5"/>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2"/>
      <c r="C16" s="33" t="s">
        <v>77</v>
      </c>
      <c r="D16" s="346">
        <f>'Mar 18'!D54</f>
        <v>0</v>
      </c>
      <c r="E16" s="346">
        <f>'Mar 18'!E54</f>
        <v>43450</v>
      </c>
      <c r="F16" s="346">
        <f>'Mar 18'!F54</f>
        <v>52140</v>
      </c>
      <c r="G16" s="259">
        <f>'Mar 18'!G54</f>
        <v>8690</v>
      </c>
      <c r="H16" s="34"/>
      <c r="I16" s="153" t="s">
        <v>20</v>
      </c>
      <c r="J16" s="152" t="s">
        <v>77</v>
      </c>
      <c r="K16" s="154"/>
      <c r="L16" s="486">
        <f>'Mar 18'!L54</f>
        <v>75240</v>
      </c>
      <c r="M16" s="263">
        <f>'Mar 18'!M54</f>
        <v>66.53</v>
      </c>
      <c r="N16" s="263">
        <f>'Mar 18'!N54</f>
        <v>0</v>
      </c>
      <c r="O16" s="263">
        <f>'Mar 18'!O54</f>
        <v>50488.86</v>
      </c>
      <c r="P16" s="257">
        <f>'Mar 18'!P54</f>
        <v>-56.319999999999993</v>
      </c>
      <c r="Q16" s="17"/>
    </row>
    <row r="17" spans="1:16">
      <c r="A17" s="555"/>
      <c r="B17" s="548" t="s">
        <v>484</v>
      </c>
      <c r="C17" s="2"/>
      <c r="D17" s="346">
        <f>IF(E$9="y",F17-G17,0)</f>
        <v>0</v>
      </c>
      <c r="E17" s="346">
        <f>IF(E$9="n",F17-G17,0)</f>
        <v>11550</v>
      </c>
      <c r="F17" s="558">
        <v>13860</v>
      </c>
      <c r="G17" s="551">
        <f>IF(($E$11="n"),0,IF((LEFT(C17,1)="v"),F17,IF((LEFT(C17,1)="z"),0,F17*1/6)))</f>
        <v>2310</v>
      </c>
      <c r="H17" s="34"/>
      <c r="I17" s="560">
        <v>43210</v>
      </c>
      <c r="J17" s="743" t="s">
        <v>477</v>
      </c>
      <c r="K17" s="567"/>
      <c r="L17" s="585">
        <v>13860</v>
      </c>
      <c r="M17" s="562"/>
      <c r="N17" s="562"/>
      <c r="O17" s="562"/>
      <c r="P17" s="563"/>
    </row>
    <row r="18" spans="1:16">
      <c r="A18" s="555"/>
      <c r="B18" s="1"/>
      <c r="C18" s="2"/>
      <c r="D18" s="346">
        <f t="shared" ref="D18:D52" si="0">IF(E$9="y",F18-G18,0)</f>
        <v>0</v>
      </c>
      <c r="E18" s="346">
        <f t="shared" ref="E18:E52" si="1">IF(E$9="n",F18-G18,0)</f>
        <v>0</v>
      </c>
      <c r="F18" s="558"/>
      <c r="G18" s="551">
        <f t="shared" ref="G18:G52" si="2">IF(($E$11="n"),0,IF((LEFT(C18,1)="v"),F18,IF((LEFT(C18,1)="z"),0,F18*1/6)))</f>
        <v>0</v>
      </c>
      <c r="H18" s="34"/>
      <c r="I18" s="560"/>
      <c r="J18" s="565"/>
      <c r="K18" s="567"/>
      <c r="L18" s="585"/>
      <c r="M18" s="562"/>
      <c r="N18" s="562"/>
      <c r="O18" s="562"/>
      <c r="P18" s="563">
        <v>2.5</v>
      </c>
    </row>
    <row r="19" spans="1:16">
      <c r="A19" s="555"/>
      <c r="B19" s="1"/>
      <c r="C19" s="2"/>
      <c r="D19" s="346">
        <f t="shared" si="0"/>
        <v>0</v>
      </c>
      <c r="E19" s="346">
        <f t="shared" si="1"/>
        <v>0</v>
      </c>
      <c r="F19" s="558"/>
      <c r="G19" s="551">
        <f t="shared" si="2"/>
        <v>0</v>
      </c>
      <c r="H19" s="34"/>
      <c r="I19" s="560"/>
      <c r="J19" s="565"/>
      <c r="K19" s="567"/>
      <c r="L19" s="585"/>
      <c r="M19" s="562"/>
      <c r="N19" s="562"/>
      <c r="O19" s="562"/>
      <c r="P19" s="563"/>
    </row>
    <row r="20" spans="1:16">
      <c r="A20" s="555"/>
      <c r="B20" s="1"/>
      <c r="C20" s="2"/>
      <c r="D20" s="346">
        <f t="shared" si="0"/>
        <v>0</v>
      </c>
      <c r="E20" s="346">
        <f t="shared" si="1"/>
        <v>0</v>
      </c>
      <c r="F20" s="558"/>
      <c r="G20" s="551">
        <f t="shared" si="2"/>
        <v>0</v>
      </c>
      <c r="H20" s="34"/>
      <c r="I20" s="560"/>
      <c r="J20" s="565"/>
      <c r="K20" s="567"/>
      <c r="L20" s="585"/>
      <c r="M20" s="562"/>
      <c r="N20" s="562"/>
      <c r="O20" s="562"/>
      <c r="P20" s="563"/>
    </row>
    <row r="21" spans="1:16">
      <c r="A21" s="555"/>
      <c r="B21" s="1"/>
      <c r="C21" s="2"/>
      <c r="D21" s="346">
        <f t="shared" si="0"/>
        <v>0</v>
      </c>
      <c r="E21" s="346">
        <f t="shared" si="1"/>
        <v>0</v>
      </c>
      <c r="F21" s="558"/>
      <c r="G21" s="551">
        <f t="shared" si="2"/>
        <v>0</v>
      </c>
      <c r="H21" s="34"/>
      <c r="I21" s="560"/>
      <c r="J21" s="565"/>
      <c r="K21" s="567"/>
      <c r="L21" s="585"/>
      <c r="M21" s="562"/>
      <c r="N21" s="562"/>
      <c r="O21" s="562"/>
      <c r="P21" s="563"/>
    </row>
    <row r="22" spans="1:16">
      <c r="A22" s="555"/>
      <c r="B22" s="1"/>
      <c r="C22" s="2"/>
      <c r="D22" s="346">
        <f t="shared" si="0"/>
        <v>0</v>
      </c>
      <c r="E22" s="346">
        <f t="shared" si="1"/>
        <v>0</v>
      </c>
      <c r="F22" s="558"/>
      <c r="G22" s="551">
        <f t="shared" si="2"/>
        <v>0</v>
      </c>
      <c r="H22" s="34"/>
      <c r="I22" s="560"/>
      <c r="J22" s="565"/>
      <c r="K22" s="567"/>
      <c r="L22" s="585"/>
      <c r="M22" s="562"/>
      <c r="N22" s="562"/>
      <c r="O22" s="562"/>
      <c r="P22" s="563"/>
    </row>
    <row r="23" spans="1:16">
      <c r="A23" s="555"/>
      <c r="B23" s="1"/>
      <c r="C23" s="2"/>
      <c r="D23" s="346">
        <f t="shared" si="0"/>
        <v>0</v>
      </c>
      <c r="E23" s="346">
        <f t="shared" si="1"/>
        <v>0</v>
      </c>
      <c r="F23" s="558"/>
      <c r="G23" s="551">
        <f t="shared" si="2"/>
        <v>0</v>
      </c>
      <c r="H23" s="34"/>
      <c r="I23" s="560"/>
      <c r="J23" s="565"/>
      <c r="K23" s="567"/>
      <c r="L23" s="585"/>
      <c r="M23" s="562"/>
      <c r="N23" s="562"/>
      <c r="O23" s="562"/>
      <c r="P23" s="563"/>
    </row>
    <row r="24" spans="1:16">
      <c r="A24" s="555"/>
      <c r="B24" s="1"/>
      <c r="C24" s="2"/>
      <c r="D24" s="346">
        <f t="shared" si="0"/>
        <v>0</v>
      </c>
      <c r="E24" s="346">
        <f t="shared" si="1"/>
        <v>0</v>
      </c>
      <c r="F24" s="558"/>
      <c r="G24" s="551">
        <f t="shared" si="2"/>
        <v>0</v>
      </c>
      <c r="H24" s="34"/>
      <c r="I24" s="560"/>
      <c r="J24" s="565"/>
      <c r="K24" s="567"/>
      <c r="L24" s="585"/>
      <c r="M24" s="562"/>
      <c r="N24" s="562"/>
      <c r="O24" s="562"/>
      <c r="P24" s="563"/>
    </row>
    <row r="25" spans="1:16">
      <c r="A25" s="555"/>
      <c r="B25" s="1"/>
      <c r="C25" s="2"/>
      <c r="D25" s="346">
        <f t="shared" si="0"/>
        <v>0</v>
      </c>
      <c r="E25" s="346">
        <f t="shared" si="1"/>
        <v>0</v>
      </c>
      <c r="F25" s="558"/>
      <c r="G25" s="551">
        <f t="shared" si="2"/>
        <v>0</v>
      </c>
      <c r="H25" s="34"/>
      <c r="I25" s="560"/>
      <c r="J25" s="565"/>
      <c r="K25" s="567"/>
      <c r="L25" s="585"/>
      <c r="M25" s="562"/>
      <c r="N25" s="562"/>
      <c r="O25" s="562"/>
      <c r="P25" s="563"/>
    </row>
    <row r="26" spans="1:16">
      <c r="A26" s="555"/>
      <c r="B26" s="1"/>
      <c r="C26" s="2"/>
      <c r="D26" s="346">
        <f t="shared" si="0"/>
        <v>0</v>
      </c>
      <c r="E26" s="346">
        <f t="shared" si="1"/>
        <v>0</v>
      </c>
      <c r="F26" s="558"/>
      <c r="G26" s="551">
        <f t="shared" si="2"/>
        <v>0</v>
      </c>
      <c r="H26" s="34"/>
      <c r="I26" s="560"/>
      <c r="J26" s="565"/>
      <c r="K26" s="567"/>
      <c r="L26" s="585"/>
      <c r="M26" s="562"/>
      <c r="N26" s="562"/>
      <c r="O26" s="562"/>
      <c r="P26" s="563"/>
    </row>
    <row r="27" spans="1:16">
      <c r="A27" s="555"/>
      <c r="B27" s="1"/>
      <c r="C27" s="2"/>
      <c r="D27" s="346">
        <f t="shared" si="0"/>
        <v>0</v>
      </c>
      <c r="E27" s="346">
        <f t="shared" si="1"/>
        <v>0</v>
      </c>
      <c r="F27" s="558"/>
      <c r="G27" s="551">
        <f t="shared" si="2"/>
        <v>0</v>
      </c>
      <c r="H27" s="34"/>
      <c r="I27" s="560"/>
      <c r="J27" s="565"/>
      <c r="K27" s="567"/>
      <c r="L27" s="585"/>
      <c r="M27" s="562"/>
      <c r="N27" s="562"/>
      <c r="O27" s="562"/>
      <c r="P27" s="563"/>
    </row>
    <row r="28" spans="1:16">
      <c r="A28" s="555"/>
      <c r="B28" s="1"/>
      <c r="C28" s="2"/>
      <c r="D28" s="346">
        <f t="shared" si="0"/>
        <v>0</v>
      </c>
      <c r="E28" s="346">
        <f t="shared" si="1"/>
        <v>0</v>
      </c>
      <c r="F28" s="558"/>
      <c r="G28" s="551">
        <f t="shared" si="2"/>
        <v>0</v>
      </c>
      <c r="H28" s="34"/>
      <c r="I28" s="560"/>
      <c r="J28" s="565"/>
      <c r="K28" s="567"/>
      <c r="L28" s="585"/>
      <c r="M28" s="562"/>
      <c r="N28" s="562"/>
      <c r="O28" s="562"/>
      <c r="P28" s="563"/>
    </row>
    <row r="29" spans="1:16">
      <c r="A29" s="555"/>
      <c r="B29" s="1"/>
      <c r="C29" s="2"/>
      <c r="D29" s="346">
        <f t="shared" si="0"/>
        <v>0</v>
      </c>
      <c r="E29" s="346">
        <f t="shared" si="1"/>
        <v>0</v>
      </c>
      <c r="F29" s="558"/>
      <c r="G29" s="551">
        <f t="shared" si="2"/>
        <v>0</v>
      </c>
      <c r="H29" s="34"/>
      <c r="I29" s="560"/>
      <c r="J29" s="565"/>
      <c r="K29" s="567"/>
      <c r="L29" s="585"/>
      <c r="M29" s="562"/>
      <c r="N29" s="562"/>
      <c r="O29" s="562"/>
      <c r="P29" s="563"/>
    </row>
    <row r="30" spans="1:16">
      <c r="A30" s="555"/>
      <c r="B30" s="1"/>
      <c r="C30" s="2"/>
      <c r="D30" s="346">
        <f t="shared" si="0"/>
        <v>0</v>
      </c>
      <c r="E30" s="346">
        <f t="shared" si="1"/>
        <v>0</v>
      </c>
      <c r="F30" s="558"/>
      <c r="G30" s="551">
        <f t="shared" si="2"/>
        <v>0</v>
      </c>
      <c r="H30" s="34"/>
      <c r="I30" s="560"/>
      <c r="J30" s="565"/>
      <c r="K30" s="567"/>
      <c r="L30" s="585"/>
      <c r="M30" s="562"/>
      <c r="N30" s="562"/>
      <c r="O30" s="562"/>
      <c r="P30" s="563"/>
    </row>
    <row r="31" spans="1:16">
      <c r="A31" s="555"/>
      <c r="B31" s="1"/>
      <c r="C31" s="2"/>
      <c r="D31" s="346">
        <f t="shared" si="0"/>
        <v>0</v>
      </c>
      <c r="E31" s="346">
        <f t="shared" si="1"/>
        <v>0</v>
      </c>
      <c r="F31" s="558"/>
      <c r="G31" s="551">
        <f t="shared" si="2"/>
        <v>0</v>
      </c>
      <c r="H31" s="34"/>
      <c r="I31" s="560"/>
      <c r="J31" s="565"/>
      <c r="K31" s="567"/>
      <c r="L31" s="585"/>
      <c r="M31" s="562"/>
      <c r="N31" s="562"/>
      <c r="O31" s="562"/>
      <c r="P31" s="563"/>
    </row>
    <row r="32" spans="1:16">
      <c r="A32" s="555"/>
      <c r="B32" s="1"/>
      <c r="C32" s="2"/>
      <c r="D32" s="346">
        <f t="shared" si="0"/>
        <v>0</v>
      </c>
      <c r="E32" s="346">
        <f t="shared" si="1"/>
        <v>0</v>
      </c>
      <c r="F32" s="558"/>
      <c r="G32" s="551">
        <f t="shared" si="2"/>
        <v>0</v>
      </c>
      <c r="H32" s="34"/>
      <c r="I32" s="560"/>
      <c r="J32" s="565"/>
      <c r="K32" s="567"/>
      <c r="L32" s="585"/>
      <c r="M32" s="562"/>
      <c r="N32" s="562"/>
      <c r="O32" s="562"/>
      <c r="P32" s="563"/>
    </row>
    <row r="33" spans="1:16">
      <c r="A33" s="555"/>
      <c r="B33" s="1"/>
      <c r="C33" s="2"/>
      <c r="D33" s="346">
        <f t="shared" si="0"/>
        <v>0</v>
      </c>
      <c r="E33" s="346">
        <f t="shared" si="1"/>
        <v>0</v>
      </c>
      <c r="F33" s="558"/>
      <c r="G33" s="551">
        <f t="shared" si="2"/>
        <v>0</v>
      </c>
      <c r="H33" s="34"/>
      <c r="I33" s="560"/>
      <c r="J33" s="565"/>
      <c r="K33" s="567"/>
      <c r="L33" s="585"/>
      <c r="M33" s="562"/>
      <c r="N33" s="562"/>
      <c r="O33" s="562"/>
      <c r="P33" s="563"/>
    </row>
    <row r="34" spans="1:16">
      <c r="A34" s="555"/>
      <c r="B34" s="1"/>
      <c r="C34" s="2"/>
      <c r="D34" s="346">
        <f t="shared" si="0"/>
        <v>0</v>
      </c>
      <c r="E34" s="346">
        <f t="shared" si="1"/>
        <v>0</v>
      </c>
      <c r="F34" s="558"/>
      <c r="G34" s="551">
        <f t="shared" si="2"/>
        <v>0</v>
      </c>
      <c r="H34" s="34"/>
      <c r="I34" s="560"/>
      <c r="J34" s="565"/>
      <c r="K34" s="567"/>
      <c r="L34" s="585"/>
      <c r="M34" s="562"/>
      <c r="N34" s="562"/>
      <c r="O34" s="562"/>
      <c r="P34" s="563"/>
    </row>
    <row r="35" spans="1:16">
      <c r="A35" s="555"/>
      <c r="B35" s="1"/>
      <c r="C35" s="2"/>
      <c r="D35" s="346">
        <f t="shared" si="0"/>
        <v>0</v>
      </c>
      <c r="E35" s="346">
        <f t="shared" si="1"/>
        <v>0</v>
      </c>
      <c r="F35" s="558"/>
      <c r="G35" s="551">
        <f t="shared" si="2"/>
        <v>0</v>
      </c>
      <c r="H35" s="34"/>
      <c r="I35" s="560"/>
      <c r="J35" s="565"/>
      <c r="K35" s="567"/>
      <c r="L35" s="585"/>
      <c r="M35" s="562"/>
      <c r="N35" s="562"/>
      <c r="O35" s="562"/>
      <c r="P35" s="563"/>
    </row>
    <row r="36" spans="1:16">
      <c r="A36" s="555"/>
      <c r="B36" s="1"/>
      <c r="C36" s="2"/>
      <c r="D36" s="346">
        <f t="shared" si="0"/>
        <v>0</v>
      </c>
      <c r="E36" s="346">
        <f t="shared" si="1"/>
        <v>0</v>
      </c>
      <c r="F36" s="558"/>
      <c r="G36" s="551">
        <f t="shared" si="2"/>
        <v>0</v>
      </c>
      <c r="H36" s="34"/>
      <c r="I36" s="560"/>
      <c r="J36" s="565"/>
      <c r="K36" s="567"/>
      <c r="L36" s="585"/>
      <c r="M36" s="562"/>
      <c r="N36" s="562"/>
      <c r="O36" s="562"/>
      <c r="P36" s="563"/>
    </row>
    <row r="37" spans="1:16">
      <c r="A37" s="555"/>
      <c r="B37" s="1"/>
      <c r="C37" s="2"/>
      <c r="D37" s="346">
        <f t="shared" si="0"/>
        <v>0</v>
      </c>
      <c r="E37" s="346">
        <f t="shared" si="1"/>
        <v>0</v>
      </c>
      <c r="F37" s="558"/>
      <c r="G37" s="551">
        <f t="shared" si="2"/>
        <v>0</v>
      </c>
      <c r="H37" s="34"/>
      <c r="I37" s="560"/>
      <c r="J37" s="565"/>
      <c r="K37" s="567"/>
      <c r="L37" s="585"/>
      <c r="M37" s="562"/>
      <c r="N37" s="562"/>
      <c r="O37" s="562"/>
      <c r="P37" s="563"/>
    </row>
    <row r="38" spans="1:16">
      <c r="A38" s="555"/>
      <c r="B38" s="1"/>
      <c r="C38" s="2"/>
      <c r="D38" s="346">
        <f t="shared" si="0"/>
        <v>0</v>
      </c>
      <c r="E38" s="346">
        <f t="shared" si="1"/>
        <v>0</v>
      </c>
      <c r="F38" s="558"/>
      <c r="G38" s="551">
        <f t="shared" si="2"/>
        <v>0</v>
      </c>
      <c r="H38" s="34"/>
      <c r="I38" s="560"/>
      <c r="J38" s="565"/>
      <c r="K38" s="567"/>
      <c r="L38" s="585"/>
      <c r="M38" s="562"/>
      <c r="N38" s="562"/>
      <c r="O38" s="562"/>
      <c r="P38" s="563"/>
    </row>
    <row r="39" spans="1:16" hidden="1">
      <c r="A39" s="555"/>
      <c r="B39" s="1"/>
      <c r="C39" s="2"/>
      <c r="D39" s="346">
        <f t="shared" si="0"/>
        <v>0</v>
      </c>
      <c r="E39" s="346">
        <f t="shared" si="1"/>
        <v>0</v>
      </c>
      <c r="F39" s="558"/>
      <c r="G39" s="551">
        <f t="shared" si="2"/>
        <v>0</v>
      </c>
      <c r="H39" s="34"/>
      <c r="I39" s="560"/>
      <c r="J39" s="565"/>
      <c r="K39" s="567"/>
      <c r="L39" s="585"/>
      <c r="M39" s="562"/>
      <c r="N39" s="562"/>
      <c r="O39" s="562"/>
      <c r="P39" s="563"/>
    </row>
    <row r="40" spans="1:16" hidden="1">
      <c r="A40" s="555"/>
      <c r="B40" s="1"/>
      <c r="C40" s="2"/>
      <c r="D40" s="346">
        <f t="shared" si="0"/>
        <v>0</v>
      </c>
      <c r="E40" s="346">
        <f t="shared" si="1"/>
        <v>0</v>
      </c>
      <c r="F40" s="558"/>
      <c r="G40" s="551">
        <f t="shared" si="2"/>
        <v>0</v>
      </c>
      <c r="H40" s="34"/>
      <c r="I40" s="560"/>
      <c r="J40" s="565"/>
      <c r="K40" s="567"/>
      <c r="L40" s="585"/>
      <c r="M40" s="562"/>
      <c r="N40" s="562"/>
      <c r="O40" s="562"/>
      <c r="P40" s="563"/>
    </row>
    <row r="41" spans="1:16" hidden="1">
      <c r="A41" s="555"/>
      <c r="B41" s="549">
        <f>IF(E9="Both","Enter manual values here",0)</f>
        <v>0</v>
      </c>
      <c r="C41" s="2"/>
      <c r="D41" s="552">
        <f t="shared" si="0"/>
        <v>0</v>
      </c>
      <c r="E41" s="552">
        <f t="shared" si="1"/>
        <v>0</v>
      </c>
      <c r="F41" s="558"/>
      <c r="G41" s="551">
        <f t="shared" si="2"/>
        <v>0</v>
      </c>
      <c r="H41" s="34"/>
      <c r="I41" s="560"/>
      <c r="J41" s="565"/>
      <c r="K41" s="567"/>
      <c r="L41" s="585"/>
      <c r="M41" s="562"/>
      <c r="N41" s="562"/>
      <c r="O41" s="562"/>
      <c r="P41" s="563"/>
    </row>
    <row r="42" spans="1:16" hidden="1">
      <c r="A42" s="555"/>
      <c r="B42" s="1"/>
      <c r="C42" s="2"/>
      <c r="D42" s="552">
        <f t="shared" si="0"/>
        <v>0</v>
      </c>
      <c r="E42" s="552">
        <f t="shared" si="1"/>
        <v>0</v>
      </c>
      <c r="F42" s="558"/>
      <c r="G42" s="551">
        <f t="shared" si="2"/>
        <v>0</v>
      </c>
      <c r="H42" s="34"/>
      <c r="I42" s="560"/>
      <c r="J42" s="565"/>
      <c r="K42" s="567"/>
      <c r="L42" s="585"/>
      <c r="M42" s="562"/>
      <c r="N42" s="562"/>
      <c r="O42" s="562"/>
      <c r="P42" s="563"/>
    </row>
    <row r="43" spans="1:16" hidden="1">
      <c r="A43" s="555"/>
      <c r="B43" s="1"/>
      <c r="C43" s="2"/>
      <c r="D43" s="552">
        <f t="shared" si="0"/>
        <v>0</v>
      </c>
      <c r="E43" s="552">
        <f t="shared" si="1"/>
        <v>0</v>
      </c>
      <c r="F43" s="558"/>
      <c r="G43" s="551">
        <f t="shared" si="2"/>
        <v>0</v>
      </c>
      <c r="H43" s="34"/>
      <c r="I43" s="560"/>
      <c r="J43" s="565"/>
      <c r="K43" s="567"/>
      <c r="L43" s="585"/>
      <c r="M43" s="562"/>
      <c r="N43" s="562"/>
      <c r="O43" s="562"/>
      <c r="P43" s="563"/>
    </row>
    <row r="44" spans="1:16" hidden="1">
      <c r="A44" s="555"/>
      <c r="B44" s="1"/>
      <c r="C44" s="2"/>
      <c r="D44" s="552">
        <f t="shared" si="0"/>
        <v>0</v>
      </c>
      <c r="E44" s="552">
        <f t="shared" si="1"/>
        <v>0</v>
      </c>
      <c r="F44" s="558"/>
      <c r="G44" s="551">
        <f t="shared" si="2"/>
        <v>0</v>
      </c>
      <c r="H44" s="34"/>
      <c r="I44" s="560"/>
      <c r="J44" s="565"/>
      <c r="K44" s="567"/>
      <c r="L44" s="585"/>
      <c r="M44" s="562"/>
      <c r="N44" s="562"/>
      <c r="O44" s="562"/>
      <c r="P44" s="563"/>
    </row>
    <row r="45" spans="1:16" hidden="1">
      <c r="A45" s="555"/>
      <c r="B45" s="1"/>
      <c r="C45" s="2"/>
      <c r="D45" s="552">
        <f t="shared" si="0"/>
        <v>0</v>
      </c>
      <c r="E45" s="552">
        <f t="shared" si="1"/>
        <v>0</v>
      </c>
      <c r="F45" s="558"/>
      <c r="G45" s="551">
        <f t="shared" si="2"/>
        <v>0</v>
      </c>
      <c r="H45" s="34"/>
      <c r="I45" s="560"/>
      <c r="J45" s="565"/>
      <c r="K45" s="567"/>
      <c r="L45" s="585"/>
      <c r="M45" s="562"/>
      <c r="N45" s="562"/>
      <c r="O45" s="562"/>
      <c r="P45" s="563"/>
    </row>
    <row r="46" spans="1:16" hidden="1">
      <c r="A46" s="555"/>
      <c r="B46" s="1"/>
      <c r="C46" s="2"/>
      <c r="D46" s="552">
        <f t="shared" si="0"/>
        <v>0</v>
      </c>
      <c r="E46" s="552">
        <f t="shared" si="1"/>
        <v>0</v>
      </c>
      <c r="F46" s="558"/>
      <c r="G46" s="551">
        <f t="shared" si="2"/>
        <v>0</v>
      </c>
      <c r="H46" s="34"/>
      <c r="I46" s="560"/>
      <c r="J46" s="565"/>
      <c r="K46" s="567"/>
      <c r="L46" s="585"/>
      <c r="M46" s="562"/>
      <c r="N46" s="562"/>
      <c r="O46" s="562"/>
      <c r="P46" s="563"/>
    </row>
    <row r="47" spans="1:16" hidden="1">
      <c r="A47" s="555"/>
      <c r="B47" s="1"/>
      <c r="C47" s="2"/>
      <c r="D47" s="552">
        <f t="shared" si="0"/>
        <v>0</v>
      </c>
      <c r="E47" s="552">
        <f t="shared" si="1"/>
        <v>0</v>
      </c>
      <c r="F47" s="558"/>
      <c r="G47" s="551">
        <f t="shared" si="2"/>
        <v>0</v>
      </c>
      <c r="H47" s="34"/>
      <c r="I47" s="560"/>
      <c r="J47" s="565"/>
      <c r="K47" s="567"/>
      <c r="L47" s="585"/>
      <c r="M47" s="562"/>
      <c r="N47" s="562"/>
      <c r="O47" s="562"/>
      <c r="P47" s="563"/>
    </row>
    <row r="48" spans="1:16" hidden="1">
      <c r="A48" s="555"/>
      <c r="B48" s="1"/>
      <c r="C48" s="2"/>
      <c r="D48" s="552">
        <f t="shared" si="0"/>
        <v>0</v>
      </c>
      <c r="E48" s="552">
        <f t="shared" si="1"/>
        <v>0</v>
      </c>
      <c r="F48" s="558"/>
      <c r="G48" s="551">
        <f t="shared" si="2"/>
        <v>0</v>
      </c>
      <c r="H48" s="34"/>
      <c r="I48" s="560"/>
      <c r="J48" s="565"/>
      <c r="K48" s="567"/>
      <c r="L48" s="585"/>
      <c r="M48" s="562"/>
      <c r="N48" s="562"/>
      <c r="O48" s="562"/>
      <c r="P48" s="563"/>
    </row>
    <row r="49" spans="1:32" hidden="1">
      <c r="A49" s="555"/>
      <c r="B49" s="1"/>
      <c r="C49" s="2"/>
      <c r="D49" s="552">
        <f t="shared" si="0"/>
        <v>0</v>
      </c>
      <c r="E49" s="552">
        <f t="shared" si="1"/>
        <v>0</v>
      </c>
      <c r="F49" s="558"/>
      <c r="G49" s="551">
        <f t="shared" si="2"/>
        <v>0</v>
      </c>
      <c r="H49" s="34"/>
      <c r="I49" s="560"/>
      <c r="J49" s="565"/>
      <c r="K49" s="567"/>
      <c r="L49" s="585"/>
      <c r="M49" s="562"/>
      <c r="N49" s="562"/>
      <c r="O49" s="562"/>
      <c r="P49" s="563"/>
    </row>
    <row r="50" spans="1:32" hidden="1">
      <c r="A50" s="555"/>
      <c r="B50" s="1"/>
      <c r="C50" s="2"/>
      <c r="D50" s="552">
        <f t="shared" si="0"/>
        <v>0</v>
      </c>
      <c r="E50" s="552">
        <f t="shared" si="1"/>
        <v>0</v>
      </c>
      <c r="F50" s="558"/>
      <c r="G50" s="551">
        <f t="shared" si="2"/>
        <v>0</v>
      </c>
      <c r="H50" s="34"/>
      <c r="I50" s="560"/>
      <c r="J50" s="565"/>
      <c r="K50" s="567"/>
      <c r="L50" s="585"/>
      <c r="M50" s="562"/>
      <c r="N50" s="562"/>
      <c r="O50" s="562"/>
      <c r="P50" s="563"/>
    </row>
    <row r="51" spans="1:32" hidden="1">
      <c r="A51" s="555"/>
      <c r="B51" s="1"/>
      <c r="C51" s="2"/>
      <c r="D51" s="552">
        <f t="shared" si="0"/>
        <v>0</v>
      </c>
      <c r="E51" s="552">
        <f t="shared" si="1"/>
        <v>0</v>
      </c>
      <c r="F51" s="558"/>
      <c r="G51" s="551">
        <f t="shared" si="2"/>
        <v>0</v>
      </c>
      <c r="H51" s="34"/>
      <c r="I51" s="560"/>
      <c r="J51" s="565"/>
      <c r="K51" s="567"/>
      <c r="L51" s="585"/>
      <c r="M51" s="562"/>
      <c r="N51" s="562"/>
      <c r="O51" s="562"/>
      <c r="P51" s="563"/>
    </row>
    <row r="52" spans="1:32" ht="13.5" thickBot="1">
      <c r="A52" s="556"/>
      <c r="B52" s="3"/>
      <c r="C52" s="4"/>
      <c r="D52" s="552">
        <f t="shared" si="0"/>
        <v>0</v>
      </c>
      <c r="E52" s="552">
        <f t="shared" si="1"/>
        <v>0</v>
      </c>
      <c r="F52" s="558"/>
      <c r="G52" s="551">
        <f t="shared" si="2"/>
        <v>0</v>
      </c>
      <c r="H52" s="34"/>
      <c r="I52" s="561"/>
      <c r="J52" s="566"/>
      <c r="K52" s="568"/>
      <c r="L52" s="586"/>
      <c r="M52" s="564"/>
      <c r="N52" s="564"/>
      <c r="O52" s="564"/>
      <c r="P52" s="587"/>
    </row>
    <row r="53" spans="1:32" s="10" customFormat="1" ht="14.25">
      <c r="A53" s="89" t="s">
        <v>26</v>
      </c>
      <c r="B53" s="90"/>
      <c r="C53" s="91"/>
      <c r="D53" s="92">
        <f>SUM(D17:D52)</f>
        <v>0</v>
      </c>
      <c r="E53" s="92">
        <f>SUM(E17:E52)</f>
        <v>11550</v>
      </c>
      <c r="F53" s="92">
        <f>SUM(F17:F52)</f>
        <v>13860</v>
      </c>
      <c r="G53" s="208">
        <f>SUM(G17:G52)</f>
        <v>2310</v>
      </c>
      <c r="H53" s="588"/>
      <c r="I53" s="589" t="s">
        <v>26</v>
      </c>
      <c r="J53" s="91"/>
      <c r="K53" s="590"/>
      <c r="L53" s="92">
        <f>SUM(L17:L52)</f>
        <v>13860</v>
      </c>
      <c r="M53" s="92">
        <f>SUM(M17:M52)</f>
        <v>0</v>
      </c>
      <c r="N53" s="92">
        <f>SUM(N17:N52)</f>
        <v>0</v>
      </c>
      <c r="O53" s="92">
        <f>SUM(O17:O52)</f>
        <v>0</v>
      </c>
      <c r="P53" s="208">
        <f>SUM(P17:P52)</f>
        <v>2.5</v>
      </c>
      <c r="AD53" s="630"/>
      <c r="AE53" s="630"/>
      <c r="AF53" s="634"/>
    </row>
    <row r="54" spans="1:32" s="10" customFormat="1" ht="13.5" thickBot="1">
      <c r="A54" s="38" t="s">
        <v>27</v>
      </c>
      <c r="B54" s="38"/>
      <c r="C54" s="38"/>
      <c r="D54" s="643">
        <f>SUM(D16:D52)</f>
        <v>0</v>
      </c>
      <c r="E54" s="643">
        <f>SUM(E16:E52)</f>
        <v>55000</v>
      </c>
      <c r="F54" s="643">
        <f>SUM(F16:F52)</f>
        <v>66000</v>
      </c>
      <c r="G54" s="644">
        <f>SUM(G16:G52)</f>
        <v>11000</v>
      </c>
      <c r="H54" s="588"/>
      <c r="I54" s="591" t="s">
        <v>27</v>
      </c>
      <c r="J54" s="38"/>
      <c r="K54" s="151"/>
      <c r="L54" s="643">
        <f>SUM(L16:L52)</f>
        <v>89100</v>
      </c>
      <c r="M54" s="643">
        <f>SUM(M16:M52)</f>
        <v>66.53</v>
      </c>
      <c r="N54" s="643">
        <f>SUM(N16:N52)</f>
        <v>0</v>
      </c>
      <c r="O54" s="643">
        <f>SUM(O16:O52)</f>
        <v>50488.86</v>
      </c>
      <c r="P54" s="645">
        <f>SUM(P16:P52)</f>
        <v>-53.819999999999993</v>
      </c>
      <c r="AD54" s="630"/>
      <c r="AE54" s="630"/>
      <c r="AF54" s="634"/>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c r="N57" s="18"/>
    </row>
    <row r="58" spans="1:32" ht="18" hidden="1">
      <c r="A58" s="66" t="s">
        <v>28</v>
      </c>
      <c r="B58" s="17"/>
      <c r="C58" s="75">
        <f>IF(E9="y",G59*0.95-(SUM(H197:K197)),0)</f>
        <v>0</v>
      </c>
      <c r="E58" s="113" t="s">
        <v>136</v>
      </c>
      <c r="F58" s="70" t="s">
        <v>138</v>
      </c>
      <c r="G58" s="70" t="s">
        <v>137</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11550</v>
      </c>
      <c r="F60" s="70">
        <f>+G60-E60</f>
        <v>23.100000000000364</v>
      </c>
      <c r="G60" s="70">
        <f>IF(E59+E60&lt;&gt;0,E60/(E59+E60)*(G61-G62),0)</f>
        <v>11573.1</v>
      </c>
      <c r="H60" s="18"/>
      <c r="I60" s="18"/>
      <c r="J60" s="18"/>
      <c r="K60" s="18"/>
      <c r="L60" s="18"/>
      <c r="M60" s="18"/>
    </row>
    <row r="61" spans="1:32" hidden="1">
      <c r="A61" s="16"/>
      <c r="B61" s="17"/>
      <c r="C61" s="16"/>
      <c r="D61" s="70" t="s">
        <v>16</v>
      </c>
      <c r="E61" s="70">
        <f>+F53</f>
        <v>13860</v>
      </c>
      <c r="F61" s="70">
        <f>+G61-E61</f>
        <v>0</v>
      </c>
      <c r="G61" s="70">
        <f>+E61</f>
        <v>13860</v>
      </c>
      <c r="H61" s="18"/>
      <c r="I61" s="18"/>
      <c r="J61" s="18"/>
      <c r="K61" s="18"/>
      <c r="L61" s="18"/>
      <c r="M61" s="18"/>
    </row>
    <row r="62" spans="1:32" hidden="1">
      <c r="A62" s="67" t="s">
        <v>29</v>
      </c>
      <c r="B62" s="17"/>
      <c r="C62" s="70">
        <f>IF(E243&lt;=0,0,IF(C4&lt;42095,E265,E243))</f>
        <v>0</v>
      </c>
      <c r="D62" s="70" t="s">
        <v>17</v>
      </c>
      <c r="E62" s="70">
        <f>+G53</f>
        <v>2310</v>
      </c>
      <c r="F62" s="70">
        <f>+G62-E62</f>
        <v>-23.099999999999909</v>
      </c>
      <c r="G62" s="70">
        <f>IF(E12&gt;0,(G61)*E12,E62)</f>
        <v>2286.9</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D73" s="7"/>
      <c r="E73" s="7"/>
      <c r="F73" s="7"/>
      <c r="G73" s="7"/>
      <c r="H73" s="7"/>
      <c r="I73" s="7"/>
      <c r="J73" s="7"/>
      <c r="K73" s="7"/>
      <c r="L73" s="7"/>
      <c r="M73" s="7"/>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5"/>
    </row>
    <row r="75" spans="1:56" ht="15">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5" t="s">
        <v>20</v>
      </c>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1"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row>
    <row r="78" spans="1:56" ht="13.5" thickBot="1">
      <c r="A78" s="580" t="s">
        <v>11</v>
      </c>
      <c r="B78" s="580" t="s">
        <v>13</v>
      </c>
      <c r="C78" s="594" t="s">
        <v>38</v>
      </c>
      <c r="D78" s="569" t="s">
        <v>39</v>
      </c>
      <c r="E78" s="569" t="s">
        <v>40</v>
      </c>
      <c r="F78" s="569" t="s">
        <v>155</v>
      </c>
      <c r="G78" s="595" t="s">
        <v>17</v>
      </c>
      <c r="H78" s="571" t="s">
        <v>294</v>
      </c>
      <c r="I78" s="570" t="s">
        <v>42</v>
      </c>
      <c r="J78" s="571" t="s">
        <v>127</v>
      </c>
      <c r="K78" s="570" t="s">
        <v>44</v>
      </c>
      <c r="L78" s="597" t="s">
        <v>161</v>
      </c>
      <c r="M78" s="597" t="s">
        <v>160</v>
      </c>
      <c r="N78" s="597" t="s">
        <v>49</v>
      </c>
      <c r="O78" s="570" t="s">
        <v>132</v>
      </c>
      <c r="P78" s="570" t="s">
        <v>45</v>
      </c>
      <c r="Q78" s="570" t="s">
        <v>46</v>
      </c>
      <c r="R78" s="571" t="s">
        <v>171</v>
      </c>
      <c r="S78" s="570" t="s">
        <v>113</v>
      </c>
      <c r="T78" s="571" t="s">
        <v>57</v>
      </c>
      <c r="U78" s="570" t="s">
        <v>50</v>
      </c>
      <c r="V78" s="571" t="s">
        <v>207</v>
      </c>
      <c r="W78" s="571" t="s">
        <v>175</v>
      </c>
      <c r="X78" s="571" t="s">
        <v>302</v>
      </c>
      <c r="Y78" s="570" t="s">
        <v>121</v>
      </c>
      <c r="Z78" s="571" t="s">
        <v>173</v>
      </c>
      <c r="AA78" s="571" t="s">
        <v>302</v>
      </c>
      <c r="AB78" s="597" t="s">
        <v>152</v>
      </c>
      <c r="AC78" s="570" t="s">
        <v>51</v>
      </c>
      <c r="AF78" s="634" t="s">
        <v>52</v>
      </c>
    </row>
    <row r="79" spans="1:56">
      <c r="A79" s="258"/>
      <c r="B79" s="44" t="s">
        <v>77</v>
      </c>
      <c r="C79" s="45"/>
      <c r="D79" s="615">
        <f>'Mar 18'!D198</f>
        <v>76607.289999999994</v>
      </c>
      <c r="E79" s="616">
        <f>'Mar 18'!E198</f>
        <v>914</v>
      </c>
      <c r="F79" s="615">
        <f>'Mar 18'!F198</f>
        <v>0</v>
      </c>
      <c r="G79" s="617">
        <f>'Mar 18'!G198</f>
        <v>0</v>
      </c>
      <c r="H79" s="625">
        <f>'Mar 18'!H198</f>
        <v>1125</v>
      </c>
      <c r="I79" s="559">
        <f>'Mar 18'!I198</f>
        <v>820</v>
      </c>
      <c r="J79" s="559">
        <f>'Mar 18'!J198</f>
        <v>175</v>
      </c>
      <c r="K79" s="559">
        <f>'Mar 18'!K198</f>
        <v>0</v>
      </c>
      <c r="L79" s="559">
        <f>'Mar 18'!L198</f>
        <v>10944</v>
      </c>
      <c r="M79" s="559">
        <f>'Mar 18'!M198</f>
        <v>0</v>
      </c>
      <c r="N79" s="559">
        <f>'Mar 18'!N198</f>
        <v>0</v>
      </c>
      <c r="O79" s="559">
        <f>'Mar 18'!O198</f>
        <v>0</v>
      </c>
      <c r="P79" s="559">
        <f>'Mar 18'!P198</f>
        <v>100</v>
      </c>
      <c r="Q79" s="559">
        <f>'Mar 18'!Q198</f>
        <v>0</v>
      </c>
      <c r="R79" s="559">
        <f>'Mar 18'!R198</f>
        <v>325</v>
      </c>
      <c r="S79" s="559">
        <f>'Mar 18'!S198</f>
        <v>275</v>
      </c>
      <c r="T79" s="559">
        <f>'Mar 18'!T198</f>
        <v>425</v>
      </c>
      <c r="U79" s="559">
        <f>'Mar 18'!U198</f>
        <v>690</v>
      </c>
      <c r="V79" s="559">
        <f>'Mar 18'!V198</f>
        <v>32.799999999999997</v>
      </c>
      <c r="W79" s="559">
        <f>'Mar 18'!W198</f>
        <v>475</v>
      </c>
      <c r="X79" s="559">
        <f>'Mar 18'!X198</f>
        <v>50555.39</v>
      </c>
      <c r="Y79" s="559">
        <f>'Mar 18'!Y198</f>
        <v>10781.1</v>
      </c>
      <c r="Z79" s="559">
        <f>'Mar 18'!Z198</f>
        <v>0</v>
      </c>
      <c r="AA79" s="559">
        <f>'Mar 18'!AA198</f>
        <v>0</v>
      </c>
      <c r="AB79" s="559">
        <f>'Mar 18'!AB198</f>
        <v>785</v>
      </c>
      <c r="AC79" s="259">
        <f>'Mar 18'!AC198</f>
        <v>13</v>
      </c>
      <c r="AG79" s="43">
        <f>IF(AF79=0,0,"ERROR HERE")</f>
        <v>0</v>
      </c>
      <c r="AH79" s="7">
        <f t="shared" ref="AH79:AQ80" si="3">IF(OR(ISERROR(+H79/($D79+$E79-$G79)*$G79+H79),LEFT(F79,1)="x"),0,+H79/($D79+$E79-$G79)*$G79+H79)</f>
        <v>1125</v>
      </c>
      <c r="AI79" s="7">
        <f t="shared" si="3"/>
        <v>820</v>
      </c>
      <c r="AJ79" s="7">
        <f t="shared" si="3"/>
        <v>175</v>
      </c>
      <c r="AK79" s="7">
        <f t="shared" si="3"/>
        <v>0</v>
      </c>
      <c r="AL79" s="7">
        <f t="shared" si="3"/>
        <v>10944</v>
      </c>
      <c r="AM79" s="7">
        <f t="shared" si="3"/>
        <v>0</v>
      </c>
      <c r="AN79" s="7">
        <f t="shared" si="3"/>
        <v>0</v>
      </c>
      <c r="AO79" s="7">
        <f t="shared" si="3"/>
        <v>0</v>
      </c>
      <c r="AP79" s="7">
        <f t="shared" si="3"/>
        <v>100</v>
      </c>
      <c r="AQ79" s="7">
        <f t="shared" si="3"/>
        <v>0</v>
      </c>
      <c r="AR79" s="7">
        <f t="shared" ref="AR79:BA80" si="4">IF(OR(ISERROR(+R79/($D79+$E79-$G79)*$G79+R79),LEFT(P79,1)="x"),0,+R79/($D79+$E79-$G79)*$G79+R79)</f>
        <v>325</v>
      </c>
      <c r="AS79" s="7">
        <f t="shared" si="4"/>
        <v>275</v>
      </c>
      <c r="AT79" s="7">
        <f t="shared" si="4"/>
        <v>425</v>
      </c>
      <c r="AU79" s="7">
        <f t="shared" si="4"/>
        <v>690</v>
      </c>
      <c r="AV79" s="7">
        <f t="shared" si="4"/>
        <v>32.799999999999997</v>
      </c>
      <c r="AW79" s="7">
        <f t="shared" si="4"/>
        <v>475</v>
      </c>
      <c r="AX79" s="7">
        <f t="shared" si="4"/>
        <v>50555.39</v>
      </c>
      <c r="AY79" s="7">
        <f t="shared" si="4"/>
        <v>10781.1</v>
      </c>
      <c r="AZ79" s="7">
        <f t="shared" si="4"/>
        <v>0</v>
      </c>
      <c r="BA79" s="7">
        <f t="shared" si="4"/>
        <v>0</v>
      </c>
      <c r="BB79" s="7">
        <f>IF(OR(ISERROR(+AB79/($D79+$E79-$G79)*$G79+AB79),LEFT(Z79,1)="x"),0,+AB79/($D79+$E79-$G79)*$G79+AB79)</f>
        <v>785</v>
      </c>
      <c r="BC79" s="7">
        <f>IF(OR(ISERROR(+#REF!/($D79+$E79-$G79)*$G79+#REF!),LEFT(AA79,1)="x"),0,+#REF!/($D79+$E79-$G79)*$G79+#REF!)</f>
        <v>0</v>
      </c>
      <c r="BD79" s="7">
        <f>IF(OR(ISERROR(+AC79/($D79+$E79-$G79)*$G79+AC79),LEFT(Z79,1)="x"),0,+AC79/($D79+$E79-$G79)*$G79+AC79)</f>
        <v>13</v>
      </c>
    </row>
    <row r="80" spans="1:56">
      <c r="A80" s="555" t="s">
        <v>20</v>
      </c>
      <c r="B80" s="719" t="s">
        <v>462</v>
      </c>
      <c r="C80" s="719"/>
      <c r="D80" s="720">
        <v>924</v>
      </c>
      <c r="E80" s="721"/>
      <c r="F80" s="722"/>
      <c r="G80" s="723"/>
      <c r="H80" s="724"/>
      <c r="I80" s="724"/>
      <c r="J80" s="724"/>
      <c r="K80" s="725"/>
      <c r="L80" s="720">
        <v>924</v>
      </c>
      <c r="M80" s="725"/>
      <c r="N80" s="725"/>
      <c r="O80" s="725"/>
      <c r="P80" s="725"/>
      <c r="Q80" s="725"/>
      <c r="R80" s="726"/>
      <c r="S80" s="727"/>
      <c r="T80" s="725"/>
      <c r="U80" s="726"/>
      <c r="V80" s="726"/>
      <c r="W80" s="727"/>
      <c r="X80" s="726"/>
      <c r="Y80" s="726"/>
      <c r="Z80" s="726"/>
      <c r="AA80" s="726"/>
      <c r="AB80" s="726"/>
      <c r="AC80" s="563"/>
      <c r="AD80" s="629">
        <f>SUM(G80:AC80)</f>
        <v>924</v>
      </c>
      <c r="AE80" s="629">
        <f>SUM(D80:F80)</f>
        <v>924</v>
      </c>
      <c r="AF80" s="634">
        <f>AD80-AE80</f>
        <v>0</v>
      </c>
      <c r="AG80" s="43">
        <f>IF(AF80=0,0,"ERROR HERE")</f>
        <v>0</v>
      </c>
      <c r="AH80" s="7">
        <f t="shared" si="3"/>
        <v>0</v>
      </c>
      <c r="AI80" s="7">
        <f t="shared" si="3"/>
        <v>0</v>
      </c>
      <c r="AJ80" s="7">
        <f t="shared" si="3"/>
        <v>0</v>
      </c>
      <c r="AK80" s="7">
        <f t="shared" si="3"/>
        <v>0</v>
      </c>
      <c r="AL80" s="7">
        <f t="shared" si="3"/>
        <v>924</v>
      </c>
      <c r="AM80" s="7">
        <f t="shared" si="3"/>
        <v>0</v>
      </c>
      <c r="AN80" s="7">
        <f t="shared" si="3"/>
        <v>0</v>
      </c>
      <c r="AO80" s="7">
        <f t="shared" si="3"/>
        <v>0</v>
      </c>
      <c r="AP80" s="7">
        <f t="shared" si="3"/>
        <v>0</v>
      </c>
      <c r="AQ80" s="7">
        <f t="shared" si="3"/>
        <v>0</v>
      </c>
      <c r="AR80" s="7">
        <f t="shared" si="4"/>
        <v>0</v>
      </c>
      <c r="AS80" s="7">
        <f t="shared" si="4"/>
        <v>0</v>
      </c>
      <c r="AT80" s="7">
        <f t="shared" si="4"/>
        <v>0</v>
      </c>
      <c r="AU80" s="7">
        <f t="shared" si="4"/>
        <v>0</v>
      </c>
      <c r="AV80" s="7">
        <f t="shared" si="4"/>
        <v>0</v>
      </c>
      <c r="AW80" s="7">
        <f t="shared" si="4"/>
        <v>0</v>
      </c>
      <c r="AX80" s="7">
        <f t="shared" si="4"/>
        <v>0</v>
      </c>
      <c r="AY80" s="7">
        <f t="shared" si="4"/>
        <v>0</v>
      </c>
      <c r="AZ80" s="7">
        <f t="shared" si="4"/>
        <v>0</v>
      </c>
      <c r="BA80" s="7">
        <f t="shared" si="4"/>
        <v>0</v>
      </c>
      <c r="BB80" s="7">
        <f>IF(OR(ISERROR(+AB80/($D80+$E80-$G80)*$G80+AB80),LEFT(Z80,1)="x"),0,+AB80/($D80+$E80-$G80)*$G80+AB80)</f>
        <v>0</v>
      </c>
      <c r="BC80" s="7">
        <f>IF(OR(ISERROR(+#REF!/($D80+$E80-$G80)*$G80+#REF!),LEFT(AA80,1)="x"),0,+#REF!/($D80+$E80-$G80)*$G80+#REF!)</f>
        <v>0</v>
      </c>
      <c r="BD80" s="7">
        <f>IF(OR(ISERROR(+AC80/($D80+$E80-$G80)*$G80+AC80),LEFT(Z80,1)="x"),0,+AC80/($D80+$E80-$G80)*$G80+AC80)</f>
        <v>0</v>
      </c>
    </row>
    <row r="81" spans="1:33">
      <c r="A81" s="555"/>
      <c r="B81" s="719" t="s">
        <v>463</v>
      </c>
      <c r="C81" s="719"/>
      <c r="D81" s="719">
        <v>900</v>
      </c>
      <c r="E81" s="721"/>
      <c r="F81" s="722"/>
      <c r="G81" s="723"/>
      <c r="H81" s="724"/>
      <c r="I81" s="724"/>
      <c r="J81" s="724"/>
      <c r="K81" s="725"/>
      <c r="L81" s="719">
        <v>900</v>
      </c>
      <c r="M81" s="725"/>
      <c r="N81" s="725"/>
      <c r="O81" s="725"/>
      <c r="P81" s="725"/>
      <c r="Q81" s="725"/>
      <c r="R81" s="726"/>
      <c r="S81" s="727"/>
      <c r="T81" s="725"/>
      <c r="U81" s="726"/>
      <c r="V81" s="726"/>
      <c r="W81" s="727"/>
      <c r="X81" s="726"/>
      <c r="Y81" s="726"/>
      <c r="Z81" s="726"/>
      <c r="AA81" s="726"/>
      <c r="AB81" s="726"/>
      <c r="AC81" s="563"/>
      <c r="AD81" s="629">
        <f t="shared" ref="AD81:AD144" si="5">SUM(G81:AC81)</f>
        <v>900</v>
      </c>
      <c r="AE81" s="629">
        <f t="shared" ref="AE81:AE144" si="6">SUM(D81:F81)</f>
        <v>900</v>
      </c>
      <c r="AF81" s="634">
        <f t="shared" ref="AF81:AF144" si="7">AD81-AE81</f>
        <v>0</v>
      </c>
      <c r="AG81" s="43"/>
    </row>
    <row r="82" spans="1:33">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719"/>
      <c r="Y82" s="719"/>
      <c r="Z82" s="719"/>
      <c r="AA82" s="719"/>
      <c r="AB82" s="719"/>
      <c r="AC82" s="563"/>
      <c r="AD82" s="629">
        <f t="shared" si="5"/>
        <v>138</v>
      </c>
      <c r="AE82" s="629">
        <f t="shared" si="6"/>
        <v>138</v>
      </c>
      <c r="AF82" s="634">
        <f t="shared" si="7"/>
        <v>0</v>
      </c>
      <c r="AG82" s="43"/>
    </row>
    <row r="83" spans="1:33">
      <c r="A83" s="555"/>
      <c r="B83" s="719" t="s">
        <v>465</v>
      </c>
      <c r="C83" s="719"/>
      <c r="D83" s="721"/>
      <c r="E83" s="719">
        <v>164</v>
      </c>
      <c r="F83" s="722"/>
      <c r="G83" s="723"/>
      <c r="H83" s="724"/>
      <c r="I83" s="719">
        <v>164</v>
      </c>
      <c r="J83" s="724"/>
      <c r="K83" s="725"/>
      <c r="L83" s="725"/>
      <c r="M83" s="725"/>
      <c r="N83" s="725"/>
      <c r="O83" s="725"/>
      <c r="P83" s="725"/>
      <c r="Q83" s="725"/>
      <c r="R83" s="726"/>
      <c r="S83" s="727"/>
      <c r="T83" s="725"/>
      <c r="U83" s="726"/>
      <c r="V83" s="726"/>
      <c r="W83" s="727"/>
      <c r="X83" s="726"/>
      <c r="Y83" s="726"/>
      <c r="Z83" s="726"/>
      <c r="AA83" s="726"/>
      <c r="AB83" s="726"/>
      <c r="AC83" s="563"/>
      <c r="AD83" s="629">
        <f t="shared" si="5"/>
        <v>164</v>
      </c>
      <c r="AE83" s="629">
        <f t="shared" si="6"/>
        <v>164</v>
      </c>
      <c r="AF83" s="634">
        <f t="shared" si="7"/>
        <v>0</v>
      </c>
      <c r="AG83" s="43"/>
    </row>
    <row r="84" spans="1:33">
      <c r="A84" s="555"/>
      <c r="B84" s="719" t="s">
        <v>466</v>
      </c>
      <c r="C84" s="719"/>
      <c r="D84" s="721"/>
      <c r="E84" s="719">
        <v>20</v>
      </c>
      <c r="F84" s="722"/>
      <c r="G84" s="723"/>
      <c r="H84" s="724"/>
      <c r="I84" s="724"/>
      <c r="J84" s="724"/>
      <c r="K84" s="725"/>
      <c r="L84" s="725"/>
      <c r="M84" s="725"/>
      <c r="N84" s="725"/>
      <c r="O84" s="725"/>
      <c r="P84" s="719">
        <v>20</v>
      </c>
      <c r="Q84" s="725"/>
      <c r="R84" s="726"/>
      <c r="S84" s="727"/>
      <c r="T84" s="725"/>
      <c r="U84" s="726"/>
      <c r="V84" s="726"/>
      <c r="W84" s="727"/>
      <c r="X84" s="726"/>
      <c r="Y84" s="726"/>
      <c r="Z84" s="726"/>
      <c r="AA84" s="726"/>
      <c r="AB84" s="726"/>
      <c r="AC84" s="563"/>
      <c r="AD84" s="629">
        <f t="shared" si="5"/>
        <v>20</v>
      </c>
      <c r="AE84" s="629">
        <f t="shared" si="6"/>
        <v>20</v>
      </c>
      <c r="AF84" s="634">
        <f t="shared" si="7"/>
        <v>0</v>
      </c>
      <c r="AG84" s="43"/>
    </row>
    <row r="85" spans="1:33">
      <c r="A85" s="555"/>
      <c r="B85" s="719" t="s">
        <v>467</v>
      </c>
      <c r="C85" s="719"/>
      <c r="D85" s="721"/>
      <c r="E85" s="719">
        <v>95</v>
      </c>
      <c r="F85" s="722"/>
      <c r="G85" s="723"/>
      <c r="H85" s="724"/>
      <c r="I85" s="724"/>
      <c r="J85" s="724"/>
      <c r="K85" s="725"/>
      <c r="L85" s="725"/>
      <c r="M85" s="725"/>
      <c r="N85" s="725"/>
      <c r="O85" s="725"/>
      <c r="P85" s="725"/>
      <c r="Q85" s="725"/>
      <c r="R85" s="726"/>
      <c r="S85" s="727"/>
      <c r="T85" s="725"/>
      <c r="U85" s="719"/>
      <c r="V85" s="726"/>
      <c r="W85" s="719">
        <v>95</v>
      </c>
      <c r="X85" s="726"/>
      <c r="Y85" s="726"/>
      <c r="Z85" s="726"/>
      <c r="AA85" s="726"/>
      <c r="AB85" s="726"/>
      <c r="AC85" s="563"/>
      <c r="AD85" s="629">
        <f t="shared" si="5"/>
        <v>95</v>
      </c>
      <c r="AE85" s="629">
        <f t="shared" si="6"/>
        <v>95</v>
      </c>
      <c r="AF85" s="634">
        <f t="shared" si="7"/>
        <v>0</v>
      </c>
      <c r="AG85" s="43"/>
    </row>
    <row r="86" spans="1:33">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726"/>
      <c r="Y86" s="726"/>
      <c r="Z86" s="726"/>
      <c r="AA86" s="726"/>
      <c r="AB86" s="726"/>
      <c r="AC86" s="563"/>
      <c r="AD86" s="629">
        <f t="shared" si="5"/>
        <v>85</v>
      </c>
      <c r="AE86" s="629">
        <f t="shared" si="6"/>
        <v>85</v>
      </c>
      <c r="AF86" s="634">
        <f t="shared" si="7"/>
        <v>0</v>
      </c>
      <c r="AG86" s="43"/>
    </row>
    <row r="87" spans="1:33">
      <c r="A87" s="555"/>
      <c r="B87" s="719" t="s">
        <v>469</v>
      </c>
      <c r="C87" s="719"/>
      <c r="D87" s="721"/>
      <c r="E87" s="719">
        <v>225</v>
      </c>
      <c r="F87" s="722"/>
      <c r="G87" s="723"/>
      <c r="H87" s="719">
        <v>225</v>
      </c>
      <c r="I87" s="724"/>
      <c r="J87" s="724"/>
      <c r="K87" s="725"/>
      <c r="L87" s="725"/>
      <c r="M87" s="725"/>
      <c r="N87" s="725"/>
      <c r="O87" s="725"/>
      <c r="P87" s="725"/>
      <c r="Q87" s="725"/>
      <c r="R87" s="726"/>
      <c r="S87" s="727"/>
      <c r="T87" s="719"/>
      <c r="U87" s="726"/>
      <c r="V87" s="726"/>
      <c r="W87" s="727"/>
      <c r="X87" s="726"/>
      <c r="Y87" s="726"/>
      <c r="Z87" s="726"/>
      <c r="AA87" s="726"/>
      <c r="AB87" s="726"/>
      <c r="AC87" s="563"/>
      <c r="AD87" s="629">
        <f t="shared" si="5"/>
        <v>225</v>
      </c>
      <c r="AE87" s="629">
        <f t="shared" si="6"/>
        <v>225</v>
      </c>
      <c r="AF87" s="634">
        <f t="shared" si="7"/>
        <v>0</v>
      </c>
      <c r="AG87" s="43"/>
    </row>
    <row r="88" spans="1:33">
      <c r="A88" s="555"/>
      <c r="B88" s="719"/>
      <c r="C88" s="719"/>
      <c r="D88" s="721"/>
      <c r="E88" s="719"/>
      <c r="F88" s="722"/>
      <c r="G88" s="723"/>
      <c r="H88" s="719"/>
      <c r="I88" s="724"/>
      <c r="J88" s="724"/>
      <c r="K88" s="725"/>
      <c r="L88" s="725"/>
      <c r="M88" s="725"/>
      <c r="N88" s="725"/>
      <c r="O88" s="725"/>
      <c r="P88" s="725"/>
      <c r="Q88" s="725"/>
      <c r="R88" s="726"/>
      <c r="S88" s="727"/>
      <c r="T88" s="725"/>
      <c r="U88" s="726"/>
      <c r="V88" s="726"/>
      <c r="W88" s="727"/>
      <c r="X88" s="726"/>
      <c r="Y88" s="726"/>
      <c r="Z88" s="726"/>
      <c r="AA88" s="726"/>
      <c r="AB88" s="719"/>
      <c r="AC88" s="563"/>
      <c r="AD88" s="629">
        <f t="shared" si="5"/>
        <v>0</v>
      </c>
      <c r="AE88" s="629">
        <f t="shared" si="6"/>
        <v>0</v>
      </c>
      <c r="AF88" s="634">
        <f t="shared" si="7"/>
        <v>0</v>
      </c>
      <c r="AG88" s="43"/>
    </row>
    <row r="89" spans="1:33">
      <c r="A89" s="555"/>
      <c r="B89" s="719" t="s">
        <v>471</v>
      </c>
      <c r="C89" s="719"/>
      <c r="D89" s="721"/>
      <c r="E89" s="721">
        <v>55</v>
      </c>
      <c r="F89" s="728"/>
      <c r="G89" s="729"/>
      <c r="H89" s="724"/>
      <c r="I89" s="724"/>
      <c r="J89" s="724"/>
      <c r="K89" s="725"/>
      <c r="L89" s="725"/>
      <c r="M89" s="725"/>
      <c r="N89" s="725"/>
      <c r="O89" s="725"/>
      <c r="P89" s="725"/>
      <c r="Q89" s="725"/>
      <c r="R89" s="725"/>
      <c r="S89" s="725">
        <v>55</v>
      </c>
      <c r="T89" s="725"/>
      <c r="U89" s="725"/>
      <c r="V89" s="725"/>
      <c r="W89" s="725"/>
      <c r="X89" s="725"/>
      <c r="Y89" s="725"/>
      <c r="Z89" s="725"/>
      <c r="AA89" s="725"/>
      <c r="AB89" s="725"/>
      <c r="AC89" s="563"/>
      <c r="AD89" s="629">
        <f t="shared" si="5"/>
        <v>55</v>
      </c>
      <c r="AE89" s="629">
        <f t="shared" si="6"/>
        <v>55</v>
      </c>
      <c r="AF89" s="634">
        <f t="shared" si="7"/>
        <v>0</v>
      </c>
      <c r="AG89" s="43"/>
    </row>
    <row r="90" spans="1:33">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738"/>
      <c r="Y90" s="738"/>
      <c r="Z90" s="738"/>
      <c r="AA90" s="738"/>
      <c r="AB90" s="738"/>
      <c r="AC90" s="563"/>
      <c r="AD90" s="629">
        <f t="shared" si="5"/>
        <v>65</v>
      </c>
      <c r="AE90" s="629">
        <f t="shared" si="6"/>
        <v>65</v>
      </c>
      <c r="AF90" s="634">
        <f t="shared" si="7"/>
        <v>0</v>
      </c>
      <c r="AG90" s="43"/>
    </row>
    <row r="91" spans="1:33">
      <c r="A91" s="555"/>
      <c r="B91" s="605" t="s">
        <v>43</v>
      </c>
      <c r="C91" s="607"/>
      <c r="D91" s="608"/>
      <c r="E91" s="608">
        <v>65</v>
      </c>
      <c r="F91" s="608"/>
      <c r="G91" s="609"/>
      <c r="H91" s="585"/>
      <c r="I91" s="562"/>
      <c r="J91" s="562">
        <v>65</v>
      </c>
      <c r="K91" s="562"/>
      <c r="L91" s="562"/>
      <c r="M91" s="562"/>
      <c r="N91" s="602" t="s">
        <v>241</v>
      </c>
      <c r="O91" s="562"/>
      <c r="P91" s="562"/>
      <c r="Q91" s="562"/>
      <c r="R91" s="562"/>
      <c r="S91" s="562"/>
      <c r="T91" s="562"/>
      <c r="U91" s="562"/>
      <c r="V91" s="562"/>
      <c r="W91" s="562"/>
      <c r="X91" s="562"/>
      <c r="Y91" s="562"/>
      <c r="Z91" s="562"/>
      <c r="AA91" s="562"/>
      <c r="AB91" s="562"/>
      <c r="AC91" s="563"/>
      <c r="AD91" s="629">
        <f t="shared" si="5"/>
        <v>65</v>
      </c>
      <c r="AE91" s="629">
        <f t="shared" si="6"/>
        <v>65</v>
      </c>
      <c r="AF91" s="634">
        <f t="shared" si="7"/>
        <v>0</v>
      </c>
      <c r="AG91" s="43"/>
    </row>
    <row r="92" spans="1:33">
      <c r="A92" s="555"/>
      <c r="B92" s="605" t="s">
        <v>174</v>
      </c>
      <c r="C92" s="607"/>
      <c r="D92" s="739">
        <v>5.5</v>
      </c>
      <c r="E92" s="608"/>
      <c r="F92" s="609"/>
      <c r="G92" s="609"/>
      <c r="H92" s="603"/>
      <c r="I92" s="562"/>
      <c r="J92" s="562"/>
      <c r="K92" s="562"/>
      <c r="L92" s="562"/>
      <c r="M92" s="562"/>
      <c r="N92" s="562"/>
      <c r="O92" s="562"/>
      <c r="P92" s="562"/>
      <c r="Q92" s="562"/>
      <c r="R92" s="562"/>
      <c r="S92" s="562"/>
      <c r="T92" s="562"/>
      <c r="U92" s="562"/>
      <c r="V92" s="740">
        <v>5.5</v>
      </c>
      <c r="W92" s="562"/>
      <c r="X92" s="562"/>
      <c r="Y92" s="562"/>
      <c r="Z92" s="562"/>
      <c r="AA92" s="562"/>
      <c r="AB92" s="562"/>
      <c r="AC92" s="563"/>
      <c r="AD92" s="629">
        <f t="shared" si="5"/>
        <v>5.5</v>
      </c>
      <c r="AE92" s="629">
        <f t="shared" si="6"/>
        <v>5.5</v>
      </c>
      <c r="AF92" s="634">
        <f t="shared" si="7"/>
        <v>0</v>
      </c>
      <c r="AG92" s="43"/>
    </row>
    <row r="93" spans="1:33">
      <c r="A93" s="555"/>
      <c r="B93" s="719"/>
      <c r="C93" s="719"/>
      <c r="D93" s="747"/>
      <c r="E93" s="721"/>
      <c r="F93" s="609"/>
      <c r="G93" s="609"/>
      <c r="H93" s="603"/>
      <c r="I93" s="562"/>
      <c r="J93" s="562"/>
      <c r="K93" s="562"/>
      <c r="L93" s="562"/>
      <c r="M93" s="562"/>
      <c r="N93" s="562"/>
      <c r="O93" s="562"/>
      <c r="P93" s="562"/>
      <c r="Q93" s="562"/>
      <c r="R93" s="562"/>
      <c r="S93" s="562"/>
      <c r="T93" s="562"/>
      <c r="U93" s="562"/>
      <c r="V93" s="562"/>
      <c r="W93" s="562"/>
      <c r="X93" s="562"/>
      <c r="Y93" s="562"/>
      <c r="Z93" s="562"/>
      <c r="AA93" s="562"/>
      <c r="AB93" s="562"/>
      <c r="AC93" s="563"/>
      <c r="AD93" s="629">
        <f t="shared" si="5"/>
        <v>0</v>
      </c>
      <c r="AE93" s="629">
        <f t="shared" si="6"/>
        <v>0</v>
      </c>
      <c r="AF93" s="634">
        <f t="shared" si="7"/>
        <v>0</v>
      </c>
      <c r="AG93" s="43"/>
    </row>
    <row r="94" spans="1:33">
      <c r="A94" s="555"/>
      <c r="B94" s="605" t="s">
        <v>487</v>
      </c>
      <c r="C94" s="607"/>
      <c r="D94" s="609">
        <v>264.02999999999997</v>
      </c>
      <c r="E94" s="608"/>
      <c r="F94" s="609"/>
      <c r="G94" s="609"/>
      <c r="H94" s="603"/>
      <c r="I94" s="562"/>
      <c r="J94" s="562"/>
      <c r="K94" s="562"/>
      <c r="L94" s="562"/>
      <c r="M94" s="562">
        <v>264.02999999999997</v>
      </c>
      <c r="N94" s="562"/>
      <c r="O94" s="562"/>
      <c r="P94" s="562"/>
      <c r="Q94" s="562"/>
      <c r="R94" s="562"/>
      <c r="S94" s="562"/>
      <c r="T94" s="562"/>
      <c r="U94" s="562"/>
      <c r="V94" s="562"/>
      <c r="W94" s="562"/>
      <c r="X94" s="562"/>
      <c r="Y94" s="562"/>
      <c r="Z94" s="562"/>
      <c r="AA94" s="562"/>
      <c r="AB94" s="562"/>
      <c r="AC94" s="563"/>
      <c r="AD94" s="629">
        <f t="shared" si="5"/>
        <v>264.02999999999997</v>
      </c>
      <c r="AE94" s="629">
        <f t="shared" si="6"/>
        <v>264.02999999999997</v>
      </c>
      <c r="AF94" s="634">
        <f t="shared" si="7"/>
        <v>0</v>
      </c>
      <c r="AG94" s="43"/>
    </row>
    <row r="95" spans="1:33">
      <c r="A95" s="555"/>
      <c r="B95" s="605" t="s">
        <v>486</v>
      </c>
      <c r="C95" s="607"/>
      <c r="D95" s="609">
        <v>1802</v>
      </c>
      <c r="E95" s="608">
        <v>-1802</v>
      </c>
      <c r="F95" s="609"/>
      <c r="G95" s="609"/>
      <c r="H95" s="603"/>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5"/>
        <v>0</v>
      </c>
      <c r="AE95" s="629">
        <f t="shared" si="6"/>
        <v>0</v>
      </c>
      <c r="AF95" s="634">
        <f t="shared" si="7"/>
        <v>0</v>
      </c>
      <c r="AG95" s="43"/>
    </row>
    <row r="96" spans="1:33">
      <c r="A96" s="555"/>
      <c r="B96" s="623"/>
      <c r="C96" s="607"/>
      <c r="D96" s="609"/>
      <c r="E96" s="608"/>
      <c r="F96" s="609"/>
      <c r="G96" s="609"/>
      <c r="H96" s="585"/>
      <c r="I96" s="562"/>
      <c r="J96" s="562"/>
      <c r="K96" s="562"/>
      <c r="L96" s="562"/>
      <c r="M96" s="562"/>
      <c r="N96" s="562"/>
      <c r="O96" s="562"/>
      <c r="P96" s="562"/>
      <c r="Q96" s="562"/>
      <c r="R96" s="562"/>
      <c r="S96" s="562"/>
      <c r="T96" s="562"/>
      <c r="U96" s="562"/>
      <c r="V96" s="562"/>
      <c r="W96" s="562"/>
      <c r="X96" s="562"/>
      <c r="Y96" s="562"/>
      <c r="Z96" s="562"/>
      <c r="AA96" s="562"/>
      <c r="AB96" s="562"/>
      <c r="AC96" s="563"/>
      <c r="AD96" s="629">
        <f t="shared" si="5"/>
        <v>0</v>
      </c>
      <c r="AE96" s="629">
        <f t="shared" si="6"/>
        <v>0</v>
      </c>
      <c r="AF96" s="634">
        <f t="shared" si="7"/>
        <v>0</v>
      </c>
      <c r="AG96" s="43"/>
    </row>
    <row r="97" spans="1:33">
      <c r="A97" s="555"/>
      <c r="B97" s="623"/>
      <c r="C97" s="607"/>
      <c r="D97" s="609"/>
      <c r="E97" s="608"/>
      <c r="F97" s="609"/>
      <c r="G97" s="609"/>
      <c r="H97" s="585"/>
      <c r="I97" s="562"/>
      <c r="J97" s="562"/>
      <c r="K97" s="562"/>
      <c r="L97" s="562"/>
      <c r="M97" s="562"/>
      <c r="N97" s="562"/>
      <c r="O97" s="562"/>
      <c r="P97" s="562"/>
      <c r="Q97" s="562"/>
      <c r="R97" s="562"/>
      <c r="S97" s="562"/>
      <c r="T97" s="562"/>
      <c r="U97" s="562"/>
      <c r="V97" s="562"/>
      <c r="W97" s="562"/>
      <c r="X97" s="562"/>
      <c r="Y97" s="562"/>
      <c r="Z97" s="562"/>
      <c r="AA97" s="562"/>
      <c r="AB97" s="562"/>
      <c r="AC97" s="563"/>
      <c r="AD97" s="629">
        <f t="shared" si="5"/>
        <v>0</v>
      </c>
      <c r="AE97" s="629">
        <f t="shared" si="6"/>
        <v>0</v>
      </c>
      <c r="AF97" s="634">
        <f t="shared" si="7"/>
        <v>0</v>
      </c>
      <c r="AG97" s="43"/>
    </row>
    <row r="98" spans="1:33">
      <c r="A98" s="555"/>
      <c r="B98" s="623"/>
      <c r="C98" s="607"/>
      <c r="D98" s="609"/>
      <c r="E98" s="608"/>
      <c r="F98" s="609"/>
      <c r="G98" s="609"/>
      <c r="H98" s="585"/>
      <c r="I98" s="562"/>
      <c r="J98" s="562"/>
      <c r="K98" s="562"/>
      <c r="L98" s="562"/>
      <c r="M98" s="562"/>
      <c r="N98" s="562"/>
      <c r="O98" s="562"/>
      <c r="P98" s="562"/>
      <c r="Q98" s="562"/>
      <c r="R98" s="562"/>
      <c r="S98" s="562"/>
      <c r="T98" s="562"/>
      <c r="U98" s="562"/>
      <c r="V98" s="562"/>
      <c r="W98" s="562"/>
      <c r="X98" s="562"/>
      <c r="Y98" s="562"/>
      <c r="Z98" s="562"/>
      <c r="AA98" s="562"/>
      <c r="AB98" s="562"/>
      <c r="AC98" s="563"/>
      <c r="AD98" s="629">
        <f t="shared" si="5"/>
        <v>0</v>
      </c>
      <c r="AE98" s="629">
        <f t="shared" si="6"/>
        <v>0</v>
      </c>
      <c r="AF98" s="634">
        <f t="shared" si="7"/>
        <v>0</v>
      </c>
      <c r="AG98" s="43"/>
    </row>
    <row r="99" spans="1:33">
      <c r="A99" s="555"/>
      <c r="B99" s="623"/>
      <c r="C99" s="607"/>
      <c r="D99" s="609"/>
      <c r="E99" s="608"/>
      <c r="F99" s="609"/>
      <c r="G99" s="609"/>
      <c r="H99" s="585"/>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5"/>
        <v>0</v>
      </c>
      <c r="AE99" s="629">
        <f t="shared" si="6"/>
        <v>0</v>
      </c>
      <c r="AF99" s="634">
        <f t="shared" si="7"/>
        <v>0</v>
      </c>
      <c r="AG99" s="43"/>
    </row>
    <row r="100" spans="1:33">
      <c r="A100" s="555"/>
      <c r="B100" s="623"/>
      <c r="C100" s="607"/>
      <c r="D100" s="609"/>
      <c r="E100" s="608"/>
      <c r="F100" s="609"/>
      <c r="G100" s="609"/>
      <c r="H100" s="585"/>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5"/>
        <v>0</v>
      </c>
      <c r="AE100" s="629">
        <f t="shared" si="6"/>
        <v>0</v>
      </c>
      <c r="AF100" s="634">
        <f t="shared" si="7"/>
        <v>0</v>
      </c>
      <c r="AG100" s="43"/>
    </row>
    <row r="101" spans="1:33">
      <c r="A101" s="555"/>
      <c r="B101" s="623"/>
      <c r="C101" s="607"/>
      <c r="D101" s="609"/>
      <c r="E101" s="608"/>
      <c r="F101" s="609"/>
      <c r="G101" s="609"/>
      <c r="H101" s="585"/>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5"/>
        <v>0</v>
      </c>
      <c r="AE101" s="629">
        <f t="shared" si="6"/>
        <v>0</v>
      </c>
      <c r="AF101" s="634">
        <f t="shared" si="7"/>
        <v>0</v>
      </c>
      <c r="AG101" s="43"/>
    </row>
    <row r="102" spans="1:33">
      <c r="A102" s="555"/>
      <c r="B102" s="623"/>
      <c r="C102" s="607"/>
      <c r="D102" s="609"/>
      <c r="E102" s="608"/>
      <c r="F102" s="609"/>
      <c r="G102" s="609"/>
      <c r="H102" s="585"/>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5"/>
        <v>0</v>
      </c>
      <c r="AE102" s="629">
        <f t="shared" si="6"/>
        <v>0</v>
      </c>
      <c r="AF102" s="634">
        <f t="shared" si="7"/>
        <v>0</v>
      </c>
      <c r="AG102" s="43"/>
    </row>
    <row r="103" spans="1:33">
      <c r="A103" s="555"/>
      <c r="B103" s="623"/>
      <c r="C103" s="607"/>
      <c r="D103" s="609"/>
      <c r="E103" s="608"/>
      <c r="F103" s="609"/>
      <c r="G103" s="609"/>
      <c r="H103" s="585"/>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5"/>
        <v>0</v>
      </c>
      <c r="AE103" s="629">
        <f t="shared" si="6"/>
        <v>0</v>
      </c>
      <c r="AF103" s="634">
        <f t="shared" si="7"/>
        <v>0</v>
      </c>
      <c r="AG103" s="43"/>
    </row>
    <row r="104" spans="1:33">
      <c r="A104" s="555"/>
      <c r="B104" s="623"/>
      <c r="C104" s="607"/>
      <c r="D104" s="609"/>
      <c r="E104" s="608"/>
      <c r="F104" s="609"/>
      <c r="G104" s="609"/>
      <c r="H104" s="585"/>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5"/>
        <v>0</v>
      </c>
      <c r="AE104" s="629">
        <f t="shared" si="6"/>
        <v>0</v>
      </c>
      <c r="AF104" s="634">
        <f t="shared" si="7"/>
        <v>0</v>
      </c>
      <c r="AG104" s="43"/>
    </row>
    <row r="105" spans="1:33">
      <c r="A105" s="555"/>
      <c r="B105" s="623"/>
      <c r="C105" s="607"/>
      <c r="D105" s="609"/>
      <c r="E105" s="608"/>
      <c r="F105" s="609"/>
      <c r="G105" s="609"/>
      <c r="H105" s="585"/>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5"/>
        <v>0</v>
      </c>
      <c r="AE105" s="629">
        <f t="shared" si="6"/>
        <v>0</v>
      </c>
      <c r="AF105" s="634">
        <f t="shared" si="7"/>
        <v>0</v>
      </c>
      <c r="AG105" s="43"/>
    </row>
    <row r="106" spans="1:33">
      <c r="A106" s="555"/>
      <c r="B106" s="623"/>
      <c r="C106" s="607"/>
      <c r="D106" s="609"/>
      <c r="E106" s="608"/>
      <c r="F106" s="609"/>
      <c r="G106" s="609"/>
      <c r="H106" s="585"/>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5"/>
        <v>0</v>
      </c>
      <c r="AE106" s="629">
        <f t="shared" si="6"/>
        <v>0</v>
      </c>
      <c r="AF106" s="634">
        <f t="shared" si="7"/>
        <v>0</v>
      </c>
      <c r="AG106" s="43"/>
    </row>
    <row r="107" spans="1:33" ht="13.5" thickBot="1">
      <c r="A107" s="555"/>
      <c r="B107" s="623"/>
      <c r="C107" s="607"/>
      <c r="D107" s="609"/>
      <c r="E107" s="608"/>
      <c r="F107" s="609"/>
      <c r="G107" s="609"/>
      <c r="H107" s="585"/>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5"/>
        <v>0</v>
      </c>
      <c r="AE107" s="629">
        <f t="shared" si="6"/>
        <v>0</v>
      </c>
      <c r="AF107" s="634">
        <f t="shared" si="7"/>
        <v>0</v>
      </c>
      <c r="AG107" s="43"/>
    </row>
    <row r="108" spans="1:33" hidden="1">
      <c r="A108" s="555"/>
      <c r="B108" s="623"/>
      <c r="C108" s="607"/>
      <c r="D108" s="609"/>
      <c r="E108" s="608"/>
      <c r="F108" s="609"/>
      <c r="G108" s="609"/>
      <c r="H108" s="585"/>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5"/>
        <v>0</v>
      </c>
      <c r="AE108" s="629">
        <f t="shared" si="6"/>
        <v>0</v>
      </c>
      <c r="AF108" s="634">
        <f t="shared" si="7"/>
        <v>0</v>
      </c>
      <c r="AG108" s="43"/>
    </row>
    <row r="109" spans="1:33" hidden="1">
      <c r="A109" s="555"/>
      <c r="B109" s="623"/>
      <c r="C109" s="607"/>
      <c r="D109" s="609"/>
      <c r="E109" s="608"/>
      <c r="F109" s="609"/>
      <c r="G109" s="609"/>
      <c r="H109" s="585"/>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5"/>
        <v>0</v>
      </c>
      <c r="AE109" s="629">
        <f t="shared" si="6"/>
        <v>0</v>
      </c>
      <c r="AF109" s="634">
        <f t="shared" si="7"/>
        <v>0</v>
      </c>
      <c r="AG109" s="43"/>
    </row>
    <row r="110" spans="1:33" hidden="1">
      <c r="A110" s="555"/>
      <c r="B110" s="623"/>
      <c r="C110" s="607"/>
      <c r="D110" s="609"/>
      <c r="E110" s="608"/>
      <c r="F110" s="609"/>
      <c r="G110" s="609"/>
      <c r="H110" s="585"/>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5"/>
        <v>0</v>
      </c>
      <c r="AE110" s="629">
        <f t="shared" si="6"/>
        <v>0</v>
      </c>
      <c r="AF110" s="634">
        <f t="shared" si="7"/>
        <v>0</v>
      </c>
      <c r="AG110" s="43"/>
    </row>
    <row r="111" spans="1:33" hidden="1">
      <c r="A111" s="555"/>
      <c r="B111" s="623"/>
      <c r="C111" s="607"/>
      <c r="D111" s="609"/>
      <c r="E111" s="608"/>
      <c r="F111" s="609"/>
      <c r="G111" s="609"/>
      <c r="H111" s="585"/>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5"/>
        <v>0</v>
      </c>
      <c r="AE111" s="629">
        <f t="shared" si="6"/>
        <v>0</v>
      </c>
      <c r="AF111" s="634">
        <f t="shared" si="7"/>
        <v>0</v>
      </c>
      <c r="AG111" s="43"/>
    </row>
    <row r="112" spans="1:33" hidden="1">
      <c r="A112" s="555"/>
      <c r="B112" s="623"/>
      <c r="C112" s="607"/>
      <c r="D112" s="609"/>
      <c r="E112" s="608"/>
      <c r="F112" s="609"/>
      <c r="G112" s="609"/>
      <c r="H112" s="585"/>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5"/>
        <v>0</v>
      </c>
      <c r="AE112" s="629">
        <f t="shared" si="6"/>
        <v>0</v>
      </c>
      <c r="AF112" s="634">
        <f t="shared" si="7"/>
        <v>0</v>
      </c>
      <c r="AG112" s="43"/>
    </row>
    <row r="113" spans="1:33" hidden="1">
      <c r="A113" s="555"/>
      <c r="B113" s="623"/>
      <c r="C113" s="607"/>
      <c r="D113" s="609"/>
      <c r="E113" s="608"/>
      <c r="F113" s="609"/>
      <c r="G113" s="609"/>
      <c r="H113" s="585"/>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5"/>
        <v>0</v>
      </c>
      <c r="AE113" s="629">
        <f t="shared" si="6"/>
        <v>0</v>
      </c>
      <c r="AF113" s="634">
        <f t="shared" si="7"/>
        <v>0</v>
      </c>
      <c r="AG113" s="43"/>
    </row>
    <row r="114" spans="1:33" hidden="1">
      <c r="A114" s="555"/>
      <c r="B114" s="623"/>
      <c r="C114" s="607"/>
      <c r="D114" s="609"/>
      <c r="E114" s="608"/>
      <c r="F114" s="609"/>
      <c r="G114" s="609"/>
      <c r="H114" s="585"/>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5"/>
        <v>0</v>
      </c>
      <c r="AE114" s="629">
        <f t="shared" si="6"/>
        <v>0</v>
      </c>
      <c r="AF114" s="634">
        <f t="shared" si="7"/>
        <v>0</v>
      </c>
      <c r="AG114" s="43"/>
    </row>
    <row r="115" spans="1:33" hidden="1">
      <c r="A115" s="555"/>
      <c r="B115" s="623"/>
      <c r="C115" s="607"/>
      <c r="D115" s="609"/>
      <c r="E115" s="608"/>
      <c r="F115" s="609"/>
      <c r="G115" s="609"/>
      <c r="H115" s="585"/>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5"/>
        <v>0</v>
      </c>
      <c r="AE115" s="629">
        <f t="shared" si="6"/>
        <v>0</v>
      </c>
      <c r="AF115" s="634">
        <f t="shared" si="7"/>
        <v>0</v>
      </c>
      <c r="AG115" s="43"/>
    </row>
    <row r="116" spans="1:33" hidden="1">
      <c r="A116" s="555"/>
      <c r="B116" s="623"/>
      <c r="C116" s="607"/>
      <c r="D116" s="609"/>
      <c r="E116" s="608"/>
      <c r="F116" s="609"/>
      <c r="G116" s="609"/>
      <c r="H116" s="585"/>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5"/>
        <v>0</v>
      </c>
      <c r="AE116" s="629">
        <f t="shared" si="6"/>
        <v>0</v>
      </c>
      <c r="AF116" s="634">
        <f t="shared" si="7"/>
        <v>0</v>
      </c>
      <c r="AG116" s="43"/>
    </row>
    <row r="117" spans="1:33" hidden="1">
      <c r="A117" s="555"/>
      <c r="B117" s="623"/>
      <c r="C117" s="607"/>
      <c r="D117" s="609"/>
      <c r="E117" s="608"/>
      <c r="F117" s="609"/>
      <c r="G117" s="609"/>
      <c r="H117" s="585"/>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5"/>
        <v>0</v>
      </c>
      <c r="AE117" s="629">
        <f t="shared" si="6"/>
        <v>0</v>
      </c>
      <c r="AF117" s="634">
        <f t="shared" si="7"/>
        <v>0</v>
      </c>
      <c r="AG117" s="43"/>
    </row>
    <row r="118" spans="1:33" hidden="1">
      <c r="A118" s="555"/>
      <c r="B118" s="623"/>
      <c r="C118" s="607"/>
      <c r="D118" s="609"/>
      <c r="E118" s="608"/>
      <c r="F118" s="609"/>
      <c r="G118" s="609"/>
      <c r="H118" s="585"/>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5"/>
        <v>0</v>
      </c>
      <c r="AE118" s="629">
        <f t="shared" si="6"/>
        <v>0</v>
      </c>
      <c r="AF118" s="634">
        <f t="shared" si="7"/>
        <v>0</v>
      </c>
      <c r="AG118" s="43"/>
    </row>
    <row r="119" spans="1:33" hidden="1">
      <c r="A119" s="555"/>
      <c r="B119" s="623"/>
      <c r="C119" s="607"/>
      <c r="D119" s="609"/>
      <c r="E119" s="608"/>
      <c r="F119" s="609"/>
      <c r="G119" s="609"/>
      <c r="H119" s="585"/>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5"/>
        <v>0</v>
      </c>
      <c r="AE119" s="629">
        <f t="shared" si="6"/>
        <v>0</v>
      </c>
      <c r="AF119" s="634">
        <f t="shared" si="7"/>
        <v>0</v>
      </c>
      <c r="AG119" s="43"/>
    </row>
    <row r="120" spans="1:33" hidden="1">
      <c r="A120" s="555"/>
      <c r="B120" s="623"/>
      <c r="C120" s="607"/>
      <c r="D120" s="609"/>
      <c r="E120" s="608"/>
      <c r="F120" s="609"/>
      <c r="G120" s="609"/>
      <c r="H120" s="585"/>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5"/>
        <v>0</v>
      </c>
      <c r="AE120" s="629">
        <f t="shared" si="6"/>
        <v>0</v>
      </c>
      <c r="AF120" s="634">
        <f t="shared" si="7"/>
        <v>0</v>
      </c>
      <c r="AG120" s="43"/>
    </row>
    <row r="121" spans="1:33" hidden="1">
      <c r="A121" s="555"/>
      <c r="B121" s="623"/>
      <c r="C121" s="607"/>
      <c r="D121" s="609"/>
      <c r="E121" s="608"/>
      <c r="F121" s="609"/>
      <c r="G121" s="609"/>
      <c r="H121" s="585"/>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5"/>
        <v>0</v>
      </c>
      <c r="AE121" s="629">
        <f t="shared" si="6"/>
        <v>0</v>
      </c>
      <c r="AF121" s="634">
        <f t="shared" si="7"/>
        <v>0</v>
      </c>
      <c r="AG121" s="43"/>
    </row>
    <row r="122" spans="1:33" hidden="1">
      <c r="A122" s="555"/>
      <c r="B122" s="623"/>
      <c r="C122" s="607"/>
      <c r="D122" s="609"/>
      <c r="E122" s="608"/>
      <c r="F122" s="609"/>
      <c r="G122" s="609"/>
      <c r="H122" s="585"/>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5"/>
        <v>0</v>
      </c>
      <c r="AE122" s="629">
        <f t="shared" si="6"/>
        <v>0</v>
      </c>
      <c r="AF122" s="634">
        <f t="shared" si="7"/>
        <v>0</v>
      </c>
      <c r="AG122" s="43"/>
    </row>
    <row r="123" spans="1:33" hidden="1">
      <c r="A123" s="555"/>
      <c r="B123" s="623"/>
      <c r="C123" s="607"/>
      <c r="D123" s="609"/>
      <c r="E123" s="608"/>
      <c r="F123" s="609"/>
      <c r="G123" s="609"/>
      <c r="H123" s="585"/>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5"/>
        <v>0</v>
      </c>
      <c r="AE123" s="629">
        <f t="shared" si="6"/>
        <v>0</v>
      </c>
      <c r="AF123" s="634">
        <f t="shared" si="7"/>
        <v>0</v>
      </c>
      <c r="AG123" s="43"/>
    </row>
    <row r="124" spans="1:33" hidden="1">
      <c r="A124" s="555"/>
      <c r="B124" s="623"/>
      <c r="C124" s="607"/>
      <c r="D124" s="609"/>
      <c r="E124" s="608"/>
      <c r="F124" s="609"/>
      <c r="G124" s="609"/>
      <c r="H124" s="585"/>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5"/>
        <v>0</v>
      </c>
      <c r="AE124" s="629">
        <f t="shared" si="6"/>
        <v>0</v>
      </c>
      <c r="AF124" s="634">
        <f t="shared" si="7"/>
        <v>0</v>
      </c>
      <c r="AG124" s="43"/>
    </row>
    <row r="125" spans="1:33" hidden="1">
      <c r="A125" s="555"/>
      <c r="B125" s="623"/>
      <c r="C125" s="607"/>
      <c r="D125" s="609"/>
      <c r="E125" s="608"/>
      <c r="F125" s="609"/>
      <c r="G125" s="609"/>
      <c r="H125" s="585"/>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5"/>
        <v>0</v>
      </c>
      <c r="AE125" s="629">
        <f t="shared" si="6"/>
        <v>0</v>
      </c>
      <c r="AF125" s="634">
        <f t="shared" si="7"/>
        <v>0</v>
      </c>
      <c r="AG125" s="43"/>
    </row>
    <row r="126" spans="1:33" hidden="1">
      <c r="A126" s="555"/>
      <c r="B126" s="623"/>
      <c r="C126" s="607"/>
      <c r="D126" s="609"/>
      <c r="E126" s="608"/>
      <c r="F126" s="609"/>
      <c r="G126" s="609"/>
      <c r="H126" s="585"/>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5"/>
        <v>0</v>
      </c>
      <c r="AE126" s="629">
        <f t="shared" si="6"/>
        <v>0</v>
      </c>
      <c r="AF126" s="634">
        <f t="shared" si="7"/>
        <v>0</v>
      </c>
      <c r="AG126" s="43"/>
    </row>
    <row r="127" spans="1:33" hidden="1">
      <c r="A127" s="555"/>
      <c r="B127" s="623"/>
      <c r="C127" s="607"/>
      <c r="D127" s="609"/>
      <c r="E127" s="608"/>
      <c r="F127" s="609"/>
      <c r="G127" s="609"/>
      <c r="H127" s="585"/>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5"/>
        <v>0</v>
      </c>
      <c r="AE127" s="629">
        <f t="shared" si="6"/>
        <v>0</v>
      </c>
      <c r="AF127" s="634">
        <f t="shared" si="7"/>
        <v>0</v>
      </c>
      <c r="AG127" s="43"/>
    </row>
    <row r="128" spans="1:33" hidden="1">
      <c r="A128" s="555"/>
      <c r="B128" s="623"/>
      <c r="C128" s="607"/>
      <c r="D128" s="609"/>
      <c r="E128" s="608"/>
      <c r="F128" s="609"/>
      <c r="G128" s="609"/>
      <c r="H128" s="585"/>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5"/>
        <v>0</v>
      </c>
      <c r="AE128" s="629">
        <f t="shared" si="6"/>
        <v>0</v>
      </c>
      <c r="AF128" s="634">
        <f t="shared" si="7"/>
        <v>0</v>
      </c>
      <c r="AG128" s="43"/>
    </row>
    <row r="129" spans="1:57" hidden="1">
      <c r="A129" s="555"/>
      <c r="B129" s="623"/>
      <c r="C129" s="607"/>
      <c r="D129" s="609"/>
      <c r="E129" s="608"/>
      <c r="F129" s="609"/>
      <c r="G129" s="609"/>
      <c r="H129" s="585"/>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5"/>
        <v>0</v>
      </c>
      <c r="AE129" s="629">
        <f t="shared" si="6"/>
        <v>0</v>
      </c>
      <c r="AF129" s="634">
        <f t="shared" si="7"/>
        <v>0</v>
      </c>
      <c r="AG129" s="43"/>
    </row>
    <row r="130" spans="1:57" hidden="1">
      <c r="A130" s="555"/>
      <c r="B130" s="623"/>
      <c r="C130" s="607"/>
      <c r="D130" s="609"/>
      <c r="E130" s="608"/>
      <c r="F130" s="609"/>
      <c r="G130" s="609"/>
      <c r="H130" s="585"/>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5"/>
        <v>0</v>
      </c>
      <c r="AE130" s="629">
        <f t="shared" si="6"/>
        <v>0</v>
      </c>
      <c r="AF130" s="634">
        <f t="shared" si="7"/>
        <v>0</v>
      </c>
      <c r="AG130" s="43"/>
    </row>
    <row r="131" spans="1:57" hidden="1">
      <c r="A131" s="555"/>
      <c r="B131" s="623"/>
      <c r="C131" s="607"/>
      <c r="D131" s="609"/>
      <c r="E131" s="608"/>
      <c r="F131" s="609"/>
      <c r="G131" s="609"/>
      <c r="H131" s="585"/>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5"/>
        <v>0</v>
      </c>
      <c r="AE131" s="629">
        <f t="shared" si="6"/>
        <v>0</v>
      </c>
      <c r="AF131" s="634">
        <f t="shared" si="7"/>
        <v>0</v>
      </c>
      <c r="AG131" s="43"/>
    </row>
    <row r="132" spans="1:57" hidden="1">
      <c r="A132" s="555"/>
      <c r="B132" s="623"/>
      <c r="C132" s="607"/>
      <c r="D132" s="609"/>
      <c r="E132" s="608"/>
      <c r="F132" s="609"/>
      <c r="G132" s="609"/>
      <c r="H132" s="585"/>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5"/>
        <v>0</v>
      </c>
      <c r="AE132" s="629">
        <f t="shared" si="6"/>
        <v>0</v>
      </c>
      <c r="AF132" s="634">
        <f t="shared" si="7"/>
        <v>0</v>
      </c>
      <c r="AG132" s="43"/>
    </row>
    <row r="133" spans="1:57" hidden="1">
      <c r="A133" s="555"/>
      <c r="B133" s="623"/>
      <c r="C133" s="607"/>
      <c r="D133" s="609"/>
      <c r="E133" s="608"/>
      <c r="F133" s="609"/>
      <c r="G133" s="609"/>
      <c r="H133" s="585"/>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5"/>
        <v>0</v>
      </c>
      <c r="AE133" s="629">
        <f t="shared" si="6"/>
        <v>0</v>
      </c>
      <c r="AF133" s="634">
        <f t="shared" si="7"/>
        <v>0</v>
      </c>
      <c r="AG133" s="43"/>
    </row>
    <row r="134" spans="1:57" hidden="1">
      <c r="A134" s="555"/>
      <c r="B134" s="623"/>
      <c r="C134" s="607"/>
      <c r="D134" s="609"/>
      <c r="E134" s="608"/>
      <c r="F134" s="609"/>
      <c r="G134" s="609"/>
      <c r="H134" s="585"/>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5"/>
        <v>0</v>
      </c>
      <c r="AE134" s="629">
        <f t="shared" si="6"/>
        <v>0</v>
      </c>
      <c r="AF134" s="634">
        <f t="shared" si="7"/>
        <v>0</v>
      </c>
      <c r="AG134" s="43"/>
    </row>
    <row r="135" spans="1:57" hidden="1">
      <c r="A135" s="555"/>
      <c r="B135" s="623"/>
      <c r="C135" s="607"/>
      <c r="D135" s="609"/>
      <c r="E135" s="608"/>
      <c r="F135" s="609"/>
      <c r="G135" s="609"/>
      <c r="H135" s="585"/>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5"/>
        <v>0</v>
      </c>
      <c r="AE135" s="629">
        <f t="shared" si="6"/>
        <v>0</v>
      </c>
      <c r="AF135" s="634">
        <f t="shared" si="7"/>
        <v>0</v>
      </c>
      <c r="AG135" s="43"/>
    </row>
    <row r="136" spans="1:57" hidden="1">
      <c r="A136" s="555"/>
      <c r="B136" s="623"/>
      <c r="C136" s="607"/>
      <c r="D136" s="609"/>
      <c r="E136" s="608"/>
      <c r="F136" s="609"/>
      <c r="G136" s="609"/>
      <c r="H136" s="585"/>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5"/>
        <v>0</v>
      </c>
      <c r="AE136" s="629">
        <f t="shared" si="6"/>
        <v>0</v>
      </c>
      <c r="AF136" s="634">
        <f t="shared" si="7"/>
        <v>0</v>
      </c>
      <c r="AG136" s="43"/>
    </row>
    <row r="137" spans="1:57" hidden="1">
      <c r="A137" s="555"/>
      <c r="B137" s="623"/>
      <c r="C137" s="607"/>
      <c r="D137" s="609"/>
      <c r="E137" s="608"/>
      <c r="F137" s="609"/>
      <c r="G137" s="609"/>
      <c r="H137" s="585"/>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5"/>
        <v>0</v>
      </c>
      <c r="AE137" s="629">
        <f t="shared" si="6"/>
        <v>0</v>
      </c>
      <c r="AF137" s="634">
        <f t="shared" si="7"/>
        <v>0</v>
      </c>
      <c r="AG137" s="43"/>
    </row>
    <row r="138" spans="1:57" hidden="1">
      <c r="A138" s="555"/>
      <c r="B138" s="623"/>
      <c r="C138" s="607"/>
      <c r="D138" s="609"/>
      <c r="E138" s="608"/>
      <c r="F138" s="609"/>
      <c r="G138" s="609"/>
      <c r="H138" s="585"/>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5"/>
        <v>0</v>
      </c>
      <c r="AE138" s="629">
        <f t="shared" si="6"/>
        <v>0</v>
      </c>
      <c r="AF138" s="634">
        <f t="shared" si="7"/>
        <v>0</v>
      </c>
      <c r="AG138" s="43"/>
    </row>
    <row r="139" spans="1:57" hidden="1">
      <c r="A139" s="555" t="s">
        <v>20</v>
      </c>
      <c r="B139" s="623"/>
      <c r="C139" s="607"/>
      <c r="D139" s="609"/>
      <c r="E139" s="608"/>
      <c r="F139" s="609"/>
      <c r="G139" s="609"/>
      <c r="H139" s="603"/>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5"/>
        <v>0</v>
      </c>
      <c r="AE139" s="629">
        <f t="shared" si="6"/>
        <v>0</v>
      </c>
      <c r="AF139" s="634">
        <f t="shared" si="7"/>
        <v>0</v>
      </c>
      <c r="AG139" s="43">
        <f>IF(AF139=0,0,"ERROR HERE")</f>
        <v>0</v>
      </c>
      <c r="AH139" s="7">
        <f t="shared" ref="AH139:AQ146" si="8">IF(OR(ISERROR(+H139/($D139+$E139-$G139)*$G139+H139),LEFT(F139,1)="x"),0,+H139/($D139+$E139-$G139)*$G139+H139)</f>
        <v>0</v>
      </c>
      <c r="AI139" s="7">
        <f t="shared" si="8"/>
        <v>0</v>
      </c>
      <c r="AJ139" s="7">
        <f t="shared" si="8"/>
        <v>0</v>
      </c>
      <c r="AK139" s="7">
        <f t="shared" si="8"/>
        <v>0</v>
      </c>
      <c r="AL139" s="7">
        <f t="shared" si="8"/>
        <v>0</v>
      </c>
      <c r="AM139" s="7">
        <f t="shared" si="8"/>
        <v>0</v>
      </c>
      <c r="AN139" s="7">
        <f t="shared" si="8"/>
        <v>0</v>
      </c>
      <c r="AO139" s="7">
        <f t="shared" si="8"/>
        <v>0</v>
      </c>
      <c r="AP139" s="7">
        <f t="shared" si="8"/>
        <v>0</v>
      </c>
      <c r="AQ139" s="7">
        <f t="shared" si="8"/>
        <v>0</v>
      </c>
      <c r="AR139" s="7">
        <f t="shared" ref="AR139:BA146" si="9">IF(OR(ISERROR(+R139/($D139+$E139-$G139)*$G139+R139),LEFT(P139,1)="x"),0,+R139/($D139+$E139-$G139)*$G139+R139)</f>
        <v>0</v>
      </c>
      <c r="AS139" s="7">
        <f t="shared" si="9"/>
        <v>0</v>
      </c>
      <c r="AT139" s="7">
        <f t="shared" si="9"/>
        <v>0</v>
      </c>
      <c r="AU139" s="7">
        <f t="shared" si="9"/>
        <v>0</v>
      </c>
      <c r="AV139" s="7">
        <f t="shared" si="9"/>
        <v>0</v>
      </c>
      <c r="AW139" s="7">
        <f t="shared" si="9"/>
        <v>0</v>
      </c>
      <c r="AX139" s="7">
        <f t="shared" si="9"/>
        <v>0</v>
      </c>
      <c r="AY139" s="7">
        <f t="shared" si="9"/>
        <v>0</v>
      </c>
      <c r="AZ139" s="7">
        <f t="shared" si="9"/>
        <v>0</v>
      </c>
      <c r="BA139" s="7">
        <f t="shared" si="9"/>
        <v>0</v>
      </c>
      <c r="BB139" s="7">
        <f t="shared" ref="BB139:BB146" si="10">IF(OR(ISERROR(+AB139/($D139+$E139-$G139)*$G139+AB139),LEFT(Z139,1)="x"),0,+AB139/($D139+$E139-$G139)*$G139+AB139)</f>
        <v>0</v>
      </c>
      <c r="BC139" s="7">
        <f>IF(OR(ISERROR(+#REF!/($D139+$E139-$G139)*$G139+#REF!),LEFT(AA139,1)="x"),0,+#REF!/($D139+$E139-$G139)*$G139+#REF!)</f>
        <v>0</v>
      </c>
      <c r="BD139" s="7">
        <f>IF(OR(ISERROR(+AC139/($D139+$E139-$G139)*$G139+AC139),LEFT(Z139,1)="x"),0,+AC139/($D139+$E139-$G139)*$G139+AC139)</f>
        <v>0</v>
      </c>
    </row>
    <row r="140" spans="1:57" hidden="1">
      <c r="A140" s="555"/>
      <c r="B140" s="623"/>
      <c r="C140" s="607"/>
      <c r="D140" s="609"/>
      <c r="E140" s="608"/>
      <c r="F140" s="609"/>
      <c r="G140" s="609"/>
      <c r="H140" s="603"/>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5"/>
        <v>0</v>
      </c>
      <c r="AE140" s="629">
        <f t="shared" si="6"/>
        <v>0</v>
      </c>
      <c r="AF140" s="634">
        <f t="shared" si="7"/>
        <v>0</v>
      </c>
      <c r="AG140" s="43">
        <f>IF(AF140=0,0,"ERROR HERE - CHECK NUMBER IS CORRECTLY EXTENDED")</f>
        <v>0</v>
      </c>
      <c r="AH140" s="7">
        <f t="shared" si="8"/>
        <v>0</v>
      </c>
      <c r="AI140" s="7">
        <f t="shared" si="8"/>
        <v>0</v>
      </c>
      <c r="AJ140" s="7">
        <f t="shared" si="8"/>
        <v>0</v>
      </c>
      <c r="AK140" s="7">
        <f t="shared" si="8"/>
        <v>0</v>
      </c>
      <c r="AL140" s="7">
        <f t="shared" si="8"/>
        <v>0</v>
      </c>
      <c r="AM140" s="7">
        <f t="shared" si="8"/>
        <v>0</v>
      </c>
      <c r="AN140" s="7">
        <f t="shared" si="8"/>
        <v>0</v>
      </c>
      <c r="AO140" s="7">
        <f t="shared" si="8"/>
        <v>0</v>
      </c>
      <c r="AP140" s="7">
        <f t="shared" si="8"/>
        <v>0</v>
      </c>
      <c r="AQ140" s="7">
        <f t="shared" si="8"/>
        <v>0</v>
      </c>
      <c r="AR140" s="7">
        <f t="shared" si="9"/>
        <v>0</v>
      </c>
      <c r="AS140" s="7">
        <f t="shared" si="9"/>
        <v>0</v>
      </c>
      <c r="AT140" s="7">
        <f t="shared" si="9"/>
        <v>0</v>
      </c>
      <c r="AU140" s="7">
        <f t="shared" si="9"/>
        <v>0</v>
      </c>
      <c r="AV140" s="7">
        <f t="shared" si="9"/>
        <v>0</v>
      </c>
      <c r="AW140" s="7">
        <f t="shared" si="9"/>
        <v>0</v>
      </c>
      <c r="AX140" s="7">
        <f t="shared" si="9"/>
        <v>0</v>
      </c>
      <c r="AY140" s="7">
        <f t="shared" si="9"/>
        <v>0</v>
      </c>
      <c r="AZ140" s="7">
        <f t="shared" si="9"/>
        <v>0</v>
      </c>
      <c r="BA140" s="7">
        <f t="shared" si="9"/>
        <v>0</v>
      </c>
      <c r="BB140" s="7">
        <f t="shared" si="10"/>
        <v>0</v>
      </c>
      <c r="BC140" s="7">
        <f>IF(OR(ISERROR(+#REF!/($D140+$E140-$G140)*$G140+#REF!),LEFT(AA140,1)="x"),0,+#REF!/($D140+$E140-$G140)*$G140+#REF!)</f>
        <v>0</v>
      </c>
      <c r="BD140" s="7">
        <f>IF(OR(ISERROR(+#REF!/($D140+$E140-$G140)*$G140+#REF!),LEFT(AB140,1)="x"),0,+#REF!/($D140+$E140-$G140)*$G140+#REF!)</f>
        <v>0</v>
      </c>
      <c r="BE140" s="7" t="e">
        <f>IF(OR(ISERROR(+AC140/($D140+$E140-$G140)*$G140+AC140),LEFT(#REF!,1)="x"),0,+AC140/($D140+$E140-$G140)*$G140+AC140)</f>
        <v>#REF!</v>
      </c>
    </row>
    <row r="141" spans="1:57" hidden="1">
      <c r="A141" s="555"/>
      <c r="B141" s="623"/>
      <c r="C141" s="607"/>
      <c r="D141" s="609"/>
      <c r="E141" s="608"/>
      <c r="F141" s="609"/>
      <c r="G141" s="609"/>
      <c r="H141" s="603"/>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5"/>
        <v>0</v>
      </c>
      <c r="AE141" s="629">
        <f t="shared" si="6"/>
        <v>0</v>
      </c>
      <c r="AF141" s="634">
        <f t="shared" si="7"/>
        <v>0</v>
      </c>
      <c r="AG141" s="43">
        <f t="shared" ref="AG141:AG146" si="11">IF(AF141=0,0,"ERROR HERE")</f>
        <v>0</v>
      </c>
      <c r="AH141" s="7">
        <f t="shared" si="8"/>
        <v>0</v>
      </c>
      <c r="AI141" s="7">
        <f t="shared" si="8"/>
        <v>0</v>
      </c>
      <c r="AJ141" s="7">
        <f t="shared" si="8"/>
        <v>0</v>
      </c>
      <c r="AK141" s="7">
        <f t="shared" si="8"/>
        <v>0</v>
      </c>
      <c r="AL141" s="7">
        <f t="shared" si="8"/>
        <v>0</v>
      </c>
      <c r="AM141" s="7">
        <f t="shared" si="8"/>
        <v>0</v>
      </c>
      <c r="AN141" s="7">
        <f t="shared" si="8"/>
        <v>0</v>
      </c>
      <c r="AO141" s="7">
        <f t="shared" si="8"/>
        <v>0</v>
      </c>
      <c r="AP141" s="7">
        <f t="shared" si="8"/>
        <v>0</v>
      </c>
      <c r="AQ141" s="7">
        <f t="shared" si="8"/>
        <v>0</v>
      </c>
      <c r="AR141" s="7">
        <f t="shared" si="9"/>
        <v>0</v>
      </c>
      <c r="AS141" s="7">
        <f t="shared" si="9"/>
        <v>0</v>
      </c>
      <c r="AT141" s="7">
        <f t="shared" si="9"/>
        <v>0</v>
      </c>
      <c r="AU141" s="7">
        <f t="shared" si="9"/>
        <v>0</v>
      </c>
      <c r="AV141" s="7">
        <f t="shared" si="9"/>
        <v>0</v>
      </c>
      <c r="AW141" s="7">
        <f t="shared" si="9"/>
        <v>0</v>
      </c>
      <c r="AX141" s="7">
        <f t="shared" si="9"/>
        <v>0</v>
      </c>
      <c r="AY141" s="7">
        <f t="shared" si="9"/>
        <v>0</v>
      </c>
      <c r="AZ141" s="7">
        <f t="shared" si="9"/>
        <v>0</v>
      </c>
      <c r="BA141" s="7">
        <f t="shared" si="9"/>
        <v>0</v>
      </c>
      <c r="BB141" s="7">
        <f t="shared" si="10"/>
        <v>0</v>
      </c>
      <c r="BC141" s="7">
        <f>IF(OR(ISERROR(+#REF!/($D141+$E141-$G141)*$G141+#REF!),LEFT(AA141,1)="x"),0,+#REF!/($D141+$E141-$G141)*$G141+#REF!)</f>
        <v>0</v>
      </c>
      <c r="BD141" s="7">
        <f>IF(OR(ISERROR(+#REF!/($D141+$E141-$G141)*$G141+#REF!),LEFT(AB141,1)="x"),0,+#REF!/($D141+$E141-$G141)*$G141+#REF!)</f>
        <v>0</v>
      </c>
      <c r="BE141" s="7" t="e">
        <f>IF(OR(ISERROR(+AC141/($D141+$E141-$G141)*$G141+AC141),LEFT(#REF!,1)="x"),0,+AC141/($D141+$E141-$G141)*$G141+AC141)</f>
        <v>#REF!</v>
      </c>
    </row>
    <row r="142" spans="1:57" hidden="1">
      <c r="A142" s="555"/>
      <c r="B142" s="623"/>
      <c r="C142" s="607"/>
      <c r="D142" s="609"/>
      <c r="E142" s="608"/>
      <c r="F142" s="609"/>
      <c r="G142" s="609"/>
      <c r="H142" s="603"/>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5"/>
        <v>0</v>
      </c>
      <c r="AE142" s="629">
        <f t="shared" si="6"/>
        <v>0</v>
      </c>
      <c r="AF142" s="634">
        <f t="shared" si="7"/>
        <v>0</v>
      </c>
      <c r="AG142" s="43">
        <f t="shared" si="11"/>
        <v>0</v>
      </c>
      <c r="AH142" s="7">
        <f t="shared" si="8"/>
        <v>0</v>
      </c>
      <c r="AI142" s="7">
        <f t="shared" si="8"/>
        <v>0</v>
      </c>
      <c r="AJ142" s="7">
        <f t="shared" si="8"/>
        <v>0</v>
      </c>
      <c r="AK142" s="7">
        <f t="shared" si="8"/>
        <v>0</v>
      </c>
      <c r="AL142" s="7">
        <f t="shared" si="8"/>
        <v>0</v>
      </c>
      <c r="AM142" s="7">
        <f t="shared" si="8"/>
        <v>0</v>
      </c>
      <c r="AN142" s="7">
        <f t="shared" si="8"/>
        <v>0</v>
      </c>
      <c r="AO142" s="7">
        <f t="shared" si="8"/>
        <v>0</v>
      </c>
      <c r="AP142" s="7">
        <f t="shared" si="8"/>
        <v>0</v>
      </c>
      <c r="AQ142" s="7">
        <f t="shared" si="8"/>
        <v>0</v>
      </c>
      <c r="AR142" s="7">
        <f t="shared" si="9"/>
        <v>0</v>
      </c>
      <c r="AS142" s="7">
        <f t="shared" si="9"/>
        <v>0</v>
      </c>
      <c r="AT142" s="7">
        <f t="shared" si="9"/>
        <v>0</v>
      </c>
      <c r="AU142" s="7">
        <f t="shared" si="9"/>
        <v>0</v>
      </c>
      <c r="AV142" s="7">
        <f t="shared" si="9"/>
        <v>0</v>
      </c>
      <c r="AW142" s="7">
        <f t="shared" si="9"/>
        <v>0</v>
      </c>
      <c r="AX142" s="7">
        <f t="shared" si="9"/>
        <v>0</v>
      </c>
      <c r="AY142" s="7">
        <f t="shared" si="9"/>
        <v>0</v>
      </c>
      <c r="AZ142" s="7">
        <f t="shared" si="9"/>
        <v>0</v>
      </c>
      <c r="BA142" s="7">
        <f t="shared" si="9"/>
        <v>0</v>
      </c>
      <c r="BB142" s="7">
        <f t="shared" si="10"/>
        <v>0</v>
      </c>
      <c r="BC142" s="7">
        <f>IF(OR(ISERROR(+#REF!/($D142+$E142-$G142)*$G142+#REF!),LEFT(AA142,1)="x"),0,+#REF!/($D142+$E142-$G142)*$G142+#REF!)</f>
        <v>0</v>
      </c>
      <c r="BD142" s="7">
        <f>IF(OR(ISERROR(+#REF!/($D142+$E142-$G142)*$G142+#REF!),LEFT(AB142,1)="x"),0,+#REF!/($D142+$E142-$G142)*$G142+#REF!)</f>
        <v>0</v>
      </c>
      <c r="BE142" s="7" t="e">
        <f>IF(OR(ISERROR(+AC142/($D142+$E142-$G142)*$G142+AC142),LEFT(#REF!,1)="x"),0,+AC142/($D142+$E142-$G142)*$G142+AC142)</f>
        <v>#REF!</v>
      </c>
    </row>
    <row r="143" spans="1:57" hidden="1">
      <c r="A143" s="555"/>
      <c r="B143" s="623"/>
      <c r="C143" s="607"/>
      <c r="D143" s="609"/>
      <c r="E143" s="608"/>
      <c r="F143" s="609"/>
      <c r="G143" s="609"/>
      <c r="H143" s="603"/>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5"/>
        <v>0</v>
      </c>
      <c r="AE143" s="629">
        <f t="shared" si="6"/>
        <v>0</v>
      </c>
      <c r="AF143" s="634">
        <f t="shared" si="7"/>
        <v>0</v>
      </c>
      <c r="AG143" s="43">
        <f t="shared" si="11"/>
        <v>0</v>
      </c>
      <c r="AH143" s="7">
        <f t="shared" si="8"/>
        <v>0</v>
      </c>
      <c r="AI143" s="7">
        <f t="shared" si="8"/>
        <v>0</v>
      </c>
      <c r="AJ143" s="7">
        <f t="shared" si="8"/>
        <v>0</v>
      </c>
      <c r="AK143" s="7">
        <f t="shared" si="8"/>
        <v>0</v>
      </c>
      <c r="AL143" s="7">
        <f t="shared" si="8"/>
        <v>0</v>
      </c>
      <c r="AM143" s="7">
        <f t="shared" si="8"/>
        <v>0</v>
      </c>
      <c r="AN143" s="7">
        <f t="shared" si="8"/>
        <v>0</v>
      </c>
      <c r="AO143" s="7">
        <f t="shared" si="8"/>
        <v>0</v>
      </c>
      <c r="AP143" s="7">
        <f t="shared" si="8"/>
        <v>0</v>
      </c>
      <c r="AQ143" s="7">
        <f t="shared" si="8"/>
        <v>0</v>
      </c>
      <c r="AR143" s="7">
        <f t="shared" si="9"/>
        <v>0</v>
      </c>
      <c r="AS143" s="7">
        <f t="shared" si="9"/>
        <v>0</v>
      </c>
      <c r="AT143" s="7">
        <f t="shared" si="9"/>
        <v>0</v>
      </c>
      <c r="AU143" s="7">
        <f t="shared" si="9"/>
        <v>0</v>
      </c>
      <c r="AV143" s="7">
        <f t="shared" si="9"/>
        <v>0</v>
      </c>
      <c r="AW143" s="7">
        <f t="shared" si="9"/>
        <v>0</v>
      </c>
      <c r="AX143" s="7">
        <f t="shared" si="9"/>
        <v>0</v>
      </c>
      <c r="AY143" s="7">
        <f t="shared" si="9"/>
        <v>0</v>
      </c>
      <c r="AZ143" s="7">
        <f t="shared" si="9"/>
        <v>0</v>
      </c>
      <c r="BA143" s="7">
        <f t="shared" si="9"/>
        <v>0</v>
      </c>
      <c r="BB143" s="7">
        <f t="shared" si="10"/>
        <v>0</v>
      </c>
      <c r="BC143" s="7">
        <f>IF(OR(ISERROR(+#REF!/($D143+$E143-$G143)*$G143+#REF!),LEFT(AA143,1)="x"),0,+#REF!/($D143+$E143-$G143)*$G143+#REF!)</f>
        <v>0</v>
      </c>
      <c r="BD143" s="7">
        <f>IF(OR(ISERROR(+#REF!/($D143+$E143-$G143)*$G143+#REF!),LEFT(AB143,1)="x"),0,+#REF!/($D143+$E143-$G143)*$G143+#REF!)</f>
        <v>0</v>
      </c>
      <c r="BE143" s="7" t="e">
        <f>IF(OR(ISERROR(+AC143/($D143+$E143-$G143)*$G143+AC143),LEFT(#REF!,1)="x"),0,+AC143/($D143+$E143-$G143)*$G143+AC143)</f>
        <v>#REF!</v>
      </c>
    </row>
    <row r="144" spans="1:57" hidden="1">
      <c r="A144" s="555"/>
      <c r="B144" s="623"/>
      <c r="C144" s="607"/>
      <c r="D144" s="609"/>
      <c r="E144" s="608"/>
      <c r="F144" s="609"/>
      <c r="G144" s="609"/>
      <c r="H144" s="603"/>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si="5"/>
        <v>0</v>
      </c>
      <c r="AE144" s="629">
        <f t="shared" si="6"/>
        <v>0</v>
      </c>
      <c r="AF144" s="634">
        <f t="shared" si="7"/>
        <v>0</v>
      </c>
      <c r="AG144" s="43">
        <f t="shared" si="11"/>
        <v>0</v>
      </c>
      <c r="AH144" s="7">
        <f t="shared" si="8"/>
        <v>0</v>
      </c>
      <c r="AI144" s="7">
        <f t="shared" si="8"/>
        <v>0</v>
      </c>
      <c r="AJ144" s="7">
        <f t="shared" si="8"/>
        <v>0</v>
      </c>
      <c r="AK144" s="7">
        <f t="shared" si="8"/>
        <v>0</v>
      </c>
      <c r="AL144" s="7">
        <f t="shared" si="8"/>
        <v>0</v>
      </c>
      <c r="AM144" s="7">
        <f t="shared" si="8"/>
        <v>0</v>
      </c>
      <c r="AN144" s="7">
        <f t="shared" si="8"/>
        <v>0</v>
      </c>
      <c r="AO144" s="7">
        <f t="shared" si="8"/>
        <v>0</v>
      </c>
      <c r="AP144" s="7">
        <f t="shared" si="8"/>
        <v>0</v>
      </c>
      <c r="AQ144" s="7">
        <f t="shared" si="8"/>
        <v>0</v>
      </c>
      <c r="AR144" s="7">
        <f t="shared" si="9"/>
        <v>0</v>
      </c>
      <c r="AS144" s="7">
        <f t="shared" si="9"/>
        <v>0</v>
      </c>
      <c r="AT144" s="7">
        <f t="shared" si="9"/>
        <v>0</v>
      </c>
      <c r="AU144" s="7">
        <f t="shared" si="9"/>
        <v>0</v>
      </c>
      <c r="AV144" s="7">
        <f t="shared" si="9"/>
        <v>0</v>
      </c>
      <c r="AW144" s="7">
        <f t="shared" si="9"/>
        <v>0</v>
      </c>
      <c r="AX144" s="7">
        <f t="shared" si="9"/>
        <v>0</v>
      </c>
      <c r="AY144" s="7">
        <f t="shared" si="9"/>
        <v>0</v>
      </c>
      <c r="AZ144" s="7">
        <f t="shared" si="9"/>
        <v>0</v>
      </c>
      <c r="BA144" s="7">
        <f t="shared" si="9"/>
        <v>0</v>
      </c>
      <c r="BB144" s="7">
        <f t="shared" si="10"/>
        <v>0</v>
      </c>
      <c r="BC144" s="7">
        <f>IF(OR(ISERROR(+#REF!/($D144+$E144-$G144)*$G144+#REF!),LEFT(AA144,1)="x"),0,+#REF!/($D144+$E144-$G144)*$G144+#REF!)</f>
        <v>0</v>
      </c>
      <c r="BD144" s="7">
        <f>IF(OR(ISERROR(+#REF!/($D144+$E144-$G144)*$G144+#REF!),LEFT(AB144,1)="x"),0,+#REF!/($D144+$E144-$G144)*$G144+#REF!)</f>
        <v>0</v>
      </c>
      <c r="BE144" s="7" t="e">
        <f>IF(OR(ISERROR(+AC144/($D144+$E144-$G144)*$G144+AC144),LEFT(#REF!,1)="x"),0,+AC144/($D144+$E144-$G144)*$G144+AC144)</f>
        <v>#REF!</v>
      </c>
    </row>
    <row r="145" spans="1:57" hidden="1">
      <c r="A145" s="555"/>
      <c r="B145" s="623"/>
      <c r="C145" s="607"/>
      <c r="D145" s="609"/>
      <c r="E145" s="608"/>
      <c r="F145" s="609"/>
      <c r="G145" s="609"/>
      <c r="H145" s="603"/>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ref="AD145:AD196" si="12">SUM(G145:AC145)</f>
        <v>0</v>
      </c>
      <c r="AE145" s="629">
        <f t="shared" ref="AE145:AE196" si="13">SUM(D145:F145)</f>
        <v>0</v>
      </c>
      <c r="AF145" s="634">
        <f t="shared" ref="AF145:AF196" si="14">AD145-AE145</f>
        <v>0</v>
      </c>
      <c r="AG145" s="43">
        <f t="shared" si="11"/>
        <v>0</v>
      </c>
      <c r="AH145" s="7">
        <f t="shared" si="8"/>
        <v>0</v>
      </c>
      <c r="AI145" s="7">
        <f t="shared" si="8"/>
        <v>0</v>
      </c>
      <c r="AJ145" s="7">
        <f t="shared" si="8"/>
        <v>0</v>
      </c>
      <c r="AK145" s="7">
        <f t="shared" si="8"/>
        <v>0</v>
      </c>
      <c r="AL145" s="7">
        <f t="shared" si="8"/>
        <v>0</v>
      </c>
      <c r="AM145" s="7">
        <f t="shared" si="8"/>
        <v>0</v>
      </c>
      <c r="AN145" s="7">
        <f t="shared" si="8"/>
        <v>0</v>
      </c>
      <c r="AO145" s="7">
        <f t="shared" si="8"/>
        <v>0</v>
      </c>
      <c r="AP145" s="7">
        <f t="shared" si="8"/>
        <v>0</v>
      </c>
      <c r="AQ145" s="7">
        <f t="shared" si="8"/>
        <v>0</v>
      </c>
      <c r="AR145" s="7">
        <f t="shared" si="9"/>
        <v>0</v>
      </c>
      <c r="AS145" s="7">
        <f t="shared" si="9"/>
        <v>0</v>
      </c>
      <c r="AT145" s="7">
        <f t="shared" si="9"/>
        <v>0</v>
      </c>
      <c r="AU145" s="7">
        <f t="shared" si="9"/>
        <v>0</v>
      </c>
      <c r="AV145" s="7">
        <f t="shared" si="9"/>
        <v>0</v>
      </c>
      <c r="AW145" s="7">
        <f t="shared" si="9"/>
        <v>0</v>
      </c>
      <c r="AX145" s="7">
        <f t="shared" si="9"/>
        <v>0</v>
      </c>
      <c r="AY145" s="7">
        <f t="shared" si="9"/>
        <v>0</v>
      </c>
      <c r="AZ145" s="7">
        <f t="shared" si="9"/>
        <v>0</v>
      </c>
      <c r="BA145" s="7">
        <f t="shared" si="9"/>
        <v>0</v>
      </c>
      <c r="BB145" s="7">
        <f t="shared" si="10"/>
        <v>0</v>
      </c>
      <c r="BC145" s="7">
        <f>IF(OR(ISERROR(+#REF!/($D145+$E145-$G145)*$G145+#REF!),LEFT(AA145,1)="x"),0,+#REF!/($D145+$E145-$G145)*$G145+#REF!)</f>
        <v>0</v>
      </c>
      <c r="BD145" s="7">
        <f>IF(OR(ISERROR(+#REF!/($D145+$E145-$G145)*$G145+#REF!),LEFT(AB145,1)="x"),0,+#REF!/($D145+$E145-$G145)*$G145+#REF!)</f>
        <v>0</v>
      </c>
      <c r="BE145" s="7" t="e">
        <f>IF(OR(ISERROR(+AC145/($D145+$E145-$G145)*$G145+AC145),LEFT(#REF!,1)="x"),0,+AC145/($D145+$E145-$G145)*$G145+AC145)</f>
        <v>#REF!</v>
      </c>
    </row>
    <row r="146" spans="1:57" hidden="1">
      <c r="A146" s="555"/>
      <c r="B146" s="623"/>
      <c r="C146" s="607"/>
      <c r="D146" s="609"/>
      <c r="E146" s="608"/>
      <c r="F146" s="609"/>
      <c r="G146" s="609"/>
      <c r="H146" s="603"/>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12"/>
        <v>0</v>
      </c>
      <c r="AE146" s="629">
        <f t="shared" si="13"/>
        <v>0</v>
      </c>
      <c r="AF146" s="634">
        <f t="shared" si="14"/>
        <v>0</v>
      </c>
      <c r="AG146" s="43">
        <f t="shared" si="11"/>
        <v>0</v>
      </c>
      <c r="AH146" s="7">
        <f t="shared" si="8"/>
        <v>0</v>
      </c>
      <c r="AI146" s="7">
        <f t="shared" si="8"/>
        <v>0</v>
      </c>
      <c r="AJ146" s="7">
        <f t="shared" si="8"/>
        <v>0</v>
      </c>
      <c r="AK146" s="7">
        <f t="shared" si="8"/>
        <v>0</v>
      </c>
      <c r="AL146" s="7">
        <f t="shared" si="8"/>
        <v>0</v>
      </c>
      <c r="AM146" s="7">
        <f t="shared" si="8"/>
        <v>0</v>
      </c>
      <c r="AN146" s="7">
        <f t="shared" si="8"/>
        <v>0</v>
      </c>
      <c r="AO146" s="7">
        <f t="shared" si="8"/>
        <v>0</v>
      </c>
      <c r="AP146" s="7">
        <f t="shared" si="8"/>
        <v>0</v>
      </c>
      <c r="AQ146" s="7">
        <f t="shared" si="8"/>
        <v>0</v>
      </c>
      <c r="AR146" s="7">
        <f t="shared" si="9"/>
        <v>0</v>
      </c>
      <c r="AS146" s="7">
        <f t="shared" si="9"/>
        <v>0</v>
      </c>
      <c r="AT146" s="7">
        <f t="shared" si="9"/>
        <v>0</v>
      </c>
      <c r="AU146" s="7">
        <f t="shared" si="9"/>
        <v>0</v>
      </c>
      <c r="AV146" s="7">
        <f t="shared" si="9"/>
        <v>0</v>
      </c>
      <c r="AW146" s="7">
        <f t="shared" si="9"/>
        <v>0</v>
      </c>
      <c r="AX146" s="7">
        <f t="shared" si="9"/>
        <v>0</v>
      </c>
      <c r="AY146" s="7">
        <f t="shared" si="9"/>
        <v>0</v>
      </c>
      <c r="AZ146" s="7">
        <f t="shared" si="9"/>
        <v>0</v>
      </c>
      <c r="BA146" s="7">
        <f t="shared" si="9"/>
        <v>0</v>
      </c>
      <c r="BB146" s="7">
        <f t="shared" si="10"/>
        <v>0</v>
      </c>
      <c r="BC146" s="7">
        <f>IF(OR(ISERROR(+#REF!/($D146+$E146-$G146)*$G146+#REF!),LEFT(AA146,1)="x"),0,+#REF!/($D146+$E146-$G146)*$G146+#REF!)</f>
        <v>0</v>
      </c>
      <c r="BD146" s="7">
        <f>IF(OR(ISERROR(+#REF!/($D146+$E146-$G146)*$G146+#REF!),LEFT(AB146,1)="x"),0,+#REF!/($D146+$E146-$G146)*$G146+#REF!)</f>
        <v>0</v>
      </c>
      <c r="BE146" s="7" t="e">
        <f>IF(OR(ISERROR(+AC146/($D146+$E146-$G146)*$G146+AC146),LEFT(#REF!,1)="x"),0,+AC146/($D146+$E146-$G146)*$G146+AC146)</f>
        <v>#REF!</v>
      </c>
    </row>
    <row r="147" spans="1:57" hidden="1">
      <c r="A147" s="555"/>
      <c r="B147" s="623"/>
      <c r="C147" s="607"/>
      <c r="D147" s="609"/>
      <c r="E147" s="608"/>
      <c r="F147" s="609"/>
      <c r="G147" s="609"/>
      <c r="H147" s="603"/>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12"/>
        <v>0</v>
      </c>
      <c r="AE147" s="629">
        <f t="shared" si="13"/>
        <v>0</v>
      </c>
      <c r="AF147" s="634">
        <f t="shared" si="14"/>
        <v>0</v>
      </c>
      <c r="AG147" s="43"/>
    </row>
    <row r="148" spans="1:57" hidden="1">
      <c r="A148" s="555"/>
      <c r="B148" s="623"/>
      <c r="C148" s="607"/>
      <c r="D148" s="609"/>
      <c r="E148" s="608"/>
      <c r="F148" s="609"/>
      <c r="G148" s="609"/>
      <c r="H148" s="603"/>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12"/>
        <v>0</v>
      </c>
      <c r="AE148" s="629">
        <f t="shared" si="13"/>
        <v>0</v>
      </c>
      <c r="AF148" s="634">
        <f t="shared" si="14"/>
        <v>0</v>
      </c>
      <c r="AG148" s="43"/>
    </row>
    <row r="149" spans="1:57" hidden="1">
      <c r="A149" s="555"/>
      <c r="B149" s="623"/>
      <c r="C149" s="607"/>
      <c r="D149" s="609"/>
      <c r="E149" s="608"/>
      <c r="F149" s="609"/>
      <c r="G149" s="609"/>
      <c r="H149" s="603"/>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12"/>
        <v>0</v>
      </c>
      <c r="AE149" s="629">
        <f t="shared" si="13"/>
        <v>0</v>
      </c>
      <c r="AF149" s="634">
        <f t="shared" si="14"/>
        <v>0</v>
      </c>
      <c r="AG149" s="43"/>
    </row>
    <row r="150" spans="1:57" hidden="1">
      <c r="A150" s="555"/>
      <c r="B150" s="623"/>
      <c r="C150" s="607"/>
      <c r="D150" s="609"/>
      <c r="E150" s="608"/>
      <c r="F150" s="609"/>
      <c r="G150" s="609"/>
      <c r="H150" s="603"/>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12"/>
        <v>0</v>
      </c>
      <c r="AE150" s="629">
        <f t="shared" si="13"/>
        <v>0</v>
      </c>
      <c r="AF150" s="634">
        <f t="shared" si="14"/>
        <v>0</v>
      </c>
      <c r="AG150" s="43"/>
    </row>
    <row r="151" spans="1:57" hidden="1">
      <c r="A151" s="555"/>
      <c r="B151" s="623"/>
      <c r="C151" s="607"/>
      <c r="D151" s="609"/>
      <c r="E151" s="608"/>
      <c r="F151" s="609"/>
      <c r="G151" s="609"/>
      <c r="H151" s="603"/>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12"/>
        <v>0</v>
      </c>
      <c r="AE151" s="629">
        <f t="shared" si="13"/>
        <v>0</v>
      </c>
      <c r="AF151" s="634">
        <f t="shared" si="14"/>
        <v>0</v>
      </c>
      <c r="AG151" s="43"/>
    </row>
    <row r="152" spans="1:57" hidden="1">
      <c r="A152" s="555"/>
      <c r="B152" s="623"/>
      <c r="C152" s="607"/>
      <c r="D152" s="609"/>
      <c r="E152" s="608"/>
      <c r="F152" s="609"/>
      <c r="G152" s="609"/>
      <c r="H152" s="603"/>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12"/>
        <v>0</v>
      </c>
      <c r="AE152" s="629">
        <f t="shared" si="13"/>
        <v>0</v>
      </c>
      <c r="AF152" s="634">
        <f t="shared" si="14"/>
        <v>0</v>
      </c>
      <c r="AG152" s="43"/>
    </row>
    <row r="153" spans="1:57" hidden="1">
      <c r="A153" s="555"/>
      <c r="B153" s="623"/>
      <c r="C153" s="607"/>
      <c r="D153" s="609"/>
      <c r="E153" s="608"/>
      <c r="F153" s="609"/>
      <c r="G153" s="609"/>
      <c r="H153" s="603"/>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12"/>
        <v>0</v>
      </c>
      <c r="AE153" s="629">
        <f t="shared" si="13"/>
        <v>0</v>
      </c>
      <c r="AF153" s="634">
        <f t="shared" si="14"/>
        <v>0</v>
      </c>
      <c r="AG153" s="43"/>
    </row>
    <row r="154" spans="1:57" hidden="1">
      <c r="A154" s="555"/>
      <c r="B154" s="623"/>
      <c r="C154" s="607"/>
      <c r="D154" s="609"/>
      <c r="E154" s="608"/>
      <c r="F154" s="609"/>
      <c r="G154" s="609"/>
      <c r="H154" s="603"/>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12"/>
        <v>0</v>
      </c>
      <c r="AE154" s="629">
        <f t="shared" si="13"/>
        <v>0</v>
      </c>
      <c r="AF154" s="634">
        <f t="shared" si="14"/>
        <v>0</v>
      </c>
      <c r="AG154" s="43"/>
    </row>
    <row r="155" spans="1:57" hidden="1">
      <c r="A155" s="555"/>
      <c r="B155" s="623"/>
      <c r="C155" s="607"/>
      <c r="D155" s="609"/>
      <c r="E155" s="608"/>
      <c r="F155" s="609"/>
      <c r="G155" s="609"/>
      <c r="H155" s="603"/>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12"/>
        <v>0</v>
      </c>
      <c r="AE155" s="629">
        <f t="shared" si="13"/>
        <v>0</v>
      </c>
      <c r="AF155" s="634">
        <f t="shared" si="14"/>
        <v>0</v>
      </c>
      <c r="AG155" s="43"/>
    </row>
    <row r="156" spans="1:57" hidden="1">
      <c r="A156" s="555"/>
      <c r="B156" s="623"/>
      <c r="C156" s="607"/>
      <c r="D156" s="609"/>
      <c r="E156" s="608"/>
      <c r="F156" s="609"/>
      <c r="G156" s="609"/>
      <c r="H156" s="603"/>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12"/>
        <v>0</v>
      </c>
      <c r="AE156" s="629">
        <f t="shared" si="13"/>
        <v>0</v>
      </c>
      <c r="AF156" s="634">
        <f t="shared" si="14"/>
        <v>0</v>
      </c>
      <c r="AG156" s="43"/>
    </row>
    <row r="157" spans="1:57" hidden="1">
      <c r="A157" s="555"/>
      <c r="B157" s="623"/>
      <c r="C157" s="607"/>
      <c r="D157" s="609"/>
      <c r="E157" s="608"/>
      <c r="F157" s="609"/>
      <c r="G157" s="609"/>
      <c r="H157" s="603"/>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12"/>
        <v>0</v>
      </c>
      <c r="AE157" s="629">
        <f t="shared" si="13"/>
        <v>0</v>
      </c>
      <c r="AF157" s="634">
        <f t="shared" si="14"/>
        <v>0</v>
      </c>
      <c r="AG157" s="43"/>
    </row>
    <row r="158" spans="1:57" hidden="1">
      <c r="A158" s="555"/>
      <c r="B158" s="623"/>
      <c r="C158" s="607"/>
      <c r="D158" s="609"/>
      <c r="E158" s="608"/>
      <c r="F158" s="609"/>
      <c r="G158" s="609"/>
      <c r="H158" s="603"/>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12"/>
        <v>0</v>
      </c>
      <c r="AE158" s="629">
        <f t="shared" si="13"/>
        <v>0</v>
      </c>
      <c r="AF158" s="634">
        <f t="shared" si="14"/>
        <v>0</v>
      </c>
      <c r="AG158" s="43"/>
    </row>
    <row r="159" spans="1:57" hidden="1">
      <c r="A159" s="555"/>
      <c r="B159" s="623"/>
      <c r="C159" s="607"/>
      <c r="D159" s="609"/>
      <c r="E159" s="608"/>
      <c r="F159" s="609"/>
      <c r="G159" s="609"/>
      <c r="H159" s="603"/>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12"/>
        <v>0</v>
      </c>
      <c r="AE159" s="629">
        <f t="shared" si="13"/>
        <v>0</v>
      </c>
      <c r="AF159" s="634">
        <f t="shared" si="14"/>
        <v>0</v>
      </c>
      <c r="AG159" s="43"/>
    </row>
    <row r="160" spans="1:57" hidden="1">
      <c r="A160" s="555"/>
      <c r="B160" s="623"/>
      <c r="C160" s="607"/>
      <c r="D160" s="609"/>
      <c r="E160" s="608"/>
      <c r="F160" s="609"/>
      <c r="G160" s="609"/>
      <c r="H160" s="603"/>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12"/>
        <v>0</v>
      </c>
      <c r="AE160" s="629">
        <f t="shared" si="13"/>
        <v>0</v>
      </c>
      <c r="AF160" s="634">
        <f t="shared" si="14"/>
        <v>0</v>
      </c>
      <c r="AG160" s="43"/>
    </row>
    <row r="161" spans="1:33" hidden="1">
      <c r="A161" s="555"/>
      <c r="B161" s="623"/>
      <c r="C161" s="607"/>
      <c r="D161" s="609"/>
      <c r="E161" s="608"/>
      <c r="F161" s="609"/>
      <c r="G161" s="609"/>
      <c r="H161" s="603"/>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12"/>
        <v>0</v>
      </c>
      <c r="AE161" s="629">
        <f t="shared" si="13"/>
        <v>0</v>
      </c>
      <c r="AF161" s="634">
        <f t="shared" si="14"/>
        <v>0</v>
      </c>
      <c r="AG161" s="43"/>
    </row>
    <row r="162" spans="1:33" hidden="1">
      <c r="A162" s="555"/>
      <c r="B162" s="623"/>
      <c r="C162" s="607"/>
      <c r="D162" s="609"/>
      <c r="E162" s="608"/>
      <c r="F162" s="609"/>
      <c r="G162" s="609"/>
      <c r="H162" s="603"/>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12"/>
        <v>0</v>
      </c>
      <c r="AE162" s="629">
        <f t="shared" si="13"/>
        <v>0</v>
      </c>
      <c r="AF162" s="634">
        <f t="shared" si="14"/>
        <v>0</v>
      </c>
      <c r="AG162" s="43"/>
    </row>
    <row r="163" spans="1:33" hidden="1">
      <c r="A163" s="555"/>
      <c r="B163" s="623"/>
      <c r="C163" s="607"/>
      <c r="D163" s="609"/>
      <c r="E163" s="608"/>
      <c r="F163" s="609"/>
      <c r="G163" s="609"/>
      <c r="H163" s="603"/>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12"/>
        <v>0</v>
      </c>
      <c r="AE163" s="629">
        <f t="shared" si="13"/>
        <v>0</v>
      </c>
      <c r="AF163" s="634">
        <f t="shared" si="14"/>
        <v>0</v>
      </c>
      <c r="AG163" s="43"/>
    </row>
    <row r="164" spans="1:33" hidden="1">
      <c r="A164" s="555"/>
      <c r="B164" s="623"/>
      <c r="C164" s="607"/>
      <c r="D164" s="609"/>
      <c r="E164" s="608"/>
      <c r="F164" s="609"/>
      <c r="G164" s="609"/>
      <c r="H164" s="603"/>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12"/>
        <v>0</v>
      </c>
      <c r="AE164" s="629">
        <f t="shared" si="13"/>
        <v>0</v>
      </c>
      <c r="AF164" s="634">
        <f t="shared" si="14"/>
        <v>0</v>
      </c>
      <c r="AG164" s="43"/>
    </row>
    <row r="165" spans="1:33" hidden="1">
      <c r="A165" s="555"/>
      <c r="B165" s="623"/>
      <c r="C165" s="607"/>
      <c r="D165" s="609"/>
      <c r="E165" s="608"/>
      <c r="F165" s="609"/>
      <c r="G165" s="609"/>
      <c r="H165" s="603"/>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12"/>
        <v>0</v>
      </c>
      <c r="AE165" s="629">
        <f t="shared" si="13"/>
        <v>0</v>
      </c>
      <c r="AF165" s="634">
        <f t="shared" si="14"/>
        <v>0</v>
      </c>
      <c r="AG165" s="43"/>
    </row>
    <row r="166" spans="1:33" hidden="1">
      <c r="A166" s="555"/>
      <c r="B166" s="623"/>
      <c r="C166" s="607"/>
      <c r="D166" s="609"/>
      <c r="E166" s="608"/>
      <c r="F166" s="609"/>
      <c r="G166" s="609"/>
      <c r="H166" s="603"/>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12"/>
        <v>0</v>
      </c>
      <c r="AE166" s="629">
        <f t="shared" si="13"/>
        <v>0</v>
      </c>
      <c r="AF166" s="634">
        <f t="shared" si="14"/>
        <v>0</v>
      </c>
      <c r="AG166" s="43"/>
    </row>
    <row r="167" spans="1:33" hidden="1">
      <c r="A167" s="555"/>
      <c r="B167" s="623"/>
      <c r="C167" s="607"/>
      <c r="D167" s="609"/>
      <c r="E167" s="608"/>
      <c r="F167" s="609"/>
      <c r="G167" s="609"/>
      <c r="H167" s="603"/>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12"/>
        <v>0</v>
      </c>
      <c r="AE167" s="629">
        <f t="shared" si="13"/>
        <v>0</v>
      </c>
      <c r="AF167" s="634">
        <f t="shared" si="14"/>
        <v>0</v>
      </c>
      <c r="AG167" s="43"/>
    </row>
    <row r="168" spans="1:33" hidden="1">
      <c r="A168" s="555"/>
      <c r="B168" s="623"/>
      <c r="C168" s="607"/>
      <c r="D168" s="609"/>
      <c r="E168" s="608"/>
      <c r="F168" s="609"/>
      <c r="G168" s="609"/>
      <c r="H168" s="603"/>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12"/>
        <v>0</v>
      </c>
      <c r="AE168" s="629">
        <f t="shared" si="13"/>
        <v>0</v>
      </c>
      <c r="AF168" s="634">
        <f t="shared" si="14"/>
        <v>0</v>
      </c>
      <c r="AG168" s="43"/>
    </row>
    <row r="169" spans="1:33" hidden="1">
      <c r="A169" s="555"/>
      <c r="B169" s="623"/>
      <c r="C169" s="607"/>
      <c r="D169" s="609"/>
      <c r="E169" s="608"/>
      <c r="F169" s="609"/>
      <c r="G169" s="609"/>
      <c r="H169" s="603"/>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12"/>
        <v>0</v>
      </c>
      <c r="AE169" s="629">
        <f t="shared" si="13"/>
        <v>0</v>
      </c>
      <c r="AF169" s="634">
        <f t="shared" si="14"/>
        <v>0</v>
      </c>
      <c r="AG169" s="43"/>
    </row>
    <row r="170" spans="1:33" hidden="1">
      <c r="A170" s="555"/>
      <c r="B170" s="623"/>
      <c r="C170" s="607"/>
      <c r="D170" s="609"/>
      <c r="E170" s="608"/>
      <c r="F170" s="609"/>
      <c r="G170" s="609"/>
      <c r="H170" s="603"/>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12"/>
        <v>0</v>
      </c>
      <c r="AE170" s="629">
        <f t="shared" si="13"/>
        <v>0</v>
      </c>
      <c r="AF170" s="634">
        <f t="shared" si="14"/>
        <v>0</v>
      </c>
      <c r="AG170" s="43"/>
    </row>
    <row r="171" spans="1:33" hidden="1">
      <c r="A171" s="555"/>
      <c r="B171" s="623"/>
      <c r="C171" s="607"/>
      <c r="D171" s="609"/>
      <c r="E171" s="608"/>
      <c r="F171" s="609"/>
      <c r="G171" s="609"/>
      <c r="H171" s="603"/>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12"/>
        <v>0</v>
      </c>
      <c r="AE171" s="629">
        <f t="shared" si="13"/>
        <v>0</v>
      </c>
      <c r="AF171" s="634">
        <f t="shared" si="14"/>
        <v>0</v>
      </c>
      <c r="AG171" s="43"/>
    </row>
    <row r="172" spans="1:33" hidden="1">
      <c r="A172" s="555"/>
      <c r="B172" s="623"/>
      <c r="C172" s="607"/>
      <c r="D172" s="609"/>
      <c r="E172" s="608"/>
      <c r="F172" s="609"/>
      <c r="G172" s="609"/>
      <c r="H172" s="603"/>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12"/>
        <v>0</v>
      </c>
      <c r="AE172" s="629">
        <f t="shared" si="13"/>
        <v>0</v>
      </c>
      <c r="AF172" s="634">
        <f t="shared" si="14"/>
        <v>0</v>
      </c>
      <c r="AG172" s="43"/>
    </row>
    <row r="173" spans="1:33" hidden="1">
      <c r="A173" s="555"/>
      <c r="B173" s="623"/>
      <c r="C173" s="607"/>
      <c r="D173" s="609"/>
      <c r="E173" s="608"/>
      <c r="F173" s="609"/>
      <c r="G173" s="609"/>
      <c r="H173" s="603"/>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12"/>
        <v>0</v>
      </c>
      <c r="AE173" s="629">
        <f t="shared" si="13"/>
        <v>0</v>
      </c>
      <c r="AF173" s="634">
        <f t="shared" si="14"/>
        <v>0</v>
      </c>
      <c r="AG173" s="43"/>
    </row>
    <row r="174" spans="1:33" hidden="1">
      <c r="A174" s="555"/>
      <c r="B174" s="623"/>
      <c r="C174" s="607"/>
      <c r="D174" s="609"/>
      <c r="E174" s="608"/>
      <c r="F174" s="609"/>
      <c r="G174" s="609"/>
      <c r="H174" s="603"/>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12"/>
        <v>0</v>
      </c>
      <c r="AE174" s="629">
        <f t="shared" si="13"/>
        <v>0</v>
      </c>
      <c r="AF174" s="634">
        <f t="shared" si="14"/>
        <v>0</v>
      </c>
      <c r="AG174" s="43"/>
    </row>
    <row r="175" spans="1:33" hidden="1">
      <c r="A175" s="555"/>
      <c r="B175" s="623"/>
      <c r="C175" s="607"/>
      <c r="D175" s="609"/>
      <c r="E175" s="608"/>
      <c r="F175" s="609"/>
      <c r="G175" s="609"/>
      <c r="H175" s="603"/>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12"/>
        <v>0</v>
      </c>
      <c r="AE175" s="629">
        <f t="shared" si="13"/>
        <v>0</v>
      </c>
      <c r="AF175" s="634">
        <f t="shared" si="14"/>
        <v>0</v>
      </c>
      <c r="AG175" s="43"/>
    </row>
    <row r="176" spans="1:33" hidden="1">
      <c r="A176" s="555"/>
      <c r="B176" s="623"/>
      <c r="C176" s="607"/>
      <c r="D176" s="609"/>
      <c r="E176" s="608"/>
      <c r="F176" s="609"/>
      <c r="G176" s="609"/>
      <c r="H176" s="603"/>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12"/>
        <v>0</v>
      </c>
      <c r="AE176" s="629">
        <f t="shared" si="13"/>
        <v>0</v>
      </c>
      <c r="AF176" s="634">
        <f t="shared" si="14"/>
        <v>0</v>
      </c>
      <c r="AG176" s="43"/>
    </row>
    <row r="177" spans="1:57" hidden="1">
      <c r="A177" s="555"/>
      <c r="B177" s="623"/>
      <c r="C177" s="607"/>
      <c r="D177" s="609"/>
      <c r="E177" s="608"/>
      <c r="F177" s="609"/>
      <c r="G177" s="609"/>
      <c r="H177" s="603"/>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12"/>
        <v>0</v>
      </c>
      <c r="AE177" s="629">
        <f t="shared" si="13"/>
        <v>0</v>
      </c>
      <c r="AF177" s="634">
        <f t="shared" si="14"/>
        <v>0</v>
      </c>
      <c r="AG177" s="43"/>
    </row>
    <row r="178" spans="1:57" hidden="1">
      <c r="A178" s="555"/>
      <c r="B178" s="623"/>
      <c r="C178" s="607"/>
      <c r="D178" s="609"/>
      <c r="E178" s="608"/>
      <c r="F178" s="609"/>
      <c r="G178" s="609"/>
      <c r="H178" s="603"/>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12"/>
        <v>0</v>
      </c>
      <c r="AE178" s="629">
        <f t="shared" si="13"/>
        <v>0</v>
      </c>
      <c r="AF178" s="634">
        <f t="shared" si="14"/>
        <v>0</v>
      </c>
      <c r="AG178" s="43"/>
    </row>
    <row r="179" spans="1:57" hidden="1">
      <c r="A179" s="555"/>
      <c r="B179" s="623"/>
      <c r="C179" s="607"/>
      <c r="D179" s="609"/>
      <c r="E179" s="608"/>
      <c r="F179" s="609"/>
      <c r="G179" s="609"/>
      <c r="H179" s="603"/>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12"/>
        <v>0</v>
      </c>
      <c r="AE179" s="629">
        <f t="shared" si="13"/>
        <v>0</v>
      </c>
      <c r="AF179" s="634">
        <f t="shared" si="14"/>
        <v>0</v>
      </c>
      <c r="AG179" s="43"/>
    </row>
    <row r="180" spans="1:57" hidden="1">
      <c r="A180" s="555"/>
      <c r="B180" s="623"/>
      <c r="C180" s="607"/>
      <c r="D180" s="609"/>
      <c r="E180" s="608"/>
      <c r="F180" s="609"/>
      <c r="G180" s="609"/>
      <c r="H180" s="603"/>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12"/>
        <v>0</v>
      </c>
      <c r="AE180" s="629">
        <f t="shared" si="13"/>
        <v>0</v>
      </c>
      <c r="AF180" s="634">
        <f t="shared" si="14"/>
        <v>0</v>
      </c>
      <c r="AG180" s="43"/>
    </row>
    <row r="181" spans="1:57" hidden="1">
      <c r="A181" s="555"/>
      <c r="B181" s="623"/>
      <c r="C181" s="607"/>
      <c r="D181" s="609"/>
      <c r="E181" s="608"/>
      <c r="F181" s="609"/>
      <c r="G181" s="609"/>
      <c r="H181" s="603"/>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12"/>
        <v>0</v>
      </c>
      <c r="AE181" s="629">
        <f t="shared" si="13"/>
        <v>0</v>
      </c>
      <c r="AF181" s="634">
        <f t="shared" si="14"/>
        <v>0</v>
      </c>
      <c r="AG181" s="43"/>
    </row>
    <row r="182" spans="1:57" hidden="1">
      <c r="A182" s="555"/>
      <c r="B182" s="623"/>
      <c r="C182" s="607"/>
      <c r="D182" s="609"/>
      <c r="E182" s="608"/>
      <c r="F182" s="609"/>
      <c r="G182" s="609"/>
      <c r="H182" s="603"/>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12"/>
        <v>0</v>
      </c>
      <c r="AE182" s="629">
        <f t="shared" si="13"/>
        <v>0</v>
      </c>
      <c r="AF182" s="634">
        <f t="shared" si="14"/>
        <v>0</v>
      </c>
      <c r="AG182" s="43"/>
    </row>
    <row r="183" spans="1:57" hidden="1">
      <c r="A183" s="555"/>
      <c r="B183" s="623"/>
      <c r="C183" s="607"/>
      <c r="D183" s="609"/>
      <c r="E183" s="608"/>
      <c r="F183" s="609"/>
      <c r="G183" s="609"/>
      <c r="H183" s="603"/>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12"/>
        <v>0</v>
      </c>
      <c r="AE183" s="629">
        <f t="shared" si="13"/>
        <v>0</v>
      </c>
      <c r="AF183" s="634">
        <f t="shared" si="14"/>
        <v>0</v>
      </c>
      <c r="AG183" s="43"/>
    </row>
    <row r="184" spans="1:57" hidden="1">
      <c r="A184" s="555"/>
      <c r="B184" s="623"/>
      <c r="C184" s="607"/>
      <c r="D184" s="609"/>
      <c r="E184" s="608"/>
      <c r="F184" s="609"/>
      <c r="G184" s="609"/>
      <c r="H184" s="603"/>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12"/>
        <v>0</v>
      </c>
      <c r="AE184" s="629">
        <f t="shared" si="13"/>
        <v>0</v>
      </c>
      <c r="AF184" s="634">
        <f t="shared" si="14"/>
        <v>0</v>
      </c>
      <c r="AG184" s="43"/>
    </row>
    <row r="185" spans="1:57" hidden="1">
      <c r="A185" s="555"/>
      <c r="B185" s="623"/>
      <c r="C185" s="607"/>
      <c r="D185" s="609"/>
      <c r="E185" s="608"/>
      <c r="F185" s="609"/>
      <c r="G185" s="609"/>
      <c r="H185" s="603"/>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12"/>
        <v>0</v>
      </c>
      <c r="AE185" s="629">
        <f t="shared" si="13"/>
        <v>0</v>
      </c>
      <c r="AF185" s="634">
        <f t="shared" si="14"/>
        <v>0</v>
      </c>
      <c r="AG185" s="43"/>
    </row>
    <row r="186" spans="1:57" hidden="1">
      <c r="A186" s="555"/>
      <c r="B186" s="623"/>
      <c r="C186" s="607"/>
      <c r="D186" s="609"/>
      <c r="E186" s="608"/>
      <c r="F186" s="609"/>
      <c r="G186" s="609"/>
      <c r="H186" s="603"/>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12"/>
        <v>0</v>
      </c>
      <c r="AE186" s="629">
        <f t="shared" si="13"/>
        <v>0</v>
      </c>
      <c r="AF186" s="634">
        <f t="shared" si="14"/>
        <v>0</v>
      </c>
      <c r="AG186" s="43">
        <f t="shared" ref="AG186:AG196" si="15">IF(AF186=0,0,"ERROR HERE")</f>
        <v>0</v>
      </c>
      <c r="AH186" s="7">
        <f t="shared" ref="AH186:AQ190" si="16">IF(OR(ISERROR(+H186/($D186+$E186-$G186)*$G186+H186),LEFT(F186,1)="x"),0,+H186/($D186+$E186-$G186)*$G186+H186)</f>
        <v>0</v>
      </c>
      <c r="AI186" s="7">
        <f t="shared" si="16"/>
        <v>0</v>
      </c>
      <c r="AJ186" s="7">
        <f t="shared" si="16"/>
        <v>0</v>
      </c>
      <c r="AK186" s="7">
        <f t="shared" si="16"/>
        <v>0</v>
      </c>
      <c r="AL186" s="7">
        <f t="shared" si="16"/>
        <v>0</v>
      </c>
      <c r="AM186" s="7">
        <f t="shared" si="16"/>
        <v>0</v>
      </c>
      <c r="AN186" s="7">
        <f t="shared" si="16"/>
        <v>0</v>
      </c>
      <c r="AO186" s="7">
        <f t="shared" si="16"/>
        <v>0</v>
      </c>
      <c r="AP186" s="7">
        <f t="shared" si="16"/>
        <v>0</v>
      </c>
      <c r="AQ186" s="7">
        <f t="shared" si="16"/>
        <v>0</v>
      </c>
      <c r="AR186" s="7">
        <f t="shared" ref="AR186:BA190" si="17">IF(OR(ISERROR(+R186/($D186+$E186-$G186)*$G186+R186),LEFT(P186,1)="x"),0,+R186/($D186+$E186-$G186)*$G186+R186)</f>
        <v>0</v>
      </c>
      <c r="AS186" s="7">
        <f t="shared" si="17"/>
        <v>0</v>
      </c>
      <c r="AT186" s="7">
        <f t="shared" si="17"/>
        <v>0</v>
      </c>
      <c r="AU186" s="7">
        <f t="shared" si="17"/>
        <v>0</v>
      </c>
      <c r="AV186" s="7">
        <f t="shared" si="17"/>
        <v>0</v>
      </c>
      <c r="AW186" s="7">
        <f t="shared" si="17"/>
        <v>0</v>
      </c>
      <c r="AX186" s="7">
        <f t="shared" si="17"/>
        <v>0</v>
      </c>
      <c r="AY186" s="7">
        <f t="shared" si="17"/>
        <v>0</v>
      </c>
      <c r="AZ186" s="7">
        <f t="shared" si="17"/>
        <v>0</v>
      </c>
      <c r="BA186" s="7">
        <f t="shared" si="17"/>
        <v>0</v>
      </c>
      <c r="BB186" s="7">
        <f>IF(OR(ISERROR(+AB186/($D186+$E186-$G186)*$G186+AB186),LEFT(Z186,1)="x"),0,+AB186/($D186+$E186-$G186)*$G186+AB186)</f>
        <v>0</v>
      </c>
      <c r="BC186" s="7">
        <f>IF(OR(ISERROR(+#REF!/($D186+$E186-$G186)*$G186+#REF!),LEFT(AA186,1)="x"),0,+#REF!/($D186+$E186-$G186)*$G186+#REF!)</f>
        <v>0</v>
      </c>
      <c r="BD186" s="7">
        <f>IF(OR(ISERROR(+#REF!/($D186+$E186-$G186)*$G186+#REF!),LEFT(AB186,1)="x"),0,+#REF!/($D186+$E186-$G186)*$G186+#REF!)</f>
        <v>0</v>
      </c>
      <c r="BE186" s="7" t="e">
        <f>IF(OR(ISERROR(+AC186/($D186+$E186-$G186)*$G186+AC186),LEFT(#REF!,1)="x"),0,+AC186/($D186+$E186-$G186)*$G186+AC186)</f>
        <v>#REF!</v>
      </c>
    </row>
    <row r="187" spans="1:57" hidden="1">
      <c r="A187" s="555"/>
      <c r="B187" s="623"/>
      <c r="C187" s="607"/>
      <c r="D187" s="609"/>
      <c r="E187" s="608"/>
      <c r="F187" s="609"/>
      <c r="G187" s="609"/>
      <c r="H187" s="603"/>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12"/>
        <v>0</v>
      </c>
      <c r="AE187" s="629">
        <f t="shared" si="13"/>
        <v>0</v>
      </c>
      <c r="AF187" s="634">
        <f t="shared" si="14"/>
        <v>0</v>
      </c>
      <c r="AG187" s="43">
        <f t="shared" si="15"/>
        <v>0</v>
      </c>
      <c r="AH187" s="7">
        <f t="shared" si="16"/>
        <v>0</v>
      </c>
      <c r="AI187" s="7">
        <f t="shared" si="16"/>
        <v>0</v>
      </c>
      <c r="AJ187" s="7">
        <f t="shared" si="16"/>
        <v>0</v>
      </c>
      <c r="AK187" s="7">
        <f t="shared" si="16"/>
        <v>0</v>
      </c>
      <c r="AL187" s="7">
        <f t="shared" si="16"/>
        <v>0</v>
      </c>
      <c r="AM187" s="7">
        <f t="shared" si="16"/>
        <v>0</v>
      </c>
      <c r="AN187" s="7">
        <f t="shared" si="16"/>
        <v>0</v>
      </c>
      <c r="AO187" s="7">
        <f t="shared" si="16"/>
        <v>0</v>
      </c>
      <c r="AP187" s="7">
        <f t="shared" si="16"/>
        <v>0</v>
      </c>
      <c r="AQ187" s="7">
        <f t="shared" si="16"/>
        <v>0</v>
      </c>
      <c r="AR187" s="7">
        <f t="shared" si="17"/>
        <v>0</v>
      </c>
      <c r="AS187" s="7">
        <f t="shared" si="17"/>
        <v>0</v>
      </c>
      <c r="AT187" s="7">
        <f t="shared" si="17"/>
        <v>0</v>
      </c>
      <c r="AU187" s="7">
        <f t="shared" si="17"/>
        <v>0</v>
      </c>
      <c r="AV187" s="7">
        <f t="shared" si="17"/>
        <v>0</v>
      </c>
      <c r="AW187" s="7">
        <f t="shared" si="17"/>
        <v>0</v>
      </c>
      <c r="AX187" s="7">
        <f t="shared" si="17"/>
        <v>0</v>
      </c>
      <c r="AY187" s="7">
        <f t="shared" si="17"/>
        <v>0</v>
      </c>
      <c r="AZ187" s="7">
        <f t="shared" si="17"/>
        <v>0</v>
      </c>
      <c r="BA187" s="7">
        <f t="shared" si="17"/>
        <v>0</v>
      </c>
      <c r="BB187" s="7">
        <f>IF(OR(ISERROR(+AB187/($D187+$E187-$G187)*$G187+AB187),LEFT(Z187,1)="x"),0,+AB187/($D187+$E187-$G187)*$G187+AB187)</f>
        <v>0</v>
      </c>
      <c r="BC187" s="7">
        <f>IF(OR(ISERROR(+#REF!/($D187+$E187-$G187)*$G187+#REF!),LEFT(AA187,1)="x"),0,+#REF!/($D187+$E187-$G187)*$G187+#REF!)</f>
        <v>0</v>
      </c>
      <c r="BD187" s="7">
        <f>IF(OR(ISERROR(+#REF!/($D187+$E187-$G187)*$G187+#REF!),LEFT(AB187,1)="x"),0,+#REF!/($D187+$E187-$G187)*$G187+#REF!)</f>
        <v>0</v>
      </c>
      <c r="BE187" s="7" t="e">
        <f>IF(OR(ISERROR(+AC187/($D187+$E187-$G187)*$G187+AC187),LEFT(#REF!,1)="x"),0,+AC187/($D187+$E187-$G187)*$G187+AC187)</f>
        <v>#REF!</v>
      </c>
    </row>
    <row r="188" spans="1:57" hidden="1">
      <c r="A188" s="555"/>
      <c r="B188" s="623"/>
      <c r="C188" s="607"/>
      <c r="D188" s="609"/>
      <c r="E188" s="608"/>
      <c r="F188" s="609"/>
      <c r="G188" s="609"/>
      <c r="H188" s="603"/>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12"/>
        <v>0</v>
      </c>
      <c r="AE188" s="629">
        <f t="shared" si="13"/>
        <v>0</v>
      </c>
      <c r="AF188" s="634">
        <f t="shared" si="14"/>
        <v>0</v>
      </c>
      <c r="AG188" s="43">
        <f t="shared" si="15"/>
        <v>0</v>
      </c>
      <c r="AH188" s="7">
        <f t="shared" si="16"/>
        <v>0</v>
      </c>
      <c r="AI188" s="7">
        <f t="shared" si="16"/>
        <v>0</v>
      </c>
      <c r="AJ188" s="7">
        <f t="shared" si="16"/>
        <v>0</v>
      </c>
      <c r="AK188" s="7">
        <f t="shared" si="16"/>
        <v>0</v>
      </c>
      <c r="AL188" s="7">
        <f t="shared" si="16"/>
        <v>0</v>
      </c>
      <c r="AM188" s="7">
        <f t="shared" si="16"/>
        <v>0</v>
      </c>
      <c r="AN188" s="7">
        <f t="shared" si="16"/>
        <v>0</v>
      </c>
      <c r="AO188" s="7">
        <f t="shared" si="16"/>
        <v>0</v>
      </c>
      <c r="AP188" s="7">
        <f t="shared" si="16"/>
        <v>0</v>
      </c>
      <c r="AQ188" s="7">
        <f t="shared" si="16"/>
        <v>0</v>
      </c>
      <c r="AR188" s="7">
        <f t="shared" si="17"/>
        <v>0</v>
      </c>
      <c r="AS188" s="7">
        <f t="shared" si="17"/>
        <v>0</v>
      </c>
      <c r="AT188" s="7">
        <f t="shared" si="17"/>
        <v>0</v>
      </c>
      <c r="AU188" s="7">
        <f t="shared" si="17"/>
        <v>0</v>
      </c>
      <c r="AV188" s="7">
        <f t="shared" si="17"/>
        <v>0</v>
      </c>
      <c r="AW188" s="7">
        <f t="shared" si="17"/>
        <v>0</v>
      </c>
      <c r="AX188" s="7">
        <f t="shared" si="17"/>
        <v>0</v>
      </c>
      <c r="AY188" s="7">
        <f t="shared" si="17"/>
        <v>0</v>
      </c>
      <c r="AZ188" s="7">
        <f t="shared" si="17"/>
        <v>0</v>
      </c>
      <c r="BA188" s="7">
        <f t="shared" si="17"/>
        <v>0</v>
      </c>
      <c r="BB188" s="7">
        <f>IF(OR(ISERROR(+AB188/($D188+$E188-$G188)*$G188+AB188),LEFT(Z188,1)="x"),0,+AB188/($D188+$E188-$G188)*$G188+AB188)</f>
        <v>0</v>
      </c>
      <c r="BC188" s="7">
        <f>IF(OR(ISERROR(+#REF!/($D188+$E188-$G188)*$G188+#REF!),LEFT(AA188,1)="x"),0,+#REF!/($D188+$E188-$G188)*$G188+#REF!)</f>
        <v>0</v>
      </c>
      <c r="BD188" s="7">
        <f>IF(OR(ISERROR(+#REF!/($D188+$E188-$G188)*$G188+#REF!),LEFT(AB188,1)="x"),0,+#REF!/($D188+$E188-$G188)*$G188+#REF!)</f>
        <v>0</v>
      </c>
      <c r="BE188" s="7" t="e">
        <f>IF(OR(ISERROR(+AC188/($D188+$E188-$G188)*$G188+AC188),LEFT(#REF!,1)="x"),0,+AC188/($D188+$E188-$G188)*$G188+AC188)</f>
        <v>#REF!</v>
      </c>
    </row>
    <row r="189" spans="1:57" hidden="1">
      <c r="A189" s="555"/>
      <c r="B189" s="623"/>
      <c r="C189" s="607"/>
      <c r="D189" s="609"/>
      <c r="E189" s="608"/>
      <c r="F189" s="609"/>
      <c r="G189" s="609"/>
      <c r="H189" s="603"/>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12"/>
        <v>0</v>
      </c>
      <c r="AE189" s="629">
        <f t="shared" si="13"/>
        <v>0</v>
      </c>
      <c r="AF189" s="634">
        <f t="shared" si="14"/>
        <v>0</v>
      </c>
      <c r="AG189" s="43">
        <f t="shared" si="15"/>
        <v>0</v>
      </c>
      <c r="AH189" s="7">
        <f t="shared" si="16"/>
        <v>0</v>
      </c>
      <c r="AI189" s="7">
        <f t="shared" si="16"/>
        <v>0</v>
      </c>
      <c r="AJ189" s="7">
        <f t="shared" si="16"/>
        <v>0</v>
      </c>
      <c r="AK189" s="7">
        <f t="shared" si="16"/>
        <v>0</v>
      </c>
      <c r="AL189" s="7">
        <f t="shared" si="16"/>
        <v>0</v>
      </c>
      <c r="AM189" s="7">
        <f t="shared" si="16"/>
        <v>0</v>
      </c>
      <c r="AN189" s="7">
        <f t="shared" si="16"/>
        <v>0</v>
      </c>
      <c r="AO189" s="7">
        <f t="shared" si="16"/>
        <v>0</v>
      </c>
      <c r="AP189" s="7">
        <f t="shared" si="16"/>
        <v>0</v>
      </c>
      <c r="AQ189" s="7">
        <f t="shared" si="16"/>
        <v>0</v>
      </c>
      <c r="AR189" s="7">
        <f t="shared" si="17"/>
        <v>0</v>
      </c>
      <c r="AS189" s="7">
        <f t="shared" si="17"/>
        <v>0</v>
      </c>
      <c r="AT189" s="7">
        <f t="shared" si="17"/>
        <v>0</v>
      </c>
      <c r="AU189" s="7">
        <f t="shared" si="17"/>
        <v>0</v>
      </c>
      <c r="AV189" s="7">
        <f t="shared" si="17"/>
        <v>0</v>
      </c>
      <c r="AW189" s="7">
        <f t="shared" si="17"/>
        <v>0</v>
      </c>
      <c r="AX189" s="7">
        <f t="shared" si="17"/>
        <v>0</v>
      </c>
      <c r="AY189" s="7">
        <f t="shared" si="17"/>
        <v>0</v>
      </c>
      <c r="AZ189" s="7">
        <f t="shared" si="17"/>
        <v>0</v>
      </c>
      <c r="BA189" s="7">
        <f t="shared" si="17"/>
        <v>0</v>
      </c>
      <c r="BB189" s="7">
        <f>IF(OR(ISERROR(+AB189/($D189+$E189-$G189)*$G189+AB189),LEFT(Z189,1)="x"),0,+AB189/($D189+$E189-$G189)*$G189+AB189)</f>
        <v>0</v>
      </c>
      <c r="BC189" s="7">
        <f>IF(OR(ISERROR(+#REF!/($D189+$E189-$G189)*$G189+#REF!),LEFT(AA189,1)="x"),0,+#REF!/($D189+$E189-$G189)*$G189+#REF!)</f>
        <v>0</v>
      </c>
      <c r="BD189" s="7">
        <f>IF(OR(ISERROR(+#REF!/($D189+$E189-$G189)*$G189+#REF!),LEFT(AB189,1)="x"),0,+#REF!/($D189+$E189-$G189)*$G189+#REF!)</f>
        <v>0</v>
      </c>
      <c r="BE189" s="7" t="e">
        <f>IF(OR(ISERROR(+AC189/($D189+$E189-$G189)*$G189+AC189),LEFT(#REF!,1)="x"),0,+AC189/($D189+$E189-$G189)*$G189+AC189)</f>
        <v>#REF!</v>
      </c>
    </row>
    <row r="190" spans="1:57" hidden="1">
      <c r="A190" s="555"/>
      <c r="B190" s="623"/>
      <c r="C190" s="607"/>
      <c r="D190" s="609"/>
      <c r="E190" s="608"/>
      <c r="F190" s="609"/>
      <c r="G190" s="609"/>
      <c r="H190" s="603"/>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12"/>
        <v>0</v>
      </c>
      <c r="AE190" s="629">
        <f t="shared" si="13"/>
        <v>0</v>
      </c>
      <c r="AF190" s="634">
        <f t="shared" si="14"/>
        <v>0</v>
      </c>
      <c r="AG190" s="43">
        <f t="shared" si="15"/>
        <v>0</v>
      </c>
      <c r="AH190" s="7">
        <f t="shared" si="16"/>
        <v>0</v>
      </c>
      <c r="AI190" s="7">
        <f t="shared" si="16"/>
        <v>0</v>
      </c>
      <c r="AJ190" s="7">
        <f t="shared" si="16"/>
        <v>0</v>
      </c>
      <c r="AK190" s="7">
        <f t="shared" si="16"/>
        <v>0</v>
      </c>
      <c r="AL190" s="7">
        <f t="shared" si="16"/>
        <v>0</v>
      </c>
      <c r="AM190" s="7">
        <f t="shared" si="16"/>
        <v>0</v>
      </c>
      <c r="AN190" s="7">
        <f t="shared" si="16"/>
        <v>0</v>
      </c>
      <c r="AO190" s="7">
        <f t="shared" si="16"/>
        <v>0</v>
      </c>
      <c r="AP190" s="7">
        <f t="shared" si="16"/>
        <v>0</v>
      </c>
      <c r="AQ190" s="7">
        <f t="shared" si="16"/>
        <v>0</v>
      </c>
      <c r="AR190" s="7">
        <f t="shared" si="17"/>
        <v>0</v>
      </c>
      <c r="AS190" s="7">
        <f t="shared" si="17"/>
        <v>0</v>
      </c>
      <c r="AT190" s="7">
        <f t="shared" si="17"/>
        <v>0</v>
      </c>
      <c r="AU190" s="7">
        <f t="shared" si="17"/>
        <v>0</v>
      </c>
      <c r="AV190" s="7">
        <f t="shared" si="17"/>
        <v>0</v>
      </c>
      <c r="AW190" s="7">
        <f t="shared" si="17"/>
        <v>0</v>
      </c>
      <c r="AX190" s="7">
        <f t="shared" si="17"/>
        <v>0</v>
      </c>
      <c r="AY190" s="7">
        <f t="shared" si="17"/>
        <v>0</v>
      </c>
      <c r="AZ190" s="7">
        <f t="shared" si="17"/>
        <v>0</v>
      </c>
      <c r="BA190" s="7">
        <f t="shared" si="17"/>
        <v>0</v>
      </c>
      <c r="BB190" s="7">
        <f>IF(OR(ISERROR(+AB190/($D190+$E190-$G190)*$G190+AB190),LEFT(Z190,1)="x"),0,+AB190/($D190+$E190-$G190)*$G190+AB190)</f>
        <v>0</v>
      </c>
      <c r="BC190" s="7">
        <f>IF(OR(ISERROR(+#REF!/($D190+$E190-$G190)*$G190+#REF!),LEFT(AA190,1)="x"),0,+#REF!/($D190+$E190-$G190)*$G190+#REF!)</f>
        <v>0</v>
      </c>
      <c r="BD190" s="7">
        <f>IF(OR(ISERROR(+#REF!/($D190+$E190-$G190)*$G190+#REF!),LEFT(AB190,1)="x"),0,+#REF!/($D190+$E190-$G190)*$G190+#REF!)</f>
        <v>0</v>
      </c>
      <c r="BE190" s="7" t="e">
        <f>IF(OR(ISERROR(+AC190/($D190+$E190-$G190)*$G190+AC190),LEFT(#REF!,1)="x"),0,+AC190/($D190+$E190-$G190)*$G190+AC190)</f>
        <v>#REF!</v>
      </c>
    </row>
    <row r="191" spans="1:57" hidden="1">
      <c r="A191" s="555"/>
      <c r="B191" s="623"/>
      <c r="C191" s="607"/>
      <c r="D191" s="609"/>
      <c r="E191" s="608"/>
      <c r="F191" s="609"/>
      <c r="G191" s="609"/>
      <c r="H191" s="585"/>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12"/>
        <v>0</v>
      </c>
      <c r="AE191" s="629">
        <f t="shared" si="13"/>
        <v>0</v>
      </c>
      <c r="AF191" s="634">
        <f t="shared" si="14"/>
        <v>0</v>
      </c>
      <c r="AG191" s="43">
        <f t="shared" si="15"/>
        <v>0</v>
      </c>
      <c r="AH191" s="7">
        <f t="shared" ref="AH191:AV191" si="18">IF(OR(ISERROR(+H191/($D191+$E191-$G191)*$G191+H191),LEFT(F191,1)="x"),0,+H191/($D191+$E191-$G191)*$G191+H191)</f>
        <v>0</v>
      </c>
      <c r="AI191" s="7">
        <f t="shared" si="18"/>
        <v>0</v>
      </c>
      <c r="AJ191" s="7">
        <f t="shared" si="18"/>
        <v>0</v>
      </c>
      <c r="AK191" s="7">
        <f t="shared" si="18"/>
        <v>0</v>
      </c>
      <c r="AL191" s="7">
        <f t="shared" si="18"/>
        <v>0</v>
      </c>
      <c r="AM191" s="7">
        <f t="shared" si="18"/>
        <v>0</v>
      </c>
      <c r="AN191" s="7">
        <f t="shared" si="18"/>
        <v>0</v>
      </c>
      <c r="AO191" s="7">
        <f t="shared" si="18"/>
        <v>0</v>
      </c>
      <c r="AP191" s="7">
        <f t="shared" si="18"/>
        <v>0</v>
      </c>
      <c r="AQ191" s="7">
        <f t="shared" si="18"/>
        <v>0</v>
      </c>
      <c r="AR191" s="7">
        <f t="shared" si="18"/>
        <v>0</v>
      </c>
      <c r="AS191" s="7">
        <f t="shared" si="18"/>
        <v>0</v>
      </c>
      <c r="AT191" s="7">
        <f t="shared" si="18"/>
        <v>0</v>
      </c>
      <c r="AU191" s="7">
        <f t="shared" si="18"/>
        <v>0</v>
      </c>
      <c r="AV191" s="7">
        <f t="shared" si="18"/>
        <v>0</v>
      </c>
      <c r="AW191" s="7">
        <f t="shared" ref="AW191:AW201" si="19">IF(OR(ISERROR(+W191/($D191+$E191-$G191)*$G191+W191),LEFT(U191,1)="x"),0,+W191/($D191+$E191-$G191)*$G191+W191)</f>
        <v>0</v>
      </c>
      <c r="AX191" s="7">
        <f t="shared" ref="AX191:AX201" si="20">IF(OR(ISERROR(+X191/($D191+$E191-$G191)*$G191+X191),LEFT(V191,1)="x"),0,+X191/($D191+$E191-$G191)*$G191+X191)</f>
        <v>0</v>
      </c>
      <c r="AY191" s="7">
        <f t="shared" ref="AY191:AY201" si="21">IF(OR(ISERROR(+Y191/($D191+$E191-$G191)*$G191+Y191),LEFT(W191,1)="x"),0,+Y191/($D191+$E191-$G191)*$G191+Y191)</f>
        <v>0</v>
      </c>
      <c r="AZ191" s="7">
        <f t="shared" ref="AZ191:AZ201" si="22">IF(OR(ISERROR(+Z191/($D191+$E191-$G191)*$G191+Z191),LEFT(X191,1)="x"),0,+Z191/($D191+$E191-$G191)*$G191+Z191)</f>
        <v>0</v>
      </c>
      <c r="BA191" s="7">
        <f t="shared" ref="BA191:BA201" si="23">IF(OR(ISERROR(+AA191/($D191+$E191-$G191)*$G191+AA191),LEFT(Y191,1)="x"),0,+AA191/($D191+$E191-$G191)*$G191+AA191)</f>
        <v>0</v>
      </c>
      <c r="BB191" s="7">
        <f t="shared" ref="BB191:BB201" si="24">IF(OR(ISERROR(+AB191/($D191+$E191-$G191)*$G191+AB191),LEFT(Z191,1)="x"),0,+AB191/($D191+$E191-$G191)*$G191+AB191)</f>
        <v>0</v>
      </c>
      <c r="BC191" s="7">
        <f>IF(OR(ISERROR(+#REF!/($D191+$E191-$G191)*$G191+#REF!),LEFT(AA191,1)="x"),0,+#REF!/($D191+$E191-$G191)*$G191+#REF!)</f>
        <v>0</v>
      </c>
      <c r="BD191" s="7">
        <f>IF(OR(ISERROR(+#REF!/($D191+$E191-$G191)*$G191+#REF!),LEFT(AB191,1)="x"),0,+#REF!/($D191+$E191-$G191)*$G191+#REF!)</f>
        <v>0</v>
      </c>
      <c r="BE191" s="7" t="e">
        <f>IF(OR(ISERROR(+AC191/($D191+$E191-$G191)*$G191+AC191),LEFT(#REF!,1)="x"),0,+AC191/($D191+$E191-$G191)*$G191+AC191)</f>
        <v>#REF!</v>
      </c>
    </row>
    <row r="192" spans="1:57" hidden="1">
      <c r="A192" s="555"/>
      <c r="B192" s="623"/>
      <c r="C192" s="607"/>
      <c r="D192" s="609"/>
      <c r="E192" s="608"/>
      <c r="F192" s="609"/>
      <c r="G192" s="609"/>
      <c r="H192" s="585"/>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12"/>
        <v>0</v>
      </c>
      <c r="AE192" s="629">
        <f t="shared" si="13"/>
        <v>0</v>
      </c>
      <c r="AF192" s="634">
        <f t="shared" si="14"/>
        <v>0</v>
      </c>
      <c r="AG192" s="43">
        <f t="shared" si="15"/>
        <v>0</v>
      </c>
      <c r="AH192" s="7">
        <f t="shared" ref="AH192:AV197" si="25">IF(OR(ISERROR(+H192/($D192+$E192-$G192)*$G192+H192),LEFT(F192,1)="x"),0,+H192/($D192+$E192-$G192)*$G192+H192)</f>
        <v>0</v>
      </c>
      <c r="AI192" s="7">
        <f t="shared" si="25"/>
        <v>0</v>
      </c>
      <c r="AJ192" s="7">
        <f t="shared" si="25"/>
        <v>0</v>
      </c>
      <c r="AK192" s="7">
        <f t="shared" si="25"/>
        <v>0</v>
      </c>
      <c r="AL192" s="7">
        <f t="shared" si="25"/>
        <v>0</v>
      </c>
      <c r="AM192" s="7">
        <f t="shared" si="25"/>
        <v>0</v>
      </c>
      <c r="AN192" s="7">
        <f t="shared" si="25"/>
        <v>0</v>
      </c>
      <c r="AO192" s="7">
        <f t="shared" si="25"/>
        <v>0</v>
      </c>
      <c r="AP192" s="7">
        <f t="shared" si="25"/>
        <v>0</v>
      </c>
      <c r="AQ192" s="7">
        <f t="shared" si="25"/>
        <v>0</v>
      </c>
      <c r="AR192" s="7">
        <f t="shared" si="25"/>
        <v>0</v>
      </c>
      <c r="AS192" s="7">
        <f t="shared" si="25"/>
        <v>0</v>
      </c>
      <c r="AT192" s="7">
        <f t="shared" si="25"/>
        <v>0</v>
      </c>
      <c r="AU192" s="7">
        <f t="shared" si="25"/>
        <v>0</v>
      </c>
      <c r="AV192" s="7">
        <f t="shared" si="25"/>
        <v>0</v>
      </c>
      <c r="AW192" s="7">
        <f t="shared" si="19"/>
        <v>0</v>
      </c>
      <c r="AX192" s="7">
        <f t="shared" si="20"/>
        <v>0</v>
      </c>
      <c r="AY192" s="7">
        <f t="shared" si="21"/>
        <v>0</v>
      </c>
      <c r="AZ192" s="7">
        <f t="shared" si="22"/>
        <v>0</v>
      </c>
      <c r="BA192" s="7">
        <f t="shared" si="23"/>
        <v>0</v>
      </c>
      <c r="BB192" s="7">
        <f t="shared" si="24"/>
        <v>0</v>
      </c>
      <c r="BC192" s="7">
        <f>IF(OR(ISERROR(+#REF!/($D192+$E192-$G192)*$G192+#REF!),LEFT(AA192,1)="x"),0,+#REF!/($D192+$E192-$G192)*$G192+#REF!)</f>
        <v>0</v>
      </c>
      <c r="BD192" s="7">
        <f>IF(OR(ISERROR(+#REF!/($D192+$E192-$G192)*$G192+#REF!),LEFT(AB192,1)="x"),0,+#REF!/($D192+$E192-$G192)*$G192+#REF!)</f>
        <v>0</v>
      </c>
      <c r="BE192" s="7" t="e">
        <f>IF(OR(ISERROR(+AC192/($D192+$E192-$G192)*$G192+AC192),LEFT(#REF!,1)="x"),0,+AC192/($D192+$E192-$G192)*$G192+AC192)</f>
        <v>#REF!</v>
      </c>
    </row>
    <row r="193" spans="1:57" hidden="1">
      <c r="A193" s="555"/>
      <c r="B193" s="623"/>
      <c r="C193" s="607"/>
      <c r="D193" s="609"/>
      <c r="E193" s="608"/>
      <c r="F193" s="609"/>
      <c r="G193" s="60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12"/>
        <v>0</v>
      </c>
      <c r="AE193" s="629">
        <f t="shared" si="13"/>
        <v>0</v>
      </c>
      <c r="AF193" s="634">
        <f t="shared" si="14"/>
        <v>0</v>
      </c>
      <c r="AG193" s="43">
        <f t="shared" si="15"/>
        <v>0</v>
      </c>
      <c r="AH193" s="7">
        <f t="shared" si="25"/>
        <v>0</v>
      </c>
      <c r="AI193" s="7">
        <f t="shared" si="25"/>
        <v>0</v>
      </c>
      <c r="AJ193" s="7">
        <f t="shared" si="25"/>
        <v>0</v>
      </c>
      <c r="AK193" s="7">
        <f t="shared" si="25"/>
        <v>0</v>
      </c>
      <c r="AL193" s="7">
        <f t="shared" si="25"/>
        <v>0</v>
      </c>
      <c r="AM193" s="7">
        <f t="shared" si="25"/>
        <v>0</v>
      </c>
      <c r="AN193" s="7">
        <f t="shared" si="25"/>
        <v>0</v>
      </c>
      <c r="AO193" s="7">
        <f t="shared" si="25"/>
        <v>0</v>
      </c>
      <c r="AP193" s="7">
        <f t="shared" si="25"/>
        <v>0</v>
      </c>
      <c r="AQ193" s="7">
        <f t="shared" si="25"/>
        <v>0</v>
      </c>
      <c r="AR193" s="7">
        <f t="shared" si="25"/>
        <v>0</v>
      </c>
      <c r="AS193" s="7">
        <f t="shared" si="25"/>
        <v>0</v>
      </c>
      <c r="AT193" s="7">
        <f t="shared" si="25"/>
        <v>0</v>
      </c>
      <c r="AU193" s="7">
        <f t="shared" si="25"/>
        <v>0</v>
      </c>
      <c r="AV193" s="7">
        <f t="shared" si="25"/>
        <v>0</v>
      </c>
      <c r="AW193" s="7">
        <f t="shared" si="19"/>
        <v>0</v>
      </c>
      <c r="AX193" s="7">
        <f t="shared" si="20"/>
        <v>0</v>
      </c>
      <c r="AY193" s="7">
        <f t="shared" si="21"/>
        <v>0</v>
      </c>
      <c r="AZ193" s="7">
        <f t="shared" si="22"/>
        <v>0</v>
      </c>
      <c r="BA193" s="7">
        <f t="shared" si="23"/>
        <v>0</v>
      </c>
      <c r="BB193" s="7">
        <f t="shared" si="24"/>
        <v>0</v>
      </c>
      <c r="BC193" s="7">
        <f>IF(OR(ISERROR(+#REF!/($D193+$E193-$G193)*$G193+#REF!),LEFT(AA193,1)="x"),0,+#REF!/($D193+$E193-$G193)*$G193+#REF!)</f>
        <v>0</v>
      </c>
      <c r="BD193" s="7">
        <f>IF(OR(ISERROR(+#REF!/($D193+$E193-$G193)*$G193+#REF!),LEFT(AB193,1)="x"),0,+#REF!/($D193+$E193-$G193)*$G193+#REF!)</f>
        <v>0</v>
      </c>
      <c r="BE193" s="7" t="e">
        <f>IF(OR(ISERROR(+AC193/($D193+$E193-$G193)*$G193+AC193),LEFT(#REF!,1)="x"),0,+AC193/($D193+$E193-$G193)*$G193+AC193)</f>
        <v>#REF!</v>
      </c>
    </row>
    <row r="194" spans="1:57" hidden="1">
      <c r="A194" s="555"/>
      <c r="B194" s="623"/>
      <c r="C194" s="607"/>
      <c r="D194" s="609"/>
      <c r="E194" s="608"/>
      <c r="F194" s="609"/>
      <c r="G194" s="60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12"/>
        <v>0</v>
      </c>
      <c r="AE194" s="629">
        <f t="shared" si="13"/>
        <v>0</v>
      </c>
      <c r="AF194" s="634">
        <f t="shared" si="14"/>
        <v>0</v>
      </c>
      <c r="AG194" s="43">
        <f t="shared" si="15"/>
        <v>0</v>
      </c>
      <c r="AH194" s="7">
        <f t="shared" si="25"/>
        <v>0</v>
      </c>
      <c r="AI194" s="7">
        <f t="shared" si="25"/>
        <v>0</v>
      </c>
      <c r="AJ194" s="7">
        <f t="shared" si="25"/>
        <v>0</v>
      </c>
      <c r="AK194" s="7">
        <f t="shared" si="25"/>
        <v>0</v>
      </c>
      <c r="AL194" s="7">
        <f t="shared" si="25"/>
        <v>0</v>
      </c>
      <c r="AM194" s="7">
        <f t="shared" si="25"/>
        <v>0</v>
      </c>
      <c r="AN194" s="7">
        <f t="shared" si="25"/>
        <v>0</v>
      </c>
      <c r="AO194" s="7">
        <f t="shared" si="25"/>
        <v>0</v>
      </c>
      <c r="AP194" s="7">
        <f t="shared" si="25"/>
        <v>0</v>
      </c>
      <c r="AQ194" s="7">
        <f t="shared" si="25"/>
        <v>0</v>
      </c>
      <c r="AR194" s="7">
        <f t="shared" si="25"/>
        <v>0</v>
      </c>
      <c r="AS194" s="7">
        <f t="shared" si="25"/>
        <v>0</v>
      </c>
      <c r="AT194" s="7">
        <f t="shared" si="25"/>
        <v>0</v>
      </c>
      <c r="AU194" s="7">
        <f t="shared" si="25"/>
        <v>0</v>
      </c>
      <c r="AV194" s="7">
        <f t="shared" si="25"/>
        <v>0</v>
      </c>
      <c r="AW194" s="7">
        <f t="shared" si="19"/>
        <v>0</v>
      </c>
      <c r="AX194" s="7">
        <f t="shared" si="20"/>
        <v>0</v>
      </c>
      <c r="AY194" s="7">
        <f t="shared" si="21"/>
        <v>0</v>
      </c>
      <c r="AZ194" s="7">
        <f t="shared" si="22"/>
        <v>0</v>
      </c>
      <c r="BA194" s="7">
        <f t="shared" si="23"/>
        <v>0</v>
      </c>
      <c r="BB194" s="7">
        <f t="shared" si="24"/>
        <v>0</v>
      </c>
      <c r="BC194" s="7">
        <f>IF(OR(ISERROR(+#REF!/($D194+$E194-$G194)*$G194+#REF!),LEFT(AA194,1)="x"),0,+#REF!/($D194+$E194-$G194)*$G194+#REF!)</f>
        <v>0</v>
      </c>
      <c r="BD194" s="7">
        <f>IF(OR(ISERROR(+#REF!/($D194+$E194-$G194)*$G194+#REF!),LEFT(AB194,1)="x"),0,+#REF!/($D194+$E194-$G194)*$G194+#REF!)</f>
        <v>0</v>
      </c>
      <c r="BE194" s="7" t="e">
        <f>IF(OR(ISERROR(+AC194/($D194+$E194-$G194)*$G194+AC194),LEFT(#REF!,1)="x"),0,+AC194/($D194+$E194-$G194)*$G194+AC194)</f>
        <v>#REF!</v>
      </c>
    </row>
    <row r="195" spans="1:57" hidden="1">
      <c r="A195" s="555"/>
      <c r="B195" s="623"/>
      <c r="C195" s="607"/>
      <c r="D195" s="609"/>
      <c r="E195" s="608"/>
      <c r="F195" s="609"/>
      <c r="G195" s="60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12"/>
        <v>0</v>
      </c>
      <c r="AE195" s="629">
        <f t="shared" si="13"/>
        <v>0</v>
      </c>
      <c r="AF195" s="634">
        <f t="shared" si="14"/>
        <v>0</v>
      </c>
      <c r="AG195" s="43">
        <f t="shared" si="15"/>
        <v>0</v>
      </c>
      <c r="AH195" s="7">
        <f t="shared" si="25"/>
        <v>0</v>
      </c>
      <c r="AI195" s="7">
        <f t="shared" si="25"/>
        <v>0</v>
      </c>
      <c r="AJ195" s="7">
        <f t="shared" si="25"/>
        <v>0</v>
      </c>
      <c r="AK195" s="7">
        <f t="shared" si="25"/>
        <v>0</v>
      </c>
      <c r="AL195" s="7">
        <f t="shared" si="25"/>
        <v>0</v>
      </c>
      <c r="AM195" s="7">
        <f t="shared" si="25"/>
        <v>0</v>
      </c>
      <c r="AN195" s="7">
        <f t="shared" si="25"/>
        <v>0</v>
      </c>
      <c r="AO195" s="7">
        <f t="shared" si="25"/>
        <v>0</v>
      </c>
      <c r="AP195" s="7">
        <f t="shared" si="25"/>
        <v>0</v>
      </c>
      <c r="AQ195" s="7">
        <f t="shared" si="25"/>
        <v>0</v>
      </c>
      <c r="AR195" s="7">
        <f t="shared" si="25"/>
        <v>0</v>
      </c>
      <c r="AS195" s="7">
        <f t="shared" si="25"/>
        <v>0</v>
      </c>
      <c r="AT195" s="7">
        <f t="shared" si="25"/>
        <v>0</v>
      </c>
      <c r="AU195" s="7">
        <f t="shared" si="25"/>
        <v>0</v>
      </c>
      <c r="AV195" s="7">
        <f t="shared" si="25"/>
        <v>0</v>
      </c>
      <c r="AW195" s="7">
        <f t="shared" si="19"/>
        <v>0</v>
      </c>
      <c r="AX195" s="7">
        <f t="shared" si="20"/>
        <v>0</v>
      </c>
      <c r="AY195" s="7">
        <f t="shared" si="21"/>
        <v>0</v>
      </c>
      <c r="AZ195" s="7">
        <f t="shared" si="22"/>
        <v>0</v>
      </c>
      <c r="BA195" s="7">
        <f t="shared" si="23"/>
        <v>0</v>
      </c>
      <c r="BB195" s="7">
        <f t="shared" si="24"/>
        <v>0</v>
      </c>
      <c r="BC195" s="7">
        <f>IF(OR(ISERROR(+#REF!/($D195+$E195-$G195)*$G195+#REF!),LEFT(AA195,1)="x"),0,+#REF!/($D195+$E195-$G195)*$G195+#REF!)</f>
        <v>0</v>
      </c>
      <c r="BD195" s="7">
        <f>IF(OR(ISERROR(+#REF!/($D195+$E195-$G195)*$G195+#REF!),LEFT(AB195,1)="x"),0,+#REF!/($D195+$E195-$G195)*$G195+#REF!)</f>
        <v>0</v>
      </c>
      <c r="BE195" s="7" t="e">
        <f>IF(OR(ISERROR(+AC195/($D195+$E195-$G195)*$G195+AC195),LEFT(#REF!,1)="x"),0,+AC195/($D195+$E195-$G195)*$G195+AC195)</f>
        <v>#REF!</v>
      </c>
    </row>
    <row r="196" spans="1:57" ht="13.5" hidden="1" thickBot="1">
      <c r="A196" s="556"/>
      <c r="B196" s="624"/>
      <c r="C196" s="611"/>
      <c r="D196" s="610"/>
      <c r="E196" s="612"/>
      <c r="F196" s="610"/>
      <c r="G196" s="610"/>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12"/>
        <v>0</v>
      </c>
      <c r="AE196" s="629">
        <f t="shared" si="13"/>
        <v>0</v>
      </c>
      <c r="AF196" s="634">
        <f t="shared" si="14"/>
        <v>0</v>
      </c>
      <c r="AG196" s="43">
        <f t="shared" si="15"/>
        <v>0</v>
      </c>
      <c r="AH196" s="7">
        <f t="shared" si="25"/>
        <v>0</v>
      </c>
      <c r="AI196" s="7">
        <f t="shared" si="25"/>
        <v>0</v>
      </c>
      <c r="AJ196" s="7">
        <f t="shared" si="25"/>
        <v>0</v>
      </c>
      <c r="AK196" s="7">
        <f t="shared" si="25"/>
        <v>0</v>
      </c>
      <c r="AL196" s="7">
        <f t="shared" si="25"/>
        <v>0</v>
      </c>
      <c r="AM196" s="7">
        <f t="shared" si="25"/>
        <v>0</v>
      </c>
      <c r="AN196" s="7">
        <f t="shared" si="25"/>
        <v>0</v>
      </c>
      <c r="AO196" s="7">
        <f t="shared" si="25"/>
        <v>0</v>
      </c>
      <c r="AP196" s="7">
        <f t="shared" si="25"/>
        <v>0</v>
      </c>
      <c r="AQ196" s="7">
        <f t="shared" si="25"/>
        <v>0</v>
      </c>
      <c r="AR196" s="7">
        <f t="shared" si="25"/>
        <v>0</v>
      </c>
      <c r="AS196" s="7">
        <f t="shared" si="25"/>
        <v>0</v>
      </c>
      <c r="AT196" s="7">
        <f t="shared" si="25"/>
        <v>0</v>
      </c>
      <c r="AU196" s="7">
        <f t="shared" si="25"/>
        <v>0</v>
      </c>
      <c r="AV196" s="7">
        <f t="shared" si="25"/>
        <v>0</v>
      </c>
      <c r="AW196" s="7">
        <f t="shared" si="19"/>
        <v>0</v>
      </c>
      <c r="AX196" s="7">
        <f t="shared" si="20"/>
        <v>0</v>
      </c>
      <c r="AY196" s="7">
        <f t="shared" si="21"/>
        <v>0</v>
      </c>
      <c r="AZ196" s="7">
        <f t="shared" si="22"/>
        <v>0</v>
      </c>
      <c r="BA196" s="7">
        <f t="shared" si="23"/>
        <v>0</v>
      </c>
      <c r="BB196" s="7">
        <f t="shared" si="24"/>
        <v>0</v>
      </c>
      <c r="BC196" s="7">
        <f>IF(OR(ISERROR(+#REF!/($D196+$E196-$G196)*$G196+#REF!),LEFT(AA196,1)="x"),0,+#REF!/($D196+$E196-$G196)*$G196+#REF!)</f>
        <v>0</v>
      </c>
      <c r="BD196" s="7">
        <f>IF(OR(ISERROR(+#REF!/($D196+$E196-$G196)*$G196+#REF!),LEFT(AB196,1)="x"),0,+#REF!/($D196+$E196-$G196)*$G196+#REF!)</f>
        <v>0</v>
      </c>
      <c r="BE196" s="7" t="e">
        <f>IF(OR(ISERROR(+AC196/($D196+$E196-$G196)*$G196+AC196),LEFT(#REF!,1)="x"),0,+AC196/($D196+$E196-$G196)*$G196+AC196)</f>
        <v>#REF!</v>
      </c>
    </row>
    <row r="197" spans="1:57" ht="14.25">
      <c r="A197" s="99" t="s">
        <v>20</v>
      </c>
      <c r="B197" s="100"/>
      <c r="C197" s="97" t="s">
        <v>26</v>
      </c>
      <c r="D197" s="92">
        <f t="shared" ref="D197:AC197" si="26">SUM(D80:D196)</f>
        <v>4033.5299999999997</v>
      </c>
      <c r="E197" s="92">
        <f t="shared" si="26"/>
        <v>-1028</v>
      </c>
      <c r="F197" s="208">
        <f t="shared" si="26"/>
        <v>0</v>
      </c>
      <c r="G197" s="92">
        <f t="shared" si="26"/>
        <v>0</v>
      </c>
      <c r="H197" s="92">
        <f t="shared" si="26"/>
        <v>225</v>
      </c>
      <c r="I197" s="92">
        <f t="shared" si="26"/>
        <v>164</v>
      </c>
      <c r="J197" s="92">
        <f t="shared" si="26"/>
        <v>65</v>
      </c>
      <c r="K197" s="92">
        <f t="shared" si="26"/>
        <v>0</v>
      </c>
      <c r="L197" s="92">
        <f t="shared" si="26"/>
        <v>1824</v>
      </c>
      <c r="M197" s="92">
        <f t="shared" si="26"/>
        <v>264.02999999999997</v>
      </c>
      <c r="N197" s="92">
        <f t="shared" si="26"/>
        <v>0</v>
      </c>
      <c r="O197" s="92">
        <f t="shared" si="26"/>
        <v>0</v>
      </c>
      <c r="P197" s="92">
        <f t="shared" si="26"/>
        <v>20</v>
      </c>
      <c r="Q197" s="92">
        <f t="shared" si="26"/>
        <v>0</v>
      </c>
      <c r="R197" s="92">
        <f t="shared" si="26"/>
        <v>65</v>
      </c>
      <c r="S197" s="92">
        <f t="shared" si="26"/>
        <v>55</v>
      </c>
      <c r="T197" s="92">
        <f t="shared" si="26"/>
        <v>85</v>
      </c>
      <c r="U197" s="92">
        <f t="shared" si="26"/>
        <v>138</v>
      </c>
      <c r="V197" s="92">
        <f t="shared" si="26"/>
        <v>5.5</v>
      </c>
      <c r="W197" s="92">
        <f t="shared" si="26"/>
        <v>95</v>
      </c>
      <c r="X197" s="92">
        <f t="shared" si="26"/>
        <v>0</v>
      </c>
      <c r="Y197" s="92">
        <f t="shared" si="26"/>
        <v>0</v>
      </c>
      <c r="Z197" s="92">
        <f t="shared" si="26"/>
        <v>0</v>
      </c>
      <c r="AA197" s="92">
        <f t="shared" si="26"/>
        <v>0</v>
      </c>
      <c r="AB197" s="92">
        <f t="shared" si="26"/>
        <v>0</v>
      </c>
      <c r="AC197" s="208">
        <f t="shared" si="26"/>
        <v>0</v>
      </c>
      <c r="AH197" s="7">
        <f t="shared" si="25"/>
        <v>225</v>
      </c>
      <c r="AI197" s="7">
        <f t="shared" si="25"/>
        <v>164</v>
      </c>
      <c r="AJ197" s="7">
        <f t="shared" si="25"/>
        <v>65</v>
      </c>
      <c r="AK197" s="7">
        <f t="shared" si="25"/>
        <v>0</v>
      </c>
      <c r="AL197" s="7">
        <f t="shared" si="25"/>
        <v>1824</v>
      </c>
      <c r="AM197" s="7">
        <f t="shared" si="25"/>
        <v>264.02999999999997</v>
      </c>
      <c r="AN197" s="7">
        <f t="shared" si="25"/>
        <v>0</v>
      </c>
      <c r="AO197" s="7">
        <f t="shared" si="25"/>
        <v>0</v>
      </c>
      <c r="AP197" s="7">
        <f t="shared" si="25"/>
        <v>20</v>
      </c>
      <c r="AQ197" s="7">
        <f t="shared" si="25"/>
        <v>0</v>
      </c>
      <c r="AR197" s="7">
        <f t="shared" si="25"/>
        <v>65</v>
      </c>
      <c r="AS197" s="7">
        <f t="shared" si="25"/>
        <v>55</v>
      </c>
      <c r="AT197" s="7">
        <f t="shared" si="25"/>
        <v>85</v>
      </c>
      <c r="AU197" s="7">
        <f t="shared" si="25"/>
        <v>138</v>
      </c>
      <c r="AV197" s="7">
        <f t="shared" si="25"/>
        <v>5.5</v>
      </c>
      <c r="AW197" s="7">
        <f t="shared" si="19"/>
        <v>95</v>
      </c>
      <c r="AX197" s="7">
        <f t="shared" si="20"/>
        <v>0</v>
      </c>
      <c r="AY197" s="7">
        <f t="shared" si="21"/>
        <v>0</v>
      </c>
      <c r="AZ197" s="7">
        <f t="shared" si="22"/>
        <v>0</v>
      </c>
      <c r="BA197" s="7">
        <f t="shared" si="23"/>
        <v>0</v>
      </c>
      <c r="BB197" s="7">
        <f t="shared" si="24"/>
        <v>0</v>
      </c>
      <c r="BC197" s="7">
        <f>IF(OR(ISERROR(+#REF!/($D197+$E197-$G197)*$G197+#REF!),LEFT(AA197,1)="x"),0,+#REF!/($D197+$E197-$G197)*$G197+#REF!)</f>
        <v>0</v>
      </c>
      <c r="BD197" s="7">
        <f>IF(OR(ISERROR(+AC197/($D197+$E197-$G197)*$G197+AC197),LEFT(Z197,1)="x"),0,+AC197/($D197+$E197-$G197)*$G197+AC197)</f>
        <v>0</v>
      </c>
    </row>
    <row r="198" spans="1:57" ht="13.5" thickBot="1">
      <c r="A198" s="50"/>
      <c r="B198" s="51"/>
      <c r="C198" s="39" t="s">
        <v>27</v>
      </c>
      <c r="D198" s="643">
        <f t="shared" ref="D198:AC198" si="27">SUM(D79:D196)</f>
        <v>80640.819999999992</v>
      </c>
      <c r="E198" s="643">
        <f t="shared" si="27"/>
        <v>-114</v>
      </c>
      <c r="F198" s="644">
        <f t="shared" si="27"/>
        <v>0</v>
      </c>
      <c r="G198" s="643">
        <f t="shared" si="27"/>
        <v>0</v>
      </c>
      <c r="H198" s="643">
        <f t="shared" si="27"/>
        <v>1350</v>
      </c>
      <c r="I198" s="643">
        <f t="shared" si="27"/>
        <v>984</v>
      </c>
      <c r="J198" s="643">
        <f t="shared" si="27"/>
        <v>240</v>
      </c>
      <c r="K198" s="643">
        <f t="shared" si="27"/>
        <v>0</v>
      </c>
      <c r="L198" s="643">
        <f t="shared" si="27"/>
        <v>12768</v>
      </c>
      <c r="M198" s="643">
        <f t="shared" si="27"/>
        <v>264.02999999999997</v>
      </c>
      <c r="N198" s="643">
        <f t="shared" si="27"/>
        <v>0</v>
      </c>
      <c r="O198" s="643">
        <f t="shared" si="27"/>
        <v>0</v>
      </c>
      <c r="P198" s="643">
        <f t="shared" si="27"/>
        <v>120</v>
      </c>
      <c r="Q198" s="643">
        <f t="shared" si="27"/>
        <v>0</v>
      </c>
      <c r="R198" s="643">
        <f t="shared" si="27"/>
        <v>390</v>
      </c>
      <c r="S198" s="643">
        <f t="shared" si="27"/>
        <v>330</v>
      </c>
      <c r="T198" s="643">
        <f t="shared" si="27"/>
        <v>510</v>
      </c>
      <c r="U198" s="643">
        <f t="shared" si="27"/>
        <v>828</v>
      </c>
      <c r="V198" s="643">
        <f t="shared" si="27"/>
        <v>38.299999999999997</v>
      </c>
      <c r="W198" s="643">
        <f t="shared" si="27"/>
        <v>570</v>
      </c>
      <c r="X198" s="643">
        <f t="shared" si="27"/>
        <v>50555.39</v>
      </c>
      <c r="Y198" s="643">
        <f t="shared" si="27"/>
        <v>10781.1</v>
      </c>
      <c r="Z198" s="643">
        <f t="shared" si="27"/>
        <v>0</v>
      </c>
      <c r="AA198" s="643">
        <f t="shared" si="27"/>
        <v>0</v>
      </c>
      <c r="AB198" s="643">
        <f t="shared" si="27"/>
        <v>785</v>
      </c>
      <c r="AC198" s="645">
        <f t="shared" si="27"/>
        <v>13</v>
      </c>
      <c r="AG198" s="57"/>
      <c r="AH198" s="7">
        <f t="shared" ref="AH198:AV201" si="28">IF(OR(ISERROR(+H198/($D198+$E198-$G198)*$G198+H198),LEFT(F198,1)="x"),0,+H198/($D198+$E198-$G198)*$G198+H198)</f>
        <v>1350</v>
      </c>
      <c r="AI198" s="7">
        <f t="shared" si="28"/>
        <v>984</v>
      </c>
      <c r="AJ198" s="7">
        <f t="shared" si="28"/>
        <v>240</v>
      </c>
      <c r="AK198" s="7">
        <f t="shared" si="28"/>
        <v>0</v>
      </c>
      <c r="AL198" s="7">
        <f t="shared" si="28"/>
        <v>12768</v>
      </c>
      <c r="AM198" s="7">
        <f t="shared" si="28"/>
        <v>264.02999999999997</v>
      </c>
      <c r="AN198" s="7">
        <f t="shared" si="28"/>
        <v>0</v>
      </c>
      <c r="AO198" s="7">
        <f t="shared" si="28"/>
        <v>0</v>
      </c>
      <c r="AP198" s="7">
        <f t="shared" si="28"/>
        <v>120</v>
      </c>
      <c r="AQ198" s="7">
        <f t="shared" si="28"/>
        <v>0</v>
      </c>
      <c r="AR198" s="7">
        <f t="shared" si="28"/>
        <v>390</v>
      </c>
      <c r="AS198" s="7">
        <f t="shared" si="28"/>
        <v>330</v>
      </c>
      <c r="AT198" s="7">
        <f t="shared" si="28"/>
        <v>510</v>
      </c>
      <c r="AU198" s="7">
        <f t="shared" si="28"/>
        <v>828</v>
      </c>
      <c r="AV198" s="7">
        <f t="shared" si="28"/>
        <v>38.299999999999997</v>
      </c>
      <c r="AW198" s="7">
        <f t="shared" si="19"/>
        <v>570</v>
      </c>
      <c r="AX198" s="7">
        <f t="shared" si="20"/>
        <v>50555.39</v>
      </c>
      <c r="AY198" s="7">
        <f t="shared" si="21"/>
        <v>10781.1</v>
      </c>
      <c r="AZ198" s="7">
        <f t="shared" si="22"/>
        <v>0</v>
      </c>
      <c r="BA198" s="7">
        <f t="shared" si="23"/>
        <v>0</v>
      </c>
      <c r="BB198" s="7">
        <f t="shared" si="24"/>
        <v>785</v>
      </c>
      <c r="BC198" s="7">
        <f>IF(OR(ISERROR(+#REF!/($D198+$E198-$G198)*$G198+#REF!),LEFT(AA198,1)="x"),0,+#REF!/($D198+$E198-$G198)*$G198+#REF!)</f>
        <v>0</v>
      </c>
      <c r="BD198" s="7">
        <f>IF(OR(ISERROR(+AC198/($D198+$E198-$G198)*$G198+AC198),LEFT(Z198,1)="x"),0,+AC198/($D198+$E198-$G198)*$G198+AC198)</f>
        <v>13</v>
      </c>
    </row>
    <row r="199" spans="1:5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H199" s="7">
        <f t="shared" si="28"/>
        <v>0</v>
      </c>
      <c r="AI199" s="7">
        <f t="shared" si="28"/>
        <v>0</v>
      </c>
      <c r="AJ199" s="7">
        <f t="shared" si="28"/>
        <v>0</v>
      </c>
      <c r="AK199" s="7">
        <f t="shared" si="28"/>
        <v>0</v>
      </c>
      <c r="AL199" s="7">
        <f t="shared" si="28"/>
        <v>0</v>
      </c>
      <c r="AM199" s="7">
        <f t="shared" si="28"/>
        <v>0</v>
      </c>
      <c r="AN199" s="7">
        <f t="shared" si="28"/>
        <v>0</v>
      </c>
      <c r="AO199" s="7">
        <f t="shared" si="28"/>
        <v>0</v>
      </c>
      <c r="AP199" s="7">
        <f t="shared" si="28"/>
        <v>0</v>
      </c>
      <c r="AQ199" s="7">
        <f t="shared" si="28"/>
        <v>0</v>
      </c>
      <c r="AR199" s="7">
        <f t="shared" si="28"/>
        <v>0</v>
      </c>
      <c r="AS199" s="7">
        <f t="shared" si="28"/>
        <v>0</v>
      </c>
      <c r="AT199" s="7">
        <f t="shared" si="28"/>
        <v>0</v>
      </c>
      <c r="AU199" s="7">
        <f t="shared" si="28"/>
        <v>0</v>
      </c>
      <c r="AV199" s="7">
        <f t="shared" si="28"/>
        <v>0</v>
      </c>
      <c r="AW199" s="7">
        <f t="shared" si="19"/>
        <v>0</v>
      </c>
      <c r="AX199" s="7">
        <f t="shared" si="20"/>
        <v>0</v>
      </c>
      <c r="AY199" s="7">
        <f t="shared" si="21"/>
        <v>0</v>
      </c>
      <c r="AZ199" s="7">
        <f t="shared" si="22"/>
        <v>0</v>
      </c>
      <c r="BA199" s="7">
        <f t="shared" si="23"/>
        <v>0</v>
      </c>
      <c r="BB199" s="7">
        <f t="shared" si="24"/>
        <v>0</v>
      </c>
      <c r="BC199" s="7">
        <f>IF(OR(ISERROR(+#REF!/($D199+$E199-$G199)*$G199+#REF!),LEFT(AA199,1)="x"),0,+#REF!/($D199+$E199-$G199)*$G199+#REF!)</f>
        <v>0</v>
      </c>
      <c r="BD199" s="7">
        <f>IF(OR(ISERROR(+AC199/($D199+$E199-$G199)*$G199+AC199),LEFT(Z199,1)="x"),0,+AC199/($D199+$E199-$G199)*$G199+AC199)</f>
        <v>0</v>
      </c>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H200" s="7">
        <f t="shared" si="28"/>
        <v>0</v>
      </c>
      <c r="AI200" s="7">
        <f t="shared" si="28"/>
        <v>0</v>
      </c>
      <c r="AJ200" s="7">
        <f t="shared" si="28"/>
        <v>0</v>
      </c>
      <c r="AK200" s="7">
        <f t="shared" si="28"/>
        <v>0</v>
      </c>
      <c r="AL200" s="7">
        <f t="shared" si="28"/>
        <v>0</v>
      </c>
      <c r="AM200" s="7">
        <f t="shared" si="28"/>
        <v>0</v>
      </c>
      <c r="AN200" s="7">
        <f t="shared" si="28"/>
        <v>0</v>
      </c>
      <c r="AO200" s="7">
        <f t="shared" si="28"/>
        <v>0</v>
      </c>
      <c r="AP200" s="7">
        <f t="shared" si="28"/>
        <v>0</v>
      </c>
      <c r="AQ200" s="7">
        <f t="shared" si="28"/>
        <v>0</v>
      </c>
      <c r="AR200" s="7">
        <f t="shared" si="28"/>
        <v>0</v>
      </c>
      <c r="AS200" s="7">
        <f t="shared" si="28"/>
        <v>0</v>
      </c>
      <c r="AT200" s="7">
        <f t="shared" si="28"/>
        <v>0</v>
      </c>
      <c r="AU200" s="7">
        <f t="shared" si="28"/>
        <v>0</v>
      </c>
      <c r="AV200" s="7">
        <f t="shared" si="28"/>
        <v>0</v>
      </c>
      <c r="AW200" s="7">
        <f t="shared" si="19"/>
        <v>0</v>
      </c>
      <c r="AX200" s="7">
        <f t="shared" si="20"/>
        <v>0</v>
      </c>
      <c r="AY200" s="7">
        <f t="shared" si="21"/>
        <v>0</v>
      </c>
      <c r="AZ200" s="7">
        <f t="shared" si="22"/>
        <v>0</v>
      </c>
      <c r="BA200" s="7">
        <f t="shared" si="23"/>
        <v>0</v>
      </c>
      <c r="BB200" s="7">
        <f t="shared" si="24"/>
        <v>0</v>
      </c>
      <c r="BC200" s="7">
        <f>IF(OR(ISERROR(+#REF!/($D200+$E200-$G200)*$G200+#REF!),LEFT(AA200,1)="x"),0,+#REF!/($D200+$E200-$G200)*$G200+#REF!)</f>
        <v>0</v>
      </c>
      <c r="BD200" s="7">
        <f>IF(OR(ISERROR(+AC200/($D200+$E200-$G200)*$G200+AC200),LEFT(Z200,1)="x"),0,+AC200/($D200+$E200-$G200)*$G200+AC200)</f>
        <v>0</v>
      </c>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H201" s="7">
        <f t="shared" si="28"/>
        <v>0</v>
      </c>
      <c r="AI201" s="7">
        <f t="shared" si="28"/>
        <v>0</v>
      </c>
      <c r="AJ201" s="7">
        <f t="shared" si="28"/>
        <v>0</v>
      </c>
      <c r="AK201" s="7">
        <f t="shared" si="28"/>
        <v>0</v>
      </c>
      <c r="AL201" s="7">
        <f t="shared" si="28"/>
        <v>0</v>
      </c>
      <c r="AM201" s="7">
        <f t="shared" si="28"/>
        <v>0</v>
      </c>
      <c r="AN201" s="7">
        <f t="shared" si="28"/>
        <v>0</v>
      </c>
      <c r="AO201" s="7">
        <f t="shared" si="28"/>
        <v>0</v>
      </c>
      <c r="AP201" s="7">
        <f t="shared" si="28"/>
        <v>0</v>
      </c>
      <c r="AQ201" s="7">
        <f t="shared" si="28"/>
        <v>0</v>
      </c>
      <c r="AR201" s="7">
        <f t="shared" si="28"/>
        <v>0</v>
      </c>
      <c r="AS201" s="7">
        <f t="shared" si="28"/>
        <v>0</v>
      </c>
      <c r="AT201" s="7">
        <f t="shared" si="28"/>
        <v>0</v>
      </c>
      <c r="AU201" s="7">
        <f t="shared" si="28"/>
        <v>0</v>
      </c>
      <c r="AV201" s="7">
        <f t="shared" si="28"/>
        <v>0</v>
      </c>
      <c r="AW201" s="7">
        <f t="shared" si="19"/>
        <v>0</v>
      </c>
      <c r="AX201" s="7">
        <f t="shared" si="20"/>
        <v>0</v>
      </c>
      <c r="AY201" s="7">
        <f t="shared" si="21"/>
        <v>0</v>
      </c>
      <c r="AZ201" s="7">
        <f t="shared" si="22"/>
        <v>0</v>
      </c>
      <c r="BA201" s="7">
        <f t="shared" si="23"/>
        <v>0</v>
      </c>
      <c r="BB201" s="7">
        <f t="shared" si="24"/>
        <v>0</v>
      </c>
      <c r="BC201" s="7">
        <f>IF(OR(ISERROR(+#REF!/($D201+$E201-$G201)*$G201+#REF!),LEFT(AA201,1)="x"),0,+#REF!/($D201+$E201-$G201)*$G201+#REF!)</f>
        <v>0</v>
      </c>
      <c r="BD201" s="7">
        <f>IF(OR(ISERROR(+AC201/($D201+$E201-$G201)*$G201+AC201),LEFT(Z201,1)="x"),0,+AC201/($D201+$E201-$G201)*$G201+AC201)</f>
        <v>0</v>
      </c>
    </row>
    <row r="202" spans="1:57" ht="15.75">
      <c r="A202" s="52" t="s">
        <v>226</v>
      </c>
      <c r="B202" s="52"/>
      <c r="C202" s="52"/>
      <c r="D202" s="19">
        <f>E202-H202</f>
        <v>0</v>
      </c>
      <c r="E202" s="53">
        <f>D197+E197+F197</f>
        <v>3005.5299999999997</v>
      </c>
      <c r="F202" s="53" t="s">
        <v>20</v>
      </c>
      <c r="G202" s="17"/>
      <c r="H202" s="53">
        <f>SUM(G197:AC197)</f>
        <v>3005.5299999999997</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
      <c r="A203" s="17"/>
      <c r="B203" s="17"/>
      <c r="C203" s="17"/>
      <c r="D203" s="54">
        <f>IF(D202=0,0,"Error - check totals do not balance, please see column AF - at the right side of the expenditure table for corrections to be made")</f>
        <v>0</v>
      </c>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ht="15">
      <c r="A205" s="17"/>
      <c r="B205" s="17"/>
      <c r="C205" s="17"/>
      <c r="D205" s="54"/>
      <c r="E205" s="5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32">
      <c r="A209" s="161" t="s">
        <v>166</v>
      </c>
      <c r="B209" s="17"/>
      <c r="C209" s="17"/>
      <c r="D209" s="17"/>
      <c r="E209" s="639">
        <f>'Nov 17'!K10+L54+M54+N54+O54-D198</f>
        <v>87889.880000000019</v>
      </c>
      <c r="F209" s="639">
        <f>'Nov 17'!K11+P54+X198-O54</f>
        <v>87024.400000000009</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32">
      <c r="A210" s="161"/>
      <c r="B210" s="17"/>
      <c r="C210" s="73"/>
      <c r="D210" s="73"/>
      <c r="E210" s="637"/>
      <c r="F210" s="6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32">
      <c r="A211" s="161" t="s">
        <v>63</v>
      </c>
      <c r="B211" s="17"/>
      <c r="C211" s="642"/>
      <c r="D211" s="642"/>
      <c r="E211" s="637" t="s">
        <v>20</v>
      </c>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32">
      <c r="B212" s="162" t="s">
        <v>187</v>
      </c>
      <c r="C212" s="642"/>
      <c r="D212" s="642"/>
      <c r="E212" s="637" t="s">
        <v>20</v>
      </c>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32">
      <c r="A213" s="17"/>
      <c r="B213" s="162" t="s">
        <v>164</v>
      </c>
      <c r="C213" s="642"/>
      <c r="D213" s="642"/>
      <c r="E213" s="637" t="s">
        <v>20</v>
      </c>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32">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32">
      <c r="A215" s="17"/>
      <c r="B215" s="17"/>
      <c r="C215" s="642"/>
      <c r="D215" s="642"/>
      <c r="E215" s="637"/>
      <c r="F215" s="6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32" ht="13.5" thickBot="1">
      <c r="A216" s="56" t="s">
        <v>165</v>
      </c>
      <c r="B216" s="56"/>
      <c r="C216" s="17"/>
      <c r="D216" s="17"/>
      <c r="E216" s="641">
        <f>E209+SUM(E211:E215)</f>
        <v>87889.880000000019</v>
      </c>
      <c r="F216" s="641">
        <f>F209+SUM(F211:F215)</f>
        <v>87024.400000000009</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32" ht="13.5" thickTop="1">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32" s="17" customFormat="1">
      <c r="A218" s="56"/>
      <c r="E218" s="53"/>
      <c r="AD218" s="346"/>
      <c r="AE218" s="346"/>
      <c r="AF218" s="636"/>
    </row>
    <row r="219" spans="1:3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32" hidden="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32" hidden="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32" hidden="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32"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32"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5" hidden="1">
      <c r="B246" s="213"/>
      <c r="C246" s="18"/>
      <c r="D246" s="18"/>
      <c r="E246" s="18"/>
      <c r="F246" s="215"/>
      <c r="G246" s="18"/>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2.6" hidden="1" customHeight="1">
      <c r="B247" s="213" t="s">
        <v>196</v>
      </c>
      <c r="C247" s="214"/>
      <c r="D247" s="214">
        <f>$C$58+$C$59-D249</f>
        <v>0</v>
      </c>
      <c r="E247" s="18"/>
      <c r="F247" s="215" t="s">
        <v>197</v>
      </c>
      <c r="G247" s="18"/>
      <c r="H247" s="18"/>
      <c r="I247" s="18"/>
      <c r="J247" s="18"/>
      <c r="K247" s="18"/>
      <c r="L247" s="18"/>
      <c r="M247" s="18"/>
      <c r="N247" s="17"/>
      <c r="O247" s="17"/>
      <c r="P247" s="17"/>
      <c r="Q247" s="17"/>
      <c r="R247" s="17"/>
      <c r="S247" s="17"/>
      <c r="T247" s="17"/>
      <c r="U247" s="17"/>
      <c r="V247" s="17"/>
      <c r="W247" s="17"/>
      <c r="X247" s="17"/>
      <c r="Y247" s="17"/>
      <c r="Z247" s="17"/>
      <c r="AA247" s="17"/>
      <c r="AB247" s="17"/>
      <c r="AC247" s="17"/>
    </row>
    <row r="248" spans="1:29" ht="14.25" hidden="1" customHeight="1">
      <c r="B248" s="216" t="s">
        <v>64</v>
      </c>
      <c r="C248" s="18">
        <f>($C$58+$C$59-663)/113.8*13.8</f>
        <v>-80.398945518453431</v>
      </c>
      <c r="D248" s="18"/>
      <c r="E248" s="7"/>
      <c r="F248" s="393" t="s">
        <v>397</v>
      </c>
      <c r="G248" s="18"/>
      <c r="H248" s="18"/>
      <c r="I248" s="18"/>
      <c r="J248" s="18"/>
      <c r="K248" s="18"/>
      <c r="L248" s="18"/>
      <c r="M248" s="18"/>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8"/>
      <c r="I249" s="18"/>
      <c r="J249" s="18"/>
      <c r="K249" s="18"/>
      <c r="L249" s="18"/>
      <c r="M249" s="18"/>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8"/>
      <c r="I250" s="18"/>
      <c r="J250" s="18"/>
      <c r="K250" s="18"/>
      <c r="L250" s="18"/>
      <c r="M250" s="18"/>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8"/>
      <c r="I251" s="18"/>
      <c r="J251" s="18"/>
      <c r="K251" s="18"/>
      <c r="L251" s="18"/>
      <c r="M251" s="18"/>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8"/>
      <c r="I252" s="18"/>
      <c r="J252" s="18"/>
      <c r="K252" s="18"/>
      <c r="L252" s="18"/>
      <c r="M252" s="18"/>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8"/>
      <c r="I253" s="18"/>
      <c r="J253" s="18"/>
      <c r="K253" s="18"/>
      <c r="L253" s="18"/>
      <c r="M253" s="18"/>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8"/>
      <c r="I254" s="18"/>
      <c r="J254" s="18"/>
      <c r="K254" s="18"/>
      <c r="L254" s="18"/>
      <c r="M254" s="18"/>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8"/>
      <c r="I255" s="18"/>
      <c r="J255" s="18"/>
      <c r="K255" s="18"/>
      <c r="L255" s="18"/>
      <c r="M255" s="18"/>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8"/>
      <c r="I256" s="18"/>
      <c r="J256" s="18"/>
      <c r="K256" s="18"/>
      <c r="L256" s="18"/>
      <c r="M256" s="18"/>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8"/>
      <c r="I257" s="18"/>
      <c r="J257" s="18"/>
      <c r="K257" s="18"/>
      <c r="L257" s="18"/>
      <c r="M257" s="18"/>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8"/>
      <c r="I258" s="18"/>
      <c r="J258" s="18"/>
      <c r="K258" s="18"/>
      <c r="L258" s="18"/>
      <c r="M258" s="18"/>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8"/>
      <c r="I259" s="18"/>
      <c r="J259" s="18"/>
      <c r="K259" s="18"/>
      <c r="L259" s="18"/>
      <c r="M259" s="18"/>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8"/>
      <c r="I260" s="18"/>
      <c r="J260" s="18"/>
      <c r="K260" s="18"/>
      <c r="L260" s="18"/>
      <c r="M260" s="18"/>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c r="H261" s="18"/>
      <c r="I261" s="18"/>
      <c r="J261" s="18"/>
      <c r="K261" s="18"/>
      <c r="L261" s="18"/>
      <c r="M261" s="18"/>
      <c r="N261" s="17"/>
      <c r="O261" s="17"/>
      <c r="P261" s="17"/>
      <c r="Q261" s="17"/>
      <c r="R261" s="17"/>
      <c r="S261" s="17"/>
      <c r="T261" s="17"/>
      <c r="U261" s="17"/>
      <c r="V261" s="17"/>
      <c r="W261" s="17"/>
      <c r="X261" s="17"/>
      <c r="Y261" s="17"/>
      <c r="Z261" s="17"/>
      <c r="AA261" s="17"/>
      <c r="AB261" s="17"/>
      <c r="AC261" s="17"/>
    </row>
    <row r="262" spans="1:29" ht="15" hidden="1">
      <c r="B262" s="216"/>
      <c r="C262" s="214">
        <v>0</v>
      </c>
      <c r="D262" s="214">
        <f>MAX(C261:C262)</f>
        <v>0</v>
      </c>
      <c r="E262" s="220"/>
      <c r="H262" s="18"/>
      <c r="I262" s="18"/>
      <c r="J262" s="18"/>
      <c r="K262" s="18"/>
      <c r="L262" s="18"/>
      <c r="M262" s="18"/>
      <c r="N262" s="17"/>
      <c r="O262" s="17"/>
      <c r="P262" s="17"/>
      <c r="Q262" s="17"/>
      <c r="R262" s="17"/>
      <c r="S262" s="17"/>
      <c r="T262" s="17"/>
      <c r="U262" s="17"/>
      <c r="V262" s="17"/>
      <c r="W262" s="17"/>
      <c r="X262" s="17"/>
      <c r="Y262" s="17"/>
      <c r="Z262" s="17"/>
      <c r="AA262" s="17"/>
      <c r="AB262" s="17"/>
      <c r="AC262" s="17"/>
    </row>
    <row r="263" spans="1:29" ht="15" hidden="1">
      <c r="B263" s="216" t="s">
        <v>203</v>
      </c>
      <c r="C263" s="329">
        <v>0</v>
      </c>
      <c r="D263" s="329">
        <v>0</v>
      </c>
      <c r="E263" s="220"/>
    </row>
    <row r="264" spans="1:29" ht="15" hidden="1">
      <c r="B264" s="330" t="s">
        <v>204</v>
      </c>
      <c r="C264" s="20"/>
      <c r="E264" s="219">
        <f>D263+D262+D260+D258+D256</f>
        <v>0</v>
      </c>
    </row>
    <row r="265" spans="1:29" ht="15.75" hidden="1" thickBot="1">
      <c r="B265" s="330" t="s">
        <v>69</v>
      </c>
      <c r="C265" s="20"/>
      <c r="E265" s="331">
        <f>E254+E264</f>
        <v>0</v>
      </c>
    </row>
    <row r="266" spans="1:29" ht="13.5" hidden="1" thickTop="1"/>
    <row r="267" spans="1:29" hidden="1"/>
    <row r="268" spans="1:29" ht="15" hidden="1">
      <c r="A268" s="211" t="s">
        <v>318</v>
      </c>
      <c r="B268" s="17"/>
      <c r="D268" s="212"/>
      <c r="E268" s="17"/>
      <c r="F268" s="17"/>
    </row>
    <row r="269" spans="1:29" hidden="1">
      <c r="B269" s="18"/>
      <c r="C269" s="18"/>
      <c r="D269" s="18"/>
      <c r="E269" s="18"/>
      <c r="F269" s="18"/>
    </row>
    <row r="270" spans="1:29" ht="15" hidden="1">
      <c r="B270" s="213" t="s">
        <v>196</v>
      </c>
      <c r="C270" s="214"/>
      <c r="D270" s="214">
        <f>$C$58+$C$59-D272</f>
        <v>0</v>
      </c>
      <c r="E270" s="18"/>
      <c r="F270" s="215" t="s">
        <v>197</v>
      </c>
    </row>
    <row r="271" spans="1:29" hidden="1">
      <c r="B271" s="216" t="s">
        <v>64</v>
      </c>
      <c r="C271" s="18">
        <f>($C$58+$C$59-641)/113.8*13.8</f>
        <v>-77.7311072056239</v>
      </c>
      <c r="D271" s="18"/>
      <c r="E271" s="7"/>
      <c r="F271" s="393" t="s">
        <v>324</v>
      </c>
    </row>
    <row r="272" spans="1:29" hidden="1">
      <c r="B272" s="216"/>
      <c r="C272" s="214">
        <v>0</v>
      </c>
      <c r="D272" s="214">
        <f>MAX(C271:C272)</f>
        <v>0</v>
      </c>
      <c r="E272" s="7"/>
      <c r="F272" s="216"/>
    </row>
    <row r="273" spans="2:6" hidden="1">
      <c r="B273" s="216" t="s">
        <v>65</v>
      </c>
      <c r="C273" s="18">
        <f>IF((D248&lt;3454.17), ((D248-645)*0.12),((3539.58-645)*0.12))</f>
        <v>-77.399999999999991</v>
      </c>
      <c r="D273" s="18"/>
      <c r="E273" s="7"/>
      <c r="F273" s="393" t="s">
        <v>323</v>
      </c>
    </row>
    <row r="274" spans="2:6" hidden="1">
      <c r="B274" s="216"/>
      <c r="C274" s="214">
        <v>0</v>
      </c>
      <c r="D274" s="214">
        <f>MAX(C273:C274)</f>
        <v>0</v>
      </c>
      <c r="E274" s="7"/>
      <c r="F274" s="216"/>
    </row>
    <row r="275" spans="2:6" hidden="1">
      <c r="B275" s="216" t="s">
        <v>120</v>
      </c>
      <c r="C275" s="18">
        <f>(D248-3454.17)*0.02</f>
        <v>-69.083399999999997</v>
      </c>
      <c r="D275" s="18"/>
      <c r="E275" s="7"/>
      <c r="F275" s="393" t="s">
        <v>322</v>
      </c>
    </row>
    <row r="276" spans="2:6" hidden="1">
      <c r="B276" s="217"/>
      <c r="C276" s="214">
        <v>0</v>
      </c>
      <c r="D276" s="214">
        <f>MAX(C275:C276)</f>
        <v>0</v>
      </c>
      <c r="E276" s="7"/>
      <c r="F276" s="216"/>
    </row>
    <row r="277" spans="2:6" ht="15" hidden="1">
      <c r="B277" s="218" t="s">
        <v>198</v>
      </c>
      <c r="C277" s="71"/>
      <c r="D277" s="71"/>
      <c r="E277" s="219">
        <f>D276+D274+D272</f>
        <v>0</v>
      </c>
      <c r="F277" s="216"/>
    </row>
    <row r="278" spans="2:6" ht="15" hidden="1">
      <c r="D278" s="18"/>
      <c r="E278" s="220"/>
      <c r="F278" s="327" t="s">
        <v>210</v>
      </c>
    </row>
    <row r="279" spans="2:6" ht="15" hidden="1">
      <c r="B279" s="217" t="s">
        <v>199</v>
      </c>
      <c r="C279" s="328">
        <f>IF((D248&lt;12500),0,((D248-12500)*0.45))</f>
        <v>0</v>
      </c>
      <c r="D279" s="214">
        <f>C279</f>
        <v>0</v>
      </c>
      <c r="E279" s="220"/>
      <c r="F279" s="216"/>
    </row>
    <row r="280" spans="2:6" ht="15" hidden="1">
      <c r="B280" s="217" t="s">
        <v>200</v>
      </c>
      <c r="C280" s="20">
        <f>IF((D248&lt;12500),(((D248-8333.33)*0.4)+(786.67*0.4)),(((12500-8333.33)*0.4)+(786.67*0.4)))</f>
        <v>-3018.6640000000002</v>
      </c>
      <c r="D280" s="18"/>
      <c r="E280" s="220"/>
      <c r="F280" s="327" t="s">
        <v>209</v>
      </c>
    </row>
    <row r="281" spans="2:6" ht="15" hidden="1">
      <c r="B281" s="217"/>
      <c r="C281" s="214">
        <v>0</v>
      </c>
      <c r="D281" s="214">
        <f>MAX(C280:C281)</f>
        <v>0</v>
      </c>
      <c r="E281" s="220"/>
      <c r="F281" s="217"/>
    </row>
    <row r="282" spans="2:6" ht="15" hidden="1">
      <c r="B282" s="216" t="s">
        <v>201</v>
      </c>
      <c r="C282" s="20">
        <f>IF((D248&lt;8333.33),((D248-3454.17)*0.4),((8333.33-3454.17)*0.4))</f>
        <v>-1381.6680000000001</v>
      </c>
      <c r="D282" s="18"/>
      <c r="E282" s="220"/>
      <c r="F282" s="393" t="s">
        <v>321</v>
      </c>
    </row>
    <row r="283" spans="2:6" ht="15" hidden="1">
      <c r="B283" s="216"/>
      <c r="C283" s="214">
        <v>0</v>
      </c>
      <c r="D283" s="214">
        <f>MAX(C282:C283)</f>
        <v>0</v>
      </c>
      <c r="E283" s="220"/>
      <c r="F283" s="393" t="s">
        <v>320</v>
      </c>
    </row>
    <row r="284" spans="2:6" ht="15" hidden="1">
      <c r="B284" s="216" t="s">
        <v>202</v>
      </c>
      <c r="C284" s="20">
        <f>IF((D248&lt;3454.17),((D248-786.67)*0.2),(2667.5*0.2))</f>
        <v>-157.334</v>
      </c>
      <c r="D284" s="18"/>
      <c r="E284" s="221"/>
      <c r="F284" s="393" t="s">
        <v>319</v>
      </c>
    </row>
    <row r="285" spans="2:6" ht="15" hidden="1">
      <c r="B285" s="216"/>
      <c r="C285" s="214">
        <v>0</v>
      </c>
      <c r="D285" s="214">
        <f>MAX(C284:C285)</f>
        <v>0</v>
      </c>
      <c r="E285" s="220"/>
    </row>
    <row r="286" spans="2:6" ht="15" hidden="1">
      <c r="B286" s="216" t="s">
        <v>203</v>
      </c>
      <c r="C286" s="329">
        <v>0</v>
      </c>
      <c r="D286" s="329">
        <v>0</v>
      </c>
      <c r="E286" s="220"/>
    </row>
    <row r="287" spans="2:6" ht="15" hidden="1">
      <c r="B287" s="330" t="s">
        <v>204</v>
      </c>
      <c r="C287" s="20"/>
      <c r="E287" s="219">
        <f>D286+D285+D283+D281+D279</f>
        <v>0</v>
      </c>
    </row>
    <row r="288" spans="2:6"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sheetData>
  <sheetProtection password="CE8E" sheet="1" objects="1" scenarios="1"/>
  <phoneticPr fontId="0" type="noConversion"/>
  <conditionalFormatting sqref="G79 G96:G196">
    <cfRule type="expression" dxfId="256" priority="39" stopIfTrue="1">
      <formula>$E$12&gt;0</formula>
    </cfRule>
  </conditionalFormatting>
  <conditionalFormatting sqref="G79 G96:G196">
    <cfRule type="expression" dxfId="255" priority="40" stopIfTrue="1">
      <formula>$E$12&gt;0</formula>
    </cfRule>
    <cfRule type="expression" priority="41" stopIfTrue="1">
      <formula>$E$12 &gt;0</formula>
    </cfRule>
  </conditionalFormatting>
  <conditionalFormatting sqref="G79 G96:G196">
    <cfRule type="expression" dxfId="254" priority="38" stopIfTrue="1">
      <formula>"e12&gt;0"</formula>
    </cfRule>
  </conditionalFormatting>
  <conditionalFormatting sqref="G94:G95">
    <cfRule type="expression" dxfId="253" priority="35" stopIfTrue="1">
      <formula>$E$12&gt;0</formula>
    </cfRule>
  </conditionalFormatting>
  <conditionalFormatting sqref="G94:G95">
    <cfRule type="expression" dxfId="252" priority="36" stopIfTrue="1">
      <formula>$E$12&gt;0</formula>
    </cfRule>
    <cfRule type="expression" priority="37" stopIfTrue="1">
      <formula>$E$12 &gt;0</formula>
    </cfRule>
  </conditionalFormatting>
  <conditionalFormatting sqref="G94:G95">
    <cfRule type="expression" dxfId="251" priority="34" stopIfTrue="1">
      <formula>"e12&gt;0"</formula>
    </cfRule>
  </conditionalFormatting>
  <conditionalFormatting sqref="G93">
    <cfRule type="expression" dxfId="250" priority="31" stopIfTrue="1">
      <formula>$E$12&gt;0</formula>
    </cfRule>
  </conditionalFormatting>
  <conditionalFormatting sqref="G93">
    <cfRule type="expression" dxfId="249" priority="32" stopIfTrue="1">
      <formula>$E$12&gt;0</formula>
    </cfRule>
    <cfRule type="expression" priority="33" stopIfTrue="1">
      <formula>$E$12 &gt;0</formula>
    </cfRule>
  </conditionalFormatting>
  <conditionalFormatting sqref="G93">
    <cfRule type="expression" dxfId="248" priority="30" stopIfTrue="1">
      <formula>"e12&gt;0"</formula>
    </cfRule>
  </conditionalFormatting>
  <conditionalFormatting sqref="G91">
    <cfRule type="expression" dxfId="247" priority="28" stopIfTrue="1">
      <formula>$E$12&gt;0</formula>
    </cfRule>
    <cfRule type="expression" priority="29" stopIfTrue="1">
      <formula>$E$12 &gt;0</formula>
    </cfRule>
  </conditionalFormatting>
  <conditionalFormatting sqref="G91">
    <cfRule type="expression" dxfId="246" priority="27" stopIfTrue="1">
      <formula>$E$12&gt;0</formula>
    </cfRule>
  </conditionalFormatting>
  <conditionalFormatting sqref="G91">
    <cfRule type="expression" dxfId="245" priority="26" stopIfTrue="1">
      <formula>"e12&gt;0"</formula>
    </cfRule>
  </conditionalFormatting>
  <conditionalFormatting sqref="G90">
    <cfRule type="expression" dxfId="244" priority="24" stopIfTrue="1">
      <formula>$E$12&gt;0</formula>
    </cfRule>
    <cfRule type="expression" priority="25" stopIfTrue="1">
      <formula>$E$12 &gt;0</formula>
    </cfRule>
  </conditionalFormatting>
  <conditionalFormatting sqref="G90">
    <cfRule type="expression" dxfId="243" priority="23" stopIfTrue="1">
      <formula>$E$12&gt;0</formula>
    </cfRule>
  </conditionalFormatting>
  <conditionalFormatting sqref="G90">
    <cfRule type="expression" dxfId="242" priority="22" stopIfTrue="1">
      <formula>"e12&gt;0"</formula>
    </cfRule>
  </conditionalFormatting>
  <conditionalFormatting sqref="G80:G82 G87:G88">
    <cfRule type="expression" dxfId="241" priority="15">
      <formula>$E$12&gt;0</formula>
    </cfRule>
  </conditionalFormatting>
  <conditionalFormatting sqref="G80:G82 G87:G88">
    <cfRule type="expression" dxfId="240" priority="16">
      <formula>$E$12&gt;0</formula>
    </cfRule>
  </conditionalFormatting>
  <conditionalFormatting sqref="G80:G82 G87:G88">
    <cfRule type="expression" dxfId="239" priority="17">
      <formula>"e12&gt;0"</formula>
    </cfRule>
  </conditionalFormatting>
  <conditionalFormatting sqref="G80:G82 G87:G88">
    <cfRule type="expression" dxfId="238" priority="18">
      <formula>$E$12&gt;0</formula>
    </cfRule>
  </conditionalFormatting>
  <conditionalFormatting sqref="G80:G82 G87:G88">
    <cfRule type="expression" dxfId="237" priority="19">
      <formula>$E$12</formula>
    </cfRule>
  </conditionalFormatting>
  <conditionalFormatting sqref="G80:G82 G87:G88">
    <cfRule type="expression" dxfId="236" priority="20">
      <formula>$E$12</formula>
    </cfRule>
  </conditionalFormatting>
  <conditionalFormatting sqref="G80:G82 G87:G88">
    <cfRule type="expression" dxfId="235" priority="21">
      <formula>"e12&gt;0"</formula>
    </cfRule>
  </conditionalFormatting>
  <conditionalFormatting sqref="G89">
    <cfRule type="expression" dxfId="234" priority="12">
      <formula>$E$12&gt;0</formula>
    </cfRule>
  </conditionalFormatting>
  <conditionalFormatting sqref="G89">
    <cfRule type="expression" dxfId="233" priority="13">
      <formula>$E$12&gt;0</formula>
    </cfRule>
  </conditionalFormatting>
  <conditionalFormatting sqref="G89">
    <cfRule type="expression" dxfId="232" priority="14">
      <formula>"e12&gt;0"</formula>
    </cfRule>
  </conditionalFormatting>
  <conditionalFormatting sqref="G83:G86">
    <cfRule type="expression" dxfId="231" priority="5">
      <formula>$E$12&gt;0</formula>
    </cfRule>
  </conditionalFormatting>
  <conditionalFormatting sqref="G83:G86">
    <cfRule type="expression" dxfId="230" priority="6">
      <formula>$E$12&gt;0</formula>
    </cfRule>
  </conditionalFormatting>
  <conditionalFormatting sqref="G83:G86">
    <cfRule type="expression" dxfId="229" priority="7">
      <formula>"e12&gt;0"</formula>
    </cfRule>
  </conditionalFormatting>
  <conditionalFormatting sqref="G83:G86">
    <cfRule type="expression" dxfId="228" priority="8">
      <formula>$E$12&gt;0</formula>
    </cfRule>
  </conditionalFormatting>
  <conditionalFormatting sqref="G83:G86">
    <cfRule type="expression" dxfId="227" priority="9">
      <formula>$E$12</formula>
    </cfRule>
  </conditionalFormatting>
  <conditionalFormatting sqref="G83:G86">
    <cfRule type="expression" dxfId="226" priority="10">
      <formula>$E$12</formula>
    </cfRule>
  </conditionalFormatting>
  <conditionalFormatting sqref="G83:G86">
    <cfRule type="expression" dxfId="225" priority="11">
      <formula>"e12&gt;0"</formula>
    </cfRule>
  </conditionalFormatting>
  <conditionalFormatting sqref="G92">
    <cfRule type="expression" dxfId="224" priority="2" stopIfTrue="1">
      <formula>$E$12&gt;0</formula>
    </cfRule>
  </conditionalFormatting>
  <conditionalFormatting sqref="G92">
    <cfRule type="expression" dxfId="223" priority="3" stopIfTrue="1">
      <formula>$E$12&gt;0</formula>
    </cfRule>
    <cfRule type="expression" priority="4" stopIfTrue="1">
      <formula>$E$12 &gt;0</formula>
    </cfRule>
  </conditionalFormatting>
  <conditionalFormatting sqref="G92">
    <cfRule type="expression" dxfId="222" priority="1" stopIfTrue="1">
      <formula>"e12&gt;0"</formula>
    </cfRule>
  </conditionalFormatting>
  <pageMargins left="0.74803149606299213" right="0.74803149606299213" top="0.98425196850393704" bottom="0.98425196850393704" header="0.51181102362204722" footer="0.51181102362204722"/>
  <pageSetup paperSize="9" scale="47" fitToHeight="4" orientation="landscape" horizontalDpi="300" verticalDpi="300" r:id="rId1"/>
  <headerFooter alignWithMargins="0">
    <oddFooter>&amp;C&amp;"Bodoni Bd BT,Bold Italic"&amp;9Page &amp;P of &amp;N</oddFooter>
  </headerFooter>
  <ignoredErrors>
    <ignoredError sqref="E216:F216 D41:E52 B41 E9 E11:E1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3332" r:id="rId4" name="Check Box 20">
              <controlPr defaultSize="0" autoFill="0" autoLine="0" autoPict="0">
                <anchor moveWithCells="1">
                  <from>
                    <xdr:col>6</xdr:col>
                    <xdr:colOff>57150</xdr:colOff>
                    <xdr:row>214</xdr:row>
                    <xdr:rowOff>142875</xdr:rowOff>
                  </from>
                  <to>
                    <xdr:col>7</xdr:col>
                    <xdr:colOff>552450</xdr:colOff>
                    <xdr:row>216</xdr:row>
                    <xdr:rowOff>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BE294"/>
  <sheetViews>
    <sheetView showZeros="0" topLeftCell="A5" zoomScale="70" zoomScaleNormal="70" workbookViewId="0">
      <pane xSplit="7" topLeftCell="H1" activePane="topRight" state="frozen"/>
      <selection activeCell="L49" sqref="L49"/>
      <selection pane="topRight" activeCell="L96" sqref="L96"/>
    </sheetView>
  </sheetViews>
  <sheetFormatPr defaultColWidth="0" defaultRowHeight="12.75"/>
  <cols>
    <col min="1" max="1" width="10.7109375" style="7" customWidth="1"/>
    <col min="2" max="2" width="25.7109375" style="7" customWidth="1"/>
    <col min="3" max="3" width="17.7109375" style="7" customWidth="1"/>
    <col min="4"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1" width="10.42578125" style="629" hidden="1" customWidth="1"/>
    <col min="32" max="32" width="12.7109375" style="634" customWidth="1"/>
    <col min="33" max="33" width="17.140625" style="7" hidden="1" customWidth="1"/>
    <col min="34" max="16384" width="0" style="7" hidden="1"/>
  </cols>
  <sheetData>
    <row r="1" spans="1:29" ht="13.5" thickBot="1"/>
    <row r="2" spans="1:29" ht="29.45" customHeight="1" thickBot="1">
      <c r="A2" s="81" t="str">
        <f>'Nov 17'!A2</f>
        <v>Design-spectrum Limited</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86" t="s">
        <v>84</v>
      </c>
      <c r="B4" s="87"/>
      <c r="C4" s="85">
        <f>'Apr 18'!C4+31</f>
        <v>43226</v>
      </c>
      <c r="F4" s="21"/>
      <c r="G4" s="21"/>
      <c r="H4" s="21"/>
      <c r="I4" s="21"/>
      <c r="J4" s="21"/>
      <c r="K4" s="21"/>
      <c r="L4" s="21"/>
      <c r="M4" s="21"/>
      <c r="N4" s="21"/>
      <c r="O4" s="21"/>
      <c r="P4" s="21"/>
      <c r="Q4" s="22"/>
      <c r="R4" s="22"/>
      <c r="S4" s="22"/>
      <c r="T4" s="22"/>
      <c r="U4" s="22"/>
      <c r="V4" s="22"/>
      <c r="W4" s="22"/>
      <c r="X4" s="22"/>
      <c r="Y4" s="22"/>
      <c r="Z4" s="22"/>
      <c r="AA4" s="22"/>
      <c r="AB4" s="22"/>
      <c r="AC4" s="22"/>
    </row>
    <row r="6" spans="1:29" ht="13.5" thickBot="1"/>
    <row r="7" spans="1:29" ht="21" thickBot="1">
      <c r="A7" s="101" t="s">
        <v>0</v>
      </c>
      <c r="B7" s="102"/>
      <c r="C7" s="102"/>
      <c r="D7" s="102"/>
      <c r="E7" s="102"/>
      <c r="F7" s="102"/>
      <c r="G7" s="103"/>
      <c r="H7" s="23"/>
      <c r="I7" s="101" t="s">
        <v>211</v>
      </c>
      <c r="J7" s="102"/>
      <c r="K7" s="102"/>
      <c r="L7" s="103"/>
      <c r="M7" s="7"/>
    </row>
    <row r="8" spans="1:29" ht="13.5" thickBot="1">
      <c r="A8" s="24"/>
      <c r="B8" s="24"/>
      <c r="C8" s="24"/>
      <c r="D8" s="5"/>
      <c r="E8" s="5"/>
      <c r="F8" s="5"/>
      <c r="G8" s="5"/>
      <c r="H8" s="5"/>
      <c r="I8" s="5"/>
      <c r="J8" s="5"/>
      <c r="K8" s="5"/>
      <c r="L8" s="5"/>
      <c r="M8" s="5"/>
    </row>
    <row r="9" spans="1:29" ht="15.75" thickBot="1">
      <c r="A9" s="25" t="s">
        <v>2</v>
      </c>
      <c r="B9" s="24"/>
      <c r="C9" s="24"/>
      <c r="D9" s="26"/>
      <c r="E9" s="334" t="str">
        <f>'Apr 18'!E9</f>
        <v>n</v>
      </c>
      <c r="F9" s="5">
        <f>IF(E9="Both","enter sales invoices manually at row 30 onwards",0)</f>
        <v>0</v>
      </c>
      <c r="G9" s="5"/>
      <c r="H9" s="5"/>
      <c r="I9" s="5"/>
      <c r="J9" s="5"/>
      <c r="K9" s="5"/>
      <c r="L9" s="5"/>
      <c r="M9" s="5"/>
    </row>
    <row r="10" spans="1:29" ht="15.75" thickBot="1">
      <c r="A10" s="24"/>
      <c r="B10" s="24"/>
      <c r="C10" s="24"/>
      <c r="E10" s="27"/>
      <c r="F10" s="5"/>
      <c r="G10" s="5"/>
      <c r="H10" s="5"/>
      <c r="I10" s="5"/>
      <c r="J10" s="5"/>
      <c r="K10" s="5"/>
      <c r="L10" s="5"/>
      <c r="M10" s="5"/>
    </row>
    <row r="11" spans="1:29" ht="15.75" thickBot="1">
      <c r="A11" s="25" t="s">
        <v>4</v>
      </c>
      <c r="B11" s="24"/>
      <c r="C11" s="24"/>
      <c r="E11" s="334" t="str">
        <f>'Apr 18'!E11</f>
        <v>y</v>
      </c>
      <c r="F11" s="5"/>
      <c r="G11" s="5"/>
      <c r="H11" s="5"/>
      <c r="I11" s="5"/>
      <c r="J11" s="5"/>
      <c r="K11" s="65" t="s">
        <v>20</v>
      </c>
      <c r="L11" s="65"/>
      <c r="M11" s="5"/>
      <c r="N11" s="5"/>
      <c r="O11" s="14" t="s">
        <v>20</v>
      </c>
    </row>
    <row r="12" spans="1:29" ht="15.75" thickBot="1">
      <c r="A12" s="25" t="s">
        <v>306</v>
      </c>
      <c r="B12" s="24"/>
      <c r="C12" s="24"/>
      <c r="E12" s="335">
        <f>'Apr 18'!E12</f>
        <v>0.16500000000000001</v>
      </c>
      <c r="F12" s="5"/>
      <c r="G12" s="5"/>
      <c r="H12" s="5"/>
      <c r="I12" s="5"/>
      <c r="J12" s="5"/>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2"/>
      <c r="C16" s="33" t="s">
        <v>77</v>
      </c>
      <c r="D16" s="346">
        <f>'Apr 18'!D54</f>
        <v>0</v>
      </c>
      <c r="E16" s="346">
        <f>'Apr 18'!E54</f>
        <v>55000</v>
      </c>
      <c r="F16" s="346">
        <f>'Apr 18'!F54</f>
        <v>66000</v>
      </c>
      <c r="G16" s="259">
        <f>'Apr 18'!G54</f>
        <v>11000</v>
      </c>
      <c r="H16" s="34"/>
      <c r="I16" s="153" t="s">
        <v>20</v>
      </c>
      <c r="J16" s="152" t="s">
        <v>77</v>
      </c>
      <c r="K16" s="154"/>
      <c r="L16" s="486">
        <f>'Apr 18'!L54</f>
        <v>89100</v>
      </c>
      <c r="M16" s="263">
        <f>'Apr 18'!M54</f>
        <v>66.53</v>
      </c>
      <c r="N16" s="263">
        <f>'Apr 18'!N54</f>
        <v>0</v>
      </c>
      <c r="O16" s="263">
        <f>'Apr 18'!O54</f>
        <v>50488.86</v>
      </c>
      <c r="P16" s="257">
        <f>'Apr 18'!P54</f>
        <v>-53.819999999999993</v>
      </c>
      <c r="Q16" s="17"/>
    </row>
    <row r="17" spans="1:16">
      <c r="A17" s="555"/>
      <c r="B17" s="548"/>
      <c r="C17" s="256" t="s">
        <v>489</v>
      </c>
      <c r="D17" s="346">
        <f>IF(E$9="y",F17-G17,0)</f>
        <v>0</v>
      </c>
      <c r="E17" s="346">
        <f>IF(E$9="n",F17-G17,0)</f>
        <v>0</v>
      </c>
      <c r="F17" s="558"/>
      <c r="G17" s="551">
        <f>IF(($E$11="n"),0,IF((LEFT(C17,1)="v"),F17,IF((LEFT(C17,1)="z"),0,F17*1/6)))</f>
        <v>0</v>
      </c>
      <c r="H17" s="34"/>
      <c r="I17" s="560"/>
      <c r="J17" s="763"/>
      <c r="K17" s="763"/>
      <c r="L17" s="763"/>
      <c r="M17" s="763"/>
      <c r="N17" s="762"/>
      <c r="O17" s="762"/>
      <c r="P17" s="762"/>
    </row>
    <row r="18" spans="1:16">
      <c r="A18" s="555"/>
      <c r="B18" s="1"/>
      <c r="C18" s="2"/>
      <c r="D18" s="346">
        <f t="shared" ref="D18:D52" si="0">IF(E$9="y",F18-G18,0)</f>
        <v>0</v>
      </c>
      <c r="E18" s="346">
        <f t="shared" ref="E18:E52" si="1">IF(E$9="n",F18-G18,0)</f>
        <v>0</v>
      </c>
      <c r="F18" s="558"/>
      <c r="G18" s="551">
        <f t="shared" ref="G18:G52" si="2">IF(($E$11="n"),0,IF((LEFT(C18,1)="v"),F18,IF((LEFT(C18,1)="z"),0,F18*1/6)))</f>
        <v>0</v>
      </c>
      <c r="H18" s="34"/>
      <c r="I18" s="560"/>
      <c r="J18" s="763"/>
      <c r="K18" s="763"/>
      <c r="L18" s="763"/>
      <c r="M18" s="763"/>
      <c r="N18" s="762"/>
      <c r="O18" s="762"/>
      <c r="P18" s="762"/>
    </row>
    <row r="19" spans="1:16">
      <c r="A19" s="555"/>
      <c r="B19" s="1"/>
      <c r="C19" s="2"/>
      <c r="D19" s="346">
        <f t="shared" si="0"/>
        <v>0</v>
      </c>
      <c r="E19" s="346">
        <f t="shared" si="1"/>
        <v>0</v>
      </c>
      <c r="F19" s="558"/>
      <c r="G19" s="551">
        <f t="shared" si="2"/>
        <v>0</v>
      </c>
      <c r="H19" s="34"/>
      <c r="I19" s="560"/>
      <c r="J19" s="565"/>
      <c r="K19" s="567"/>
      <c r="L19" s="585"/>
      <c r="M19" s="562"/>
      <c r="N19" s="562"/>
      <c r="O19" s="562"/>
      <c r="P19" s="563"/>
    </row>
    <row r="20" spans="1:16">
      <c r="A20" s="555"/>
      <c r="B20" s="1"/>
      <c r="C20" s="2"/>
      <c r="D20" s="346">
        <f t="shared" si="0"/>
        <v>0</v>
      </c>
      <c r="E20" s="346">
        <f t="shared" si="1"/>
        <v>0</v>
      </c>
      <c r="F20" s="558"/>
      <c r="G20" s="551">
        <f t="shared" si="2"/>
        <v>0</v>
      </c>
      <c r="H20" s="34"/>
      <c r="I20" s="560"/>
      <c r="J20" s="565"/>
      <c r="K20" s="567"/>
      <c r="L20" s="585"/>
      <c r="M20" s="562"/>
      <c r="N20" s="562"/>
      <c r="O20" s="562"/>
      <c r="P20" s="563"/>
    </row>
    <row r="21" spans="1:16">
      <c r="A21" s="555"/>
      <c r="B21" s="1"/>
      <c r="C21" s="2"/>
      <c r="D21" s="346">
        <f t="shared" si="0"/>
        <v>0</v>
      </c>
      <c r="E21" s="346">
        <f t="shared" si="1"/>
        <v>0</v>
      </c>
      <c r="F21" s="558"/>
      <c r="G21" s="551">
        <f t="shared" si="2"/>
        <v>0</v>
      </c>
      <c r="H21" s="34"/>
      <c r="I21" s="560"/>
      <c r="J21" s="565"/>
      <c r="K21" s="567"/>
      <c r="L21" s="585"/>
      <c r="M21" s="562"/>
      <c r="N21" s="562"/>
      <c r="O21" s="562"/>
      <c r="P21" s="563">
        <v>2.42</v>
      </c>
    </row>
    <row r="22" spans="1:16">
      <c r="A22" s="555"/>
      <c r="B22" s="1"/>
      <c r="C22" s="2"/>
      <c r="D22" s="346">
        <f t="shared" si="0"/>
        <v>0</v>
      </c>
      <c r="E22" s="346">
        <f t="shared" si="1"/>
        <v>0</v>
      </c>
      <c r="F22" s="558"/>
      <c r="G22" s="551">
        <f t="shared" si="2"/>
        <v>0</v>
      </c>
      <c r="H22" s="34"/>
      <c r="I22" s="560"/>
      <c r="J22" s="565"/>
      <c r="K22" s="567"/>
      <c r="L22" s="585"/>
      <c r="M22" s="562"/>
      <c r="N22" s="562"/>
      <c r="O22" s="562"/>
      <c r="P22" s="563"/>
    </row>
    <row r="23" spans="1:16">
      <c r="A23" s="555"/>
      <c r="B23" s="1"/>
      <c r="C23" s="2"/>
      <c r="D23" s="346">
        <f t="shared" si="0"/>
        <v>0</v>
      </c>
      <c r="E23" s="346">
        <f t="shared" si="1"/>
        <v>0</v>
      </c>
      <c r="F23" s="558"/>
      <c r="G23" s="551">
        <f t="shared" si="2"/>
        <v>0</v>
      </c>
      <c r="H23" s="34"/>
      <c r="I23" s="560"/>
      <c r="J23" s="565"/>
      <c r="K23" s="567"/>
      <c r="L23" s="585"/>
      <c r="M23" s="562"/>
      <c r="N23" s="562"/>
      <c r="O23" s="562"/>
      <c r="P23" s="563"/>
    </row>
    <row r="24" spans="1:16">
      <c r="A24" s="555"/>
      <c r="B24" s="1"/>
      <c r="C24" s="2"/>
      <c r="D24" s="346">
        <f t="shared" si="0"/>
        <v>0</v>
      </c>
      <c r="E24" s="346">
        <f t="shared" si="1"/>
        <v>0</v>
      </c>
      <c r="F24" s="558"/>
      <c r="G24" s="551">
        <f t="shared" si="2"/>
        <v>0</v>
      </c>
      <c r="H24" s="34"/>
      <c r="I24" s="560"/>
      <c r="J24" s="565"/>
      <c r="K24" s="567"/>
      <c r="L24" s="585"/>
      <c r="M24" s="562"/>
      <c r="N24" s="562"/>
      <c r="O24" s="562"/>
      <c r="P24" s="563"/>
    </row>
    <row r="25" spans="1:16">
      <c r="A25" s="555"/>
      <c r="B25" s="1"/>
      <c r="C25" s="2"/>
      <c r="D25" s="346">
        <f t="shared" si="0"/>
        <v>0</v>
      </c>
      <c r="E25" s="346">
        <f t="shared" si="1"/>
        <v>0</v>
      </c>
      <c r="F25" s="558"/>
      <c r="G25" s="551">
        <f t="shared" si="2"/>
        <v>0</v>
      </c>
      <c r="H25" s="34"/>
      <c r="I25" s="560"/>
      <c r="J25" s="565"/>
      <c r="K25" s="567"/>
      <c r="L25" s="585"/>
      <c r="M25" s="562"/>
      <c r="N25" s="562"/>
      <c r="O25" s="562"/>
      <c r="P25" s="563"/>
    </row>
    <row r="26" spans="1:16">
      <c r="A26" s="555"/>
      <c r="B26" s="1"/>
      <c r="C26" s="2"/>
      <c r="D26" s="346">
        <f t="shared" si="0"/>
        <v>0</v>
      </c>
      <c r="E26" s="346">
        <f t="shared" si="1"/>
        <v>0</v>
      </c>
      <c r="F26" s="558"/>
      <c r="G26" s="551">
        <f t="shared" si="2"/>
        <v>0</v>
      </c>
      <c r="H26" s="34"/>
      <c r="I26" s="560"/>
      <c r="J26" s="565"/>
      <c r="K26" s="567"/>
      <c r="L26" s="585"/>
      <c r="M26" s="562"/>
      <c r="N26" s="562"/>
      <c r="O26" s="562"/>
      <c r="P26" s="563"/>
    </row>
    <row r="27" spans="1:16">
      <c r="A27" s="555"/>
      <c r="B27" s="1"/>
      <c r="C27" s="2"/>
      <c r="D27" s="346">
        <f t="shared" si="0"/>
        <v>0</v>
      </c>
      <c r="E27" s="346">
        <f t="shared" si="1"/>
        <v>0</v>
      </c>
      <c r="F27" s="558"/>
      <c r="G27" s="551">
        <f t="shared" si="2"/>
        <v>0</v>
      </c>
      <c r="H27" s="34"/>
      <c r="I27" s="560"/>
      <c r="J27" s="565"/>
      <c r="K27" s="567"/>
      <c r="L27" s="585"/>
      <c r="M27" s="562"/>
      <c r="N27" s="562"/>
      <c r="O27" s="562"/>
      <c r="P27" s="563"/>
    </row>
    <row r="28" spans="1:16">
      <c r="A28" s="555"/>
      <c r="B28" s="1"/>
      <c r="C28" s="2"/>
      <c r="D28" s="346">
        <f t="shared" si="0"/>
        <v>0</v>
      </c>
      <c r="E28" s="346">
        <f t="shared" si="1"/>
        <v>0</v>
      </c>
      <c r="F28" s="558"/>
      <c r="G28" s="551">
        <f t="shared" si="2"/>
        <v>0</v>
      </c>
      <c r="H28" s="34"/>
      <c r="I28" s="560"/>
      <c r="J28" s="565"/>
      <c r="K28" s="567"/>
      <c r="L28" s="585"/>
      <c r="M28" s="562"/>
      <c r="N28" s="562"/>
      <c r="O28" s="562"/>
      <c r="P28" s="563"/>
    </row>
    <row r="29" spans="1:16">
      <c r="A29" s="555"/>
      <c r="B29" s="1"/>
      <c r="C29" s="2"/>
      <c r="D29" s="346">
        <f t="shared" si="0"/>
        <v>0</v>
      </c>
      <c r="E29" s="346">
        <f t="shared" si="1"/>
        <v>0</v>
      </c>
      <c r="F29" s="558"/>
      <c r="G29" s="551">
        <f t="shared" si="2"/>
        <v>0</v>
      </c>
      <c r="H29" s="34"/>
      <c r="I29" s="560"/>
      <c r="J29" s="565"/>
      <c r="K29" s="567"/>
      <c r="L29" s="585"/>
      <c r="M29" s="562"/>
      <c r="N29" s="562"/>
      <c r="O29" s="562"/>
      <c r="P29" s="563"/>
    </row>
    <row r="30" spans="1:16">
      <c r="A30" s="555"/>
      <c r="B30" s="1"/>
      <c r="C30" s="2"/>
      <c r="D30" s="346">
        <f t="shared" si="0"/>
        <v>0</v>
      </c>
      <c r="E30" s="346">
        <f t="shared" si="1"/>
        <v>0</v>
      </c>
      <c r="F30" s="558"/>
      <c r="G30" s="551">
        <f t="shared" si="2"/>
        <v>0</v>
      </c>
      <c r="H30" s="34"/>
      <c r="I30" s="560"/>
      <c r="J30" s="565"/>
      <c r="K30" s="567"/>
      <c r="L30" s="585"/>
      <c r="M30" s="562"/>
      <c r="N30" s="562"/>
      <c r="O30" s="562"/>
      <c r="P30" s="563"/>
    </row>
    <row r="31" spans="1:16">
      <c r="A31" s="555"/>
      <c r="B31" s="1"/>
      <c r="C31" s="2"/>
      <c r="D31" s="346">
        <f t="shared" si="0"/>
        <v>0</v>
      </c>
      <c r="E31" s="346">
        <f t="shared" si="1"/>
        <v>0</v>
      </c>
      <c r="F31" s="558"/>
      <c r="G31" s="551">
        <f t="shared" si="2"/>
        <v>0</v>
      </c>
      <c r="H31" s="34"/>
      <c r="I31" s="560"/>
      <c r="J31" s="565"/>
      <c r="K31" s="567"/>
      <c r="L31" s="585"/>
      <c r="M31" s="562"/>
      <c r="N31" s="562"/>
      <c r="O31" s="562"/>
      <c r="P31" s="563"/>
    </row>
    <row r="32" spans="1:16">
      <c r="A32" s="555"/>
      <c r="B32" s="1"/>
      <c r="C32" s="2"/>
      <c r="D32" s="346">
        <f t="shared" si="0"/>
        <v>0</v>
      </c>
      <c r="E32" s="346">
        <f t="shared" si="1"/>
        <v>0</v>
      </c>
      <c r="F32" s="558"/>
      <c r="G32" s="551">
        <f t="shared" si="2"/>
        <v>0</v>
      </c>
      <c r="H32" s="34"/>
      <c r="I32" s="560"/>
      <c r="J32" s="565"/>
      <c r="K32" s="567"/>
      <c r="L32" s="585"/>
      <c r="M32" s="562"/>
      <c r="N32" s="562"/>
      <c r="O32" s="562"/>
      <c r="P32" s="563"/>
    </row>
    <row r="33" spans="1:16">
      <c r="A33" s="555"/>
      <c r="B33" s="1"/>
      <c r="C33" s="2"/>
      <c r="D33" s="346">
        <f t="shared" si="0"/>
        <v>0</v>
      </c>
      <c r="E33" s="346">
        <f t="shared" si="1"/>
        <v>0</v>
      </c>
      <c r="F33" s="558"/>
      <c r="G33" s="551">
        <f t="shared" si="2"/>
        <v>0</v>
      </c>
      <c r="H33" s="34"/>
      <c r="I33" s="560"/>
      <c r="J33" s="565"/>
      <c r="K33" s="567"/>
      <c r="L33" s="585"/>
      <c r="M33" s="562"/>
      <c r="N33" s="562"/>
      <c r="O33" s="562"/>
      <c r="P33" s="563"/>
    </row>
    <row r="34" spans="1:16">
      <c r="A34" s="555"/>
      <c r="B34" s="1"/>
      <c r="C34" s="2"/>
      <c r="D34" s="346">
        <f t="shared" si="0"/>
        <v>0</v>
      </c>
      <c r="E34" s="346">
        <f t="shared" si="1"/>
        <v>0</v>
      </c>
      <c r="F34" s="558"/>
      <c r="G34" s="551">
        <f t="shared" si="2"/>
        <v>0</v>
      </c>
      <c r="H34" s="34"/>
      <c r="I34" s="560"/>
      <c r="J34" s="565"/>
      <c r="K34" s="567"/>
      <c r="L34" s="585"/>
      <c r="M34" s="562"/>
      <c r="N34" s="562"/>
      <c r="O34" s="562"/>
      <c r="P34" s="563"/>
    </row>
    <row r="35" spans="1:16">
      <c r="A35" s="555"/>
      <c r="B35" s="1"/>
      <c r="C35" s="2"/>
      <c r="D35" s="346">
        <f t="shared" si="0"/>
        <v>0</v>
      </c>
      <c r="E35" s="346">
        <f t="shared" si="1"/>
        <v>0</v>
      </c>
      <c r="F35" s="558"/>
      <c r="G35" s="551">
        <f t="shared" si="2"/>
        <v>0</v>
      </c>
      <c r="H35" s="34"/>
      <c r="I35" s="560"/>
      <c r="J35" s="565"/>
      <c r="K35" s="567"/>
      <c r="L35" s="585"/>
      <c r="M35" s="562"/>
      <c r="N35" s="562"/>
      <c r="O35" s="562"/>
      <c r="P35" s="563"/>
    </row>
    <row r="36" spans="1:16">
      <c r="A36" s="555"/>
      <c r="B36" s="1"/>
      <c r="C36" s="2"/>
      <c r="D36" s="346">
        <f t="shared" si="0"/>
        <v>0</v>
      </c>
      <c r="E36" s="346">
        <f t="shared" si="1"/>
        <v>0</v>
      </c>
      <c r="F36" s="558"/>
      <c r="G36" s="551">
        <f t="shared" si="2"/>
        <v>0</v>
      </c>
      <c r="H36" s="34"/>
      <c r="I36" s="560"/>
      <c r="J36" s="565"/>
      <c r="K36" s="567"/>
      <c r="L36" s="585"/>
      <c r="M36" s="562"/>
      <c r="N36" s="562"/>
      <c r="O36" s="562"/>
      <c r="P36" s="563"/>
    </row>
    <row r="37" spans="1:16">
      <c r="A37" s="555"/>
      <c r="B37" s="1"/>
      <c r="C37" s="2"/>
      <c r="D37" s="346">
        <f t="shared" si="0"/>
        <v>0</v>
      </c>
      <c r="E37" s="346">
        <f t="shared" si="1"/>
        <v>0</v>
      </c>
      <c r="F37" s="558"/>
      <c r="G37" s="551">
        <f t="shared" si="2"/>
        <v>0</v>
      </c>
      <c r="H37" s="34"/>
      <c r="I37" s="560"/>
      <c r="J37" s="565"/>
      <c r="K37" s="567"/>
      <c r="L37" s="585"/>
      <c r="M37" s="562"/>
      <c r="N37" s="562"/>
      <c r="O37" s="562"/>
      <c r="P37" s="563"/>
    </row>
    <row r="38" spans="1:16">
      <c r="A38" s="555"/>
      <c r="B38" s="1"/>
      <c r="C38" s="2"/>
      <c r="D38" s="346">
        <f t="shared" si="0"/>
        <v>0</v>
      </c>
      <c r="E38" s="346">
        <f t="shared" si="1"/>
        <v>0</v>
      </c>
      <c r="F38" s="558"/>
      <c r="G38" s="551">
        <f t="shared" si="2"/>
        <v>0</v>
      </c>
      <c r="H38" s="34"/>
      <c r="I38" s="560"/>
      <c r="J38" s="565"/>
      <c r="K38" s="567"/>
      <c r="L38" s="585"/>
      <c r="M38" s="562"/>
      <c r="N38" s="562"/>
      <c r="O38" s="562"/>
      <c r="P38" s="563"/>
    </row>
    <row r="39" spans="1:16" hidden="1">
      <c r="A39" s="555"/>
      <c r="B39" s="1"/>
      <c r="C39" s="2"/>
      <c r="D39" s="346">
        <f t="shared" si="0"/>
        <v>0</v>
      </c>
      <c r="E39" s="346">
        <f t="shared" si="1"/>
        <v>0</v>
      </c>
      <c r="F39" s="558"/>
      <c r="G39" s="551">
        <f t="shared" si="2"/>
        <v>0</v>
      </c>
      <c r="H39" s="34"/>
      <c r="I39" s="560"/>
      <c r="J39" s="565"/>
      <c r="K39" s="567"/>
      <c r="L39" s="585"/>
      <c r="M39" s="562"/>
      <c r="N39" s="562"/>
      <c r="O39" s="562"/>
      <c r="P39" s="563"/>
    </row>
    <row r="40" spans="1:16" hidden="1">
      <c r="A40" s="555"/>
      <c r="B40" s="1"/>
      <c r="C40" s="2"/>
      <c r="D40" s="346">
        <f t="shared" si="0"/>
        <v>0</v>
      </c>
      <c r="E40" s="346">
        <f t="shared" si="1"/>
        <v>0</v>
      </c>
      <c r="F40" s="558"/>
      <c r="G40" s="551">
        <f t="shared" si="2"/>
        <v>0</v>
      </c>
      <c r="H40" s="34"/>
      <c r="I40" s="560"/>
      <c r="J40" s="565"/>
      <c r="K40" s="567"/>
      <c r="L40" s="585"/>
      <c r="M40" s="562"/>
      <c r="N40" s="562"/>
      <c r="O40" s="562"/>
      <c r="P40" s="563"/>
    </row>
    <row r="41" spans="1:16" hidden="1">
      <c r="A41" s="555"/>
      <c r="B41" s="549">
        <f>IF(E9="Both","Enter manual values here",0)</f>
        <v>0</v>
      </c>
      <c r="C41" s="2"/>
      <c r="D41" s="552">
        <f t="shared" si="0"/>
        <v>0</v>
      </c>
      <c r="E41" s="552">
        <f t="shared" si="1"/>
        <v>0</v>
      </c>
      <c r="F41" s="558"/>
      <c r="G41" s="551">
        <f t="shared" si="2"/>
        <v>0</v>
      </c>
      <c r="H41" s="34"/>
      <c r="I41" s="560"/>
      <c r="J41" s="565"/>
      <c r="K41" s="567"/>
      <c r="L41" s="585"/>
      <c r="M41" s="562"/>
      <c r="N41" s="562"/>
      <c r="O41" s="562"/>
      <c r="P41" s="563"/>
    </row>
    <row r="42" spans="1:16" hidden="1">
      <c r="A42" s="555"/>
      <c r="B42" s="1"/>
      <c r="C42" s="2"/>
      <c r="D42" s="552">
        <f t="shared" si="0"/>
        <v>0</v>
      </c>
      <c r="E42" s="552">
        <f t="shared" si="1"/>
        <v>0</v>
      </c>
      <c r="F42" s="558"/>
      <c r="G42" s="551">
        <f t="shared" si="2"/>
        <v>0</v>
      </c>
      <c r="H42" s="34"/>
      <c r="I42" s="560"/>
      <c r="J42" s="565"/>
      <c r="K42" s="567"/>
      <c r="L42" s="585"/>
      <c r="M42" s="562"/>
      <c r="N42" s="562"/>
      <c r="O42" s="562"/>
      <c r="P42" s="563"/>
    </row>
    <row r="43" spans="1:16" hidden="1">
      <c r="A43" s="555"/>
      <c r="B43" s="1"/>
      <c r="C43" s="2"/>
      <c r="D43" s="552">
        <f t="shared" si="0"/>
        <v>0</v>
      </c>
      <c r="E43" s="552">
        <f t="shared" si="1"/>
        <v>0</v>
      </c>
      <c r="F43" s="558"/>
      <c r="G43" s="551">
        <f t="shared" si="2"/>
        <v>0</v>
      </c>
      <c r="H43" s="34"/>
      <c r="I43" s="560"/>
      <c r="J43" s="565"/>
      <c r="K43" s="567"/>
      <c r="L43" s="585"/>
      <c r="M43" s="562"/>
      <c r="N43" s="562"/>
      <c r="O43" s="562"/>
      <c r="P43" s="563"/>
    </row>
    <row r="44" spans="1:16" hidden="1">
      <c r="A44" s="555"/>
      <c r="B44" s="1"/>
      <c r="C44" s="2"/>
      <c r="D44" s="552">
        <f t="shared" si="0"/>
        <v>0</v>
      </c>
      <c r="E44" s="552">
        <f t="shared" si="1"/>
        <v>0</v>
      </c>
      <c r="F44" s="558"/>
      <c r="G44" s="551">
        <f t="shared" si="2"/>
        <v>0</v>
      </c>
      <c r="H44" s="34"/>
      <c r="I44" s="560"/>
      <c r="J44" s="565"/>
      <c r="K44" s="567"/>
      <c r="L44" s="585"/>
      <c r="M44" s="562"/>
      <c r="N44" s="562"/>
      <c r="O44" s="562"/>
      <c r="P44" s="563"/>
    </row>
    <row r="45" spans="1:16" hidden="1">
      <c r="A45" s="555"/>
      <c r="B45" s="1"/>
      <c r="C45" s="2"/>
      <c r="D45" s="552">
        <f t="shared" si="0"/>
        <v>0</v>
      </c>
      <c r="E45" s="552">
        <f t="shared" si="1"/>
        <v>0</v>
      </c>
      <c r="F45" s="558"/>
      <c r="G45" s="551">
        <f t="shared" si="2"/>
        <v>0</v>
      </c>
      <c r="H45" s="34"/>
      <c r="I45" s="560"/>
      <c r="J45" s="565"/>
      <c r="K45" s="567"/>
      <c r="L45" s="585"/>
      <c r="M45" s="562"/>
      <c r="N45" s="562"/>
      <c r="O45" s="562"/>
      <c r="P45" s="563"/>
    </row>
    <row r="46" spans="1:16" hidden="1">
      <c r="A46" s="555"/>
      <c r="B46" s="1"/>
      <c r="C46" s="2"/>
      <c r="D46" s="552">
        <f t="shared" si="0"/>
        <v>0</v>
      </c>
      <c r="E46" s="552">
        <f t="shared" si="1"/>
        <v>0</v>
      </c>
      <c r="F46" s="558"/>
      <c r="G46" s="551">
        <f t="shared" si="2"/>
        <v>0</v>
      </c>
      <c r="H46" s="34"/>
      <c r="I46" s="560"/>
      <c r="J46" s="565"/>
      <c r="K46" s="567"/>
      <c r="L46" s="585"/>
      <c r="M46" s="562"/>
      <c r="N46" s="562"/>
      <c r="O46" s="562"/>
      <c r="P46" s="563"/>
    </row>
    <row r="47" spans="1:16" hidden="1">
      <c r="A47" s="555"/>
      <c r="B47" s="1"/>
      <c r="C47" s="2"/>
      <c r="D47" s="552">
        <f t="shared" si="0"/>
        <v>0</v>
      </c>
      <c r="E47" s="552">
        <f t="shared" si="1"/>
        <v>0</v>
      </c>
      <c r="F47" s="558"/>
      <c r="G47" s="551">
        <f t="shared" si="2"/>
        <v>0</v>
      </c>
      <c r="H47" s="34"/>
      <c r="I47" s="560"/>
      <c r="J47" s="565"/>
      <c r="K47" s="567"/>
      <c r="L47" s="585"/>
      <c r="M47" s="562"/>
      <c r="N47" s="562"/>
      <c r="O47" s="562"/>
      <c r="P47" s="563"/>
    </row>
    <row r="48" spans="1:16" hidden="1">
      <c r="A48" s="555"/>
      <c r="B48" s="1"/>
      <c r="C48" s="2"/>
      <c r="D48" s="552">
        <f t="shared" si="0"/>
        <v>0</v>
      </c>
      <c r="E48" s="552">
        <f t="shared" si="1"/>
        <v>0</v>
      </c>
      <c r="F48" s="558"/>
      <c r="G48" s="551">
        <f t="shared" si="2"/>
        <v>0</v>
      </c>
      <c r="H48" s="34"/>
      <c r="I48" s="560"/>
      <c r="J48" s="565"/>
      <c r="K48" s="567"/>
      <c r="L48" s="585"/>
      <c r="M48" s="562"/>
      <c r="N48" s="562"/>
      <c r="O48" s="562"/>
      <c r="P48" s="563"/>
    </row>
    <row r="49" spans="1:32" hidden="1">
      <c r="A49" s="555"/>
      <c r="B49" s="1"/>
      <c r="C49" s="2"/>
      <c r="D49" s="552">
        <f t="shared" si="0"/>
        <v>0</v>
      </c>
      <c r="E49" s="552">
        <f t="shared" si="1"/>
        <v>0</v>
      </c>
      <c r="F49" s="558"/>
      <c r="G49" s="551">
        <f t="shared" si="2"/>
        <v>0</v>
      </c>
      <c r="H49" s="34"/>
      <c r="I49" s="560"/>
      <c r="J49" s="565"/>
      <c r="K49" s="567"/>
      <c r="L49" s="585"/>
      <c r="M49" s="562"/>
      <c r="N49" s="562"/>
      <c r="O49" s="562"/>
      <c r="P49" s="563"/>
    </row>
    <row r="50" spans="1:32" hidden="1">
      <c r="A50" s="555"/>
      <c r="B50" s="1"/>
      <c r="C50" s="2"/>
      <c r="D50" s="552">
        <f t="shared" si="0"/>
        <v>0</v>
      </c>
      <c r="E50" s="552">
        <f t="shared" si="1"/>
        <v>0</v>
      </c>
      <c r="F50" s="558"/>
      <c r="G50" s="551">
        <f t="shared" si="2"/>
        <v>0</v>
      </c>
      <c r="H50" s="34"/>
      <c r="I50" s="560"/>
      <c r="J50" s="565"/>
      <c r="K50" s="567"/>
      <c r="L50" s="585"/>
      <c r="M50" s="562"/>
      <c r="N50" s="562"/>
      <c r="O50" s="562"/>
      <c r="P50" s="563"/>
    </row>
    <row r="51" spans="1:32" hidden="1">
      <c r="A51" s="555"/>
      <c r="B51" s="1"/>
      <c r="C51" s="2"/>
      <c r="D51" s="552">
        <f t="shared" si="0"/>
        <v>0</v>
      </c>
      <c r="E51" s="552">
        <f t="shared" si="1"/>
        <v>0</v>
      </c>
      <c r="F51" s="558"/>
      <c r="G51" s="551">
        <f t="shared" si="2"/>
        <v>0</v>
      </c>
      <c r="H51" s="34"/>
      <c r="I51" s="560"/>
      <c r="J51" s="565"/>
      <c r="K51" s="567"/>
      <c r="L51" s="585"/>
      <c r="M51" s="562"/>
      <c r="N51" s="562"/>
      <c r="O51" s="562"/>
      <c r="P51" s="563"/>
    </row>
    <row r="52" spans="1:32" ht="13.5" thickBot="1">
      <c r="A52" s="556"/>
      <c r="B52" s="3"/>
      <c r="C52" s="4"/>
      <c r="D52" s="552">
        <f t="shared" si="0"/>
        <v>0</v>
      </c>
      <c r="E52" s="552">
        <f t="shared" si="1"/>
        <v>0</v>
      </c>
      <c r="F52" s="558"/>
      <c r="G52" s="551">
        <f t="shared" si="2"/>
        <v>0</v>
      </c>
      <c r="H52" s="34"/>
      <c r="I52" s="561"/>
      <c r="J52" s="566"/>
      <c r="K52" s="568"/>
      <c r="L52" s="586"/>
      <c r="M52" s="564"/>
      <c r="N52" s="564"/>
      <c r="O52" s="564"/>
      <c r="P52" s="587"/>
    </row>
    <row r="53" spans="1:32" s="10" customFormat="1" ht="14.25">
      <c r="A53" s="89" t="s">
        <v>26</v>
      </c>
      <c r="B53" s="90"/>
      <c r="C53" s="91"/>
      <c r="D53" s="92">
        <f>SUM(D17:D52)</f>
        <v>0</v>
      </c>
      <c r="E53" s="92">
        <f>SUM(E17:E52)</f>
        <v>0</v>
      </c>
      <c r="F53" s="92">
        <f>SUM(F17:F52)</f>
        <v>0</v>
      </c>
      <c r="G53" s="208">
        <f>SUM(G17:G52)</f>
        <v>0</v>
      </c>
      <c r="H53" s="588"/>
      <c r="I53" s="589" t="s">
        <v>26</v>
      </c>
      <c r="J53" s="91"/>
      <c r="K53" s="590"/>
      <c r="L53" s="92">
        <f>SUM(L19:L52)</f>
        <v>0</v>
      </c>
      <c r="M53" s="92">
        <f>SUM(M19:M52)</f>
        <v>0</v>
      </c>
      <c r="N53" s="92">
        <f>SUM(N19:N52)</f>
        <v>0</v>
      </c>
      <c r="O53" s="92">
        <f>SUM(O19:O52)</f>
        <v>0</v>
      </c>
      <c r="P53" s="208">
        <f>SUM(P19:P52)</f>
        <v>2.42</v>
      </c>
      <c r="AD53" s="630"/>
      <c r="AE53" s="630"/>
      <c r="AF53" s="634"/>
    </row>
    <row r="54" spans="1:32" s="10" customFormat="1" ht="13.5" thickBot="1">
      <c r="A54" s="38" t="s">
        <v>27</v>
      </c>
      <c r="B54" s="38"/>
      <c r="C54" s="38"/>
      <c r="D54" s="643">
        <f>SUM(D16:D52)</f>
        <v>0</v>
      </c>
      <c r="E54" s="643">
        <f>SUM(E16:E52)</f>
        <v>55000</v>
      </c>
      <c r="F54" s="643">
        <f>SUM(F16:F52)</f>
        <v>66000</v>
      </c>
      <c r="G54" s="644">
        <f>SUM(G16:G52)</f>
        <v>11000</v>
      </c>
      <c r="H54" s="588"/>
      <c r="I54" s="591" t="s">
        <v>27</v>
      </c>
      <c r="J54" s="38"/>
      <c r="K54" s="151"/>
      <c r="L54" s="643">
        <f>SUM(L16:L52)</f>
        <v>89100</v>
      </c>
      <c r="M54" s="643">
        <f>SUM(M16:M52)</f>
        <v>66.53</v>
      </c>
      <c r="N54" s="643">
        <f>SUM(N16:N52)</f>
        <v>0</v>
      </c>
      <c r="O54" s="643">
        <f>SUM(O16:O52)</f>
        <v>50488.86</v>
      </c>
      <c r="P54" s="645">
        <f>SUM(P16:P52)</f>
        <v>-51.399999999999991</v>
      </c>
      <c r="AD54" s="630"/>
      <c r="AE54" s="630"/>
      <c r="AF54" s="634"/>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c r="N57" s="18"/>
    </row>
    <row r="58" spans="1:32" ht="18" hidden="1">
      <c r="A58" s="66" t="s">
        <v>28</v>
      </c>
      <c r="B58" s="17"/>
      <c r="C58" s="75">
        <f>IF(E9="y",G59*0.95-(SUM(H197:K197)),0)</f>
        <v>0</v>
      </c>
      <c r="E58" s="113" t="s">
        <v>136</v>
      </c>
      <c r="F58" s="70" t="s">
        <v>138</v>
      </c>
      <c r="G58" s="70" t="s">
        <v>137</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0</v>
      </c>
      <c r="F60" s="70">
        <f>+G60-E60</f>
        <v>0</v>
      </c>
      <c r="G60" s="70">
        <f>IF(E59+E60&lt;&gt;0,E60/(E59+E60)*(G61-G62),0)</f>
        <v>0</v>
      </c>
      <c r="H60" s="18"/>
      <c r="I60" s="18"/>
      <c r="J60" s="18"/>
      <c r="K60" s="18"/>
      <c r="L60" s="18"/>
      <c r="M60" s="18"/>
    </row>
    <row r="61" spans="1:32" hidden="1">
      <c r="A61" s="16"/>
      <c r="B61" s="17"/>
      <c r="C61" s="16"/>
      <c r="D61" s="70" t="s">
        <v>16</v>
      </c>
      <c r="E61" s="70">
        <f>+F53</f>
        <v>0</v>
      </c>
      <c r="F61" s="70">
        <f>+G61-E61</f>
        <v>0</v>
      </c>
      <c r="G61" s="70">
        <f>+E61</f>
        <v>0</v>
      </c>
      <c r="H61" s="18"/>
      <c r="I61" s="18"/>
      <c r="J61" s="18"/>
      <c r="K61" s="18"/>
      <c r="L61" s="18"/>
      <c r="M61" s="18"/>
    </row>
    <row r="62" spans="1:32" hidden="1">
      <c r="A62" s="67" t="s">
        <v>29</v>
      </c>
      <c r="B62" s="17"/>
      <c r="C62" s="70">
        <f>IF(E243&lt;=0,0,IF(C4&lt;42095,E265,E243))</f>
        <v>0</v>
      </c>
      <c r="D62" s="70" t="s">
        <v>17</v>
      </c>
      <c r="E62" s="70">
        <f>+G53</f>
        <v>0</v>
      </c>
      <c r="F62" s="70">
        <f>+G62-E62</f>
        <v>0</v>
      </c>
      <c r="G62" s="70">
        <f>IF(E12&gt;0,(G61)*E12,E62)</f>
        <v>0</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D73" s="7"/>
      <c r="E73" s="7"/>
      <c r="F73" s="7"/>
      <c r="G73" s="7"/>
      <c r="H73" s="7"/>
      <c r="I73" s="7"/>
      <c r="J73" s="7"/>
      <c r="K73" s="7"/>
      <c r="L73" s="7"/>
      <c r="M73" s="7"/>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5"/>
    </row>
    <row r="75" spans="1:56" ht="15">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5" t="s">
        <v>20</v>
      </c>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0"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row>
    <row r="78" spans="1:56" ht="13.5" thickBot="1">
      <c r="A78" s="580" t="s">
        <v>11</v>
      </c>
      <c r="B78" s="580" t="s">
        <v>13</v>
      </c>
      <c r="C78" s="594" t="s">
        <v>38</v>
      </c>
      <c r="D78" s="569" t="s">
        <v>39</v>
      </c>
      <c r="E78" s="569" t="s">
        <v>40</v>
      </c>
      <c r="F78" s="569" t="s">
        <v>155</v>
      </c>
      <c r="G78" s="595" t="s">
        <v>17</v>
      </c>
      <c r="H78" s="571" t="s">
        <v>294</v>
      </c>
      <c r="I78" s="570" t="s">
        <v>42</v>
      </c>
      <c r="J78" s="571" t="s">
        <v>127</v>
      </c>
      <c r="K78" s="570" t="s">
        <v>44</v>
      </c>
      <c r="L78" s="597" t="s">
        <v>161</v>
      </c>
      <c r="M78" s="597" t="s">
        <v>160</v>
      </c>
      <c r="N78" s="597" t="s">
        <v>49</v>
      </c>
      <c r="O78" s="570" t="s">
        <v>132</v>
      </c>
      <c r="P78" s="570" t="s">
        <v>45</v>
      </c>
      <c r="Q78" s="570" t="s">
        <v>46</v>
      </c>
      <c r="R78" s="571" t="s">
        <v>171</v>
      </c>
      <c r="S78" s="570" t="s">
        <v>113</v>
      </c>
      <c r="T78" s="571" t="s">
        <v>57</v>
      </c>
      <c r="U78" s="570" t="s">
        <v>50</v>
      </c>
      <c r="V78" s="571" t="s">
        <v>207</v>
      </c>
      <c r="W78" s="571" t="s">
        <v>175</v>
      </c>
      <c r="X78" s="571" t="s">
        <v>302</v>
      </c>
      <c r="Y78" s="570" t="s">
        <v>121</v>
      </c>
      <c r="Z78" s="571" t="s">
        <v>173</v>
      </c>
      <c r="AA78" s="571" t="s">
        <v>302</v>
      </c>
      <c r="AB78" s="597" t="s">
        <v>152</v>
      </c>
      <c r="AC78" s="570" t="s">
        <v>51</v>
      </c>
      <c r="AF78" s="634" t="s">
        <v>52</v>
      </c>
    </row>
    <row r="79" spans="1:56">
      <c r="A79" s="348"/>
      <c r="B79" s="44" t="s">
        <v>77</v>
      </c>
      <c r="C79" s="45"/>
      <c r="D79" s="615">
        <f>'Apr 18'!D198</f>
        <v>80640.819999999992</v>
      </c>
      <c r="E79" s="616">
        <f>'Apr 18'!E198</f>
        <v>-114</v>
      </c>
      <c r="F79" s="615">
        <f>'Apr 18'!F198</f>
        <v>0</v>
      </c>
      <c r="G79" s="617">
        <f>'Apr 18'!G198</f>
        <v>0</v>
      </c>
      <c r="H79" s="625">
        <f>'Apr 18'!H198</f>
        <v>1350</v>
      </c>
      <c r="I79" s="559">
        <f>'Apr 18'!I198</f>
        <v>984</v>
      </c>
      <c r="J79" s="559">
        <f>'Apr 18'!J198</f>
        <v>240</v>
      </c>
      <c r="K79" s="559">
        <f>'Apr 18'!K198</f>
        <v>0</v>
      </c>
      <c r="L79" s="559">
        <f>'Apr 18'!L198</f>
        <v>12768</v>
      </c>
      <c r="M79" s="559">
        <f>'Apr 18'!M198</f>
        <v>264.02999999999997</v>
      </c>
      <c r="N79" s="559">
        <f>'Apr 18'!N198</f>
        <v>0</v>
      </c>
      <c r="O79" s="559">
        <f>'Apr 18'!O198</f>
        <v>0</v>
      </c>
      <c r="P79" s="559">
        <f>'Apr 18'!P198</f>
        <v>120</v>
      </c>
      <c r="Q79" s="559">
        <f>'Apr 18'!Q198</f>
        <v>0</v>
      </c>
      <c r="R79" s="559">
        <f>'Apr 18'!R198</f>
        <v>390</v>
      </c>
      <c r="S79" s="559">
        <f>'Apr 18'!S198</f>
        <v>330</v>
      </c>
      <c r="T79" s="559">
        <f>'Apr 18'!T198</f>
        <v>510</v>
      </c>
      <c r="U79" s="559">
        <f>'Apr 18'!U198</f>
        <v>828</v>
      </c>
      <c r="V79" s="559">
        <f>'Apr 18'!V198</f>
        <v>38.299999999999997</v>
      </c>
      <c r="W79" s="559">
        <f>'Apr 18'!W198</f>
        <v>570</v>
      </c>
      <c r="X79" s="559">
        <f>'Apr 18'!X198</f>
        <v>50555.39</v>
      </c>
      <c r="Y79" s="559">
        <f>'Apr 18'!Y198</f>
        <v>10781.1</v>
      </c>
      <c r="Z79" s="559">
        <f>'Apr 18'!Z198</f>
        <v>0</v>
      </c>
      <c r="AA79" s="559">
        <f>'Apr 18'!AA198</f>
        <v>0</v>
      </c>
      <c r="AB79" s="559">
        <f>'Apr 18'!AB198</f>
        <v>785</v>
      </c>
      <c r="AC79" s="259">
        <f>'Apr 18'!AC198</f>
        <v>13</v>
      </c>
      <c r="AG79" s="43">
        <f>IF(AF79=0,0,"ERROR HERE")</f>
        <v>0</v>
      </c>
      <c r="AH79" s="7">
        <f t="shared" ref="AH79:AQ85" si="3">IF(OR(ISERROR(+H79/($D79+$E79-$G79)*$G79+H79),LEFT(F79,1)="x"),0,+H79/($D79+$E79-$G79)*$G79+H79)</f>
        <v>1350</v>
      </c>
      <c r="AI79" s="7">
        <f t="shared" si="3"/>
        <v>984</v>
      </c>
      <c r="AJ79" s="7">
        <f t="shared" si="3"/>
        <v>240</v>
      </c>
      <c r="AK79" s="7">
        <f t="shared" si="3"/>
        <v>0</v>
      </c>
      <c r="AL79" s="7">
        <f t="shared" si="3"/>
        <v>12768</v>
      </c>
      <c r="AM79" s="7">
        <f t="shared" si="3"/>
        <v>264.02999999999997</v>
      </c>
      <c r="AN79" s="7">
        <f t="shared" si="3"/>
        <v>0</v>
      </c>
      <c r="AO79" s="7">
        <f t="shared" si="3"/>
        <v>0</v>
      </c>
      <c r="AP79" s="7">
        <f t="shared" si="3"/>
        <v>120</v>
      </c>
      <c r="AQ79" s="7">
        <f t="shared" si="3"/>
        <v>0</v>
      </c>
      <c r="AR79" s="7">
        <f t="shared" ref="AR79:BA85" si="4">IF(OR(ISERROR(+R79/($D79+$E79-$G79)*$G79+R79),LEFT(P79,1)="x"),0,+R79/($D79+$E79-$G79)*$G79+R79)</f>
        <v>390</v>
      </c>
      <c r="AS79" s="7">
        <f t="shared" si="4"/>
        <v>330</v>
      </c>
      <c r="AT79" s="7">
        <f t="shared" si="4"/>
        <v>510</v>
      </c>
      <c r="AU79" s="7">
        <f t="shared" si="4"/>
        <v>828</v>
      </c>
      <c r="AV79" s="7">
        <f t="shared" si="4"/>
        <v>38.299999999999997</v>
      </c>
      <c r="AW79" s="7">
        <f t="shared" si="4"/>
        <v>570</v>
      </c>
      <c r="AX79" s="7">
        <f t="shared" si="4"/>
        <v>50555.39</v>
      </c>
      <c r="AY79" s="7">
        <f t="shared" si="4"/>
        <v>10781.1</v>
      </c>
      <c r="AZ79" s="7">
        <f t="shared" si="4"/>
        <v>0</v>
      </c>
      <c r="BA79" s="7">
        <f t="shared" si="4"/>
        <v>0</v>
      </c>
      <c r="BB79" s="7">
        <f t="shared" ref="BB79:BB85" si="5">IF(OR(ISERROR(+AB79/($D79+$E79-$G79)*$G79+AB79),LEFT(Z79,1)="x"),0,+AB79/($D79+$E79-$G79)*$G79+AB79)</f>
        <v>785</v>
      </c>
      <c r="BC79" s="7">
        <f>IF(OR(ISERROR(+#REF!/($D79+$E79-$G79)*$G79+#REF!),LEFT(AA79,1)="x"),0,+#REF!/($D79+$E79-$G79)*$G79+#REF!)</f>
        <v>0</v>
      </c>
      <c r="BD79" s="7">
        <f>IF(OR(ISERROR(+AC79/($D79+$E79-$G79)*$G79+AC79),LEFT(Z79,1)="x"),0,+AC79/($D79+$E79-$G79)*$G79+AC79)</f>
        <v>13</v>
      </c>
    </row>
    <row r="80" spans="1:56">
      <c r="A80" s="555" t="s">
        <v>20</v>
      </c>
      <c r="B80" s="719" t="s">
        <v>462</v>
      </c>
      <c r="C80" s="719"/>
      <c r="D80" s="720">
        <v>812</v>
      </c>
      <c r="E80" s="721"/>
      <c r="F80" s="722"/>
      <c r="G80" s="723"/>
      <c r="H80" s="724"/>
      <c r="I80" s="724"/>
      <c r="J80" s="724"/>
      <c r="K80" s="725"/>
      <c r="L80" s="720">
        <v>812</v>
      </c>
      <c r="M80" s="725"/>
      <c r="N80" s="725"/>
      <c r="O80" s="725"/>
      <c r="P80" s="725"/>
      <c r="Q80" s="725"/>
      <c r="R80" s="726"/>
      <c r="S80" s="727"/>
      <c r="T80" s="725"/>
      <c r="U80" s="726"/>
      <c r="V80" s="726"/>
      <c r="W80" s="727"/>
      <c r="X80" s="726"/>
      <c r="Y80" s="726"/>
      <c r="Z80" s="726"/>
      <c r="AA80" s="726"/>
      <c r="AB80" s="726"/>
      <c r="AC80" s="563"/>
      <c r="AD80" s="629">
        <f>SUM(G80:AC80)</f>
        <v>812</v>
      </c>
      <c r="AE80" s="629">
        <f>SUM(D80:F80)</f>
        <v>812</v>
      </c>
      <c r="AF80" s="634">
        <f>AD80-AE80</f>
        <v>0</v>
      </c>
      <c r="AG80" s="43">
        <f>IF(AF80=0,0,"ERROR HERE")</f>
        <v>0</v>
      </c>
      <c r="AH80" s="7">
        <f t="shared" si="3"/>
        <v>0</v>
      </c>
      <c r="AI80" s="7">
        <f t="shared" si="3"/>
        <v>0</v>
      </c>
      <c r="AJ80" s="7">
        <f t="shared" si="3"/>
        <v>0</v>
      </c>
      <c r="AK80" s="7">
        <f t="shared" si="3"/>
        <v>0</v>
      </c>
      <c r="AL80" s="7">
        <f t="shared" si="3"/>
        <v>812</v>
      </c>
      <c r="AM80" s="7">
        <f t="shared" si="3"/>
        <v>0</v>
      </c>
      <c r="AN80" s="7">
        <f t="shared" si="3"/>
        <v>0</v>
      </c>
      <c r="AO80" s="7">
        <f t="shared" si="3"/>
        <v>0</v>
      </c>
      <c r="AP80" s="7">
        <f t="shared" si="3"/>
        <v>0</v>
      </c>
      <c r="AQ80" s="7">
        <f t="shared" si="3"/>
        <v>0</v>
      </c>
      <c r="AR80" s="7">
        <f t="shared" si="4"/>
        <v>0</v>
      </c>
      <c r="AS80" s="7">
        <f t="shared" si="4"/>
        <v>0</v>
      </c>
      <c r="AT80" s="7">
        <f t="shared" si="4"/>
        <v>0</v>
      </c>
      <c r="AU80" s="7">
        <f t="shared" si="4"/>
        <v>0</v>
      </c>
      <c r="AV80" s="7">
        <f t="shared" si="4"/>
        <v>0</v>
      </c>
      <c r="AW80" s="7">
        <f t="shared" si="4"/>
        <v>0</v>
      </c>
      <c r="AX80" s="7">
        <f t="shared" si="4"/>
        <v>0</v>
      </c>
      <c r="AY80" s="7">
        <f t="shared" si="4"/>
        <v>0</v>
      </c>
      <c r="AZ80" s="7">
        <f t="shared" si="4"/>
        <v>0</v>
      </c>
      <c r="BA80" s="7">
        <f t="shared" si="4"/>
        <v>0</v>
      </c>
      <c r="BB80" s="7">
        <f t="shared" si="5"/>
        <v>0</v>
      </c>
      <c r="BC80" s="7">
        <f>IF(OR(ISERROR(+#REF!/($D80+$E80-$G80)*$G80+#REF!),LEFT(AA80,1)="x"),0,+#REF!/($D80+$E80-$G80)*$G80+#REF!)</f>
        <v>0</v>
      </c>
      <c r="BD80" s="7">
        <f>IF(OR(ISERROR(+AC80/($D80+$E80-$G80)*$G80+AC80),LEFT(Z80,1)="x"),0,+AC80/($D80+$E80-$G80)*$G80+AC80)</f>
        <v>0</v>
      </c>
    </row>
    <row r="81" spans="1:57">
      <c r="A81" s="555"/>
      <c r="B81" s="719" t="s">
        <v>463</v>
      </c>
      <c r="C81" s="719"/>
      <c r="D81" s="719">
        <v>800</v>
      </c>
      <c r="E81" s="721"/>
      <c r="F81" s="722"/>
      <c r="G81" s="723"/>
      <c r="H81" s="724"/>
      <c r="I81" s="724"/>
      <c r="J81" s="724"/>
      <c r="K81" s="725"/>
      <c r="L81" s="719">
        <v>800</v>
      </c>
      <c r="M81" s="725"/>
      <c r="N81" s="725"/>
      <c r="O81" s="725"/>
      <c r="P81" s="725"/>
      <c r="Q81" s="725"/>
      <c r="R81" s="726"/>
      <c r="S81" s="727"/>
      <c r="T81" s="725"/>
      <c r="U81" s="726"/>
      <c r="V81" s="726"/>
      <c r="W81" s="727"/>
      <c r="X81" s="726"/>
      <c r="Y81" s="726"/>
      <c r="Z81" s="726"/>
      <c r="AA81" s="726"/>
      <c r="AB81" s="726"/>
      <c r="AC81" s="563"/>
      <c r="AD81" s="629">
        <f t="shared" ref="AD81:AD144" si="6">SUM(G81:AC81)</f>
        <v>800</v>
      </c>
      <c r="AE81" s="629">
        <f t="shared" ref="AE81:AE144" si="7">SUM(D81:F81)</f>
        <v>800</v>
      </c>
      <c r="AF81" s="634">
        <f t="shared" ref="AF81:AF144" si="8">AD81-AE81</f>
        <v>0</v>
      </c>
      <c r="AG81" s="43">
        <f>IF(AF81=0,0,"ERROR HERE")</f>
        <v>0</v>
      </c>
      <c r="AH81" s="7">
        <f t="shared" si="3"/>
        <v>0</v>
      </c>
      <c r="AI81" s="7">
        <f t="shared" si="3"/>
        <v>0</v>
      </c>
      <c r="AJ81" s="7">
        <f t="shared" si="3"/>
        <v>0</v>
      </c>
      <c r="AK81" s="7">
        <f t="shared" si="3"/>
        <v>0</v>
      </c>
      <c r="AL81" s="7">
        <f t="shared" si="3"/>
        <v>800</v>
      </c>
      <c r="AM81" s="7">
        <f t="shared" si="3"/>
        <v>0</v>
      </c>
      <c r="AN81" s="7">
        <f t="shared" si="3"/>
        <v>0</v>
      </c>
      <c r="AO81" s="7">
        <f t="shared" si="3"/>
        <v>0</v>
      </c>
      <c r="AP81" s="7">
        <f t="shared" si="3"/>
        <v>0</v>
      </c>
      <c r="AQ81" s="7">
        <f t="shared" si="3"/>
        <v>0</v>
      </c>
      <c r="AR81" s="7">
        <f t="shared" si="4"/>
        <v>0</v>
      </c>
      <c r="AS81" s="7">
        <f t="shared" si="4"/>
        <v>0</v>
      </c>
      <c r="AT81" s="7">
        <f t="shared" si="4"/>
        <v>0</v>
      </c>
      <c r="AU81" s="7">
        <f t="shared" si="4"/>
        <v>0</v>
      </c>
      <c r="AV81" s="7">
        <f t="shared" si="4"/>
        <v>0</v>
      </c>
      <c r="AW81" s="7">
        <f t="shared" si="4"/>
        <v>0</v>
      </c>
      <c r="AX81" s="7">
        <f t="shared" si="4"/>
        <v>0</v>
      </c>
      <c r="AY81" s="7">
        <f t="shared" si="4"/>
        <v>0</v>
      </c>
      <c r="AZ81" s="7">
        <f t="shared" si="4"/>
        <v>0</v>
      </c>
      <c r="BA81" s="7">
        <f t="shared" si="4"/>
        <v>0</v>
      </c>
      <c r="BB81" s="7">
        <f t="shared" si="5"/>
        <v>0</v>
      </c>
      <c r="BC81" s="7">
        <f>IF(OR(ISERROR(+#REF!/($D81+$E81-$G81)*$G81+#REF!),LEFT(AA81,1)="x"),0,+#REF!/($D81+$E81-$G81)*$G81+#REF!)</f>
        <v>0</v>
      </c>
      <c r="BD81" s="7">
        <f>IF(OR(ISERROR(+AC81/($D81+$E81-$G81)*$G81+AC81),LEFT(Z81,1)="x"),0,+AC81/($D81+$E81-$G81)*$G81+AC81)</f>
        <v>0</v>
      </c>
    </row>
    <row r="82" spans="1:57">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719"/>
      <c r="Y82" s="719"/>
      <c r="Z82" s="719"/>
      <c r="AA82" s="719"/>
      <c r="AB82" s="719"/>
      <c r="AC82" s="563"/>
      <c r="AD82" s="629">
        <f t="shared" si="6"/>
        <v>138</v>
      </c>
      <c r="AE82" s="629">
        <f t="shared" si="7"/>
        <v>138</v>
      </c>
      <c r="AF82" s="634">
        <f t="shared" si="8"/>
        <v>0</v>
      </c>
      <c r="AG82" s="43">
        <f>IF(AF82=0,0,"ERROR HERE - CHECK NUMBER IS CORRECTLY EXTENDED")</f>
        <v>0</v>
      </c>
      <c r="AH82" s="7">
        <f t="shared" si="3"/>
        <v>0</v>
      </c>
      <c r="AI82" s="7">
        <f t="shared" si="3"/>
        <v>0</v>
      </c>
      <c r="AJ82" s="7">
        <f t="shared" si="3"/>
        <v>0</v>
      </c>
      <c r="AK82" s="7">
        <f t="shared" si="3"/>
        <v>0</v>
      </c>
      <c r="AL82" s="7">
        <f t="shared" si="3"/>
        <v>0</v>
      </c>
      <c r="AM82" s="7">
        <f t="shared" si="3"/>
        <v>0</v>
      </c>
      <c r="AN82" s="7">
        <f t="shared" si="3"/>
        <v>0</v>
      </c>
      <c r="AO82" s="7">
        <f t="shared" si="3"/>
        <v>0</v>
      </c>
      <c r="AP82" s="7">
        <f t="shared" si="3"/>
        <v>0</v>
      </c>
      <c r="AQ82" s="7">
        <f t="shared" si="3"/>
        <v>0</v>
      </c>
      <c r="AR82" s="7">
        <f t="shared" si="4"/>
        <v>0</v>
      </c>
      <c r="AS82" s="7">
        <f t="shared" si="4"/>
        <v>0</v>
      </c>
      <c r="AT82" s="7">
        <f t="shared" si="4"/>
        <v>0</v>
      </c>
      <c r="AU82" s="7">
        <f t="shared" si="4"/>
        <v>138</v>
      </c>
      <c r="AV82" s="7">
        <f t="shared" si="4"/>
        <v>0</v>
      </c>
      <c r="AW82" s="7">
        <f t="shared" si="4"/>
        <v>0</v>
      </c>
      <c r="AX82" s="7">
        <f t="shared" si="4"/>
        <v>0</v>
      </c>
      <c r="AY82" s="7">
        <f t="shared" si="4"/>
        <v>0</v>
      </c>
      <c r="AZ82" s="7">
        <f t="shared" si="4"/>
        <v>0</v>
      </c>
      <c r="BA82" s="7">
        <f t="shared" si="4"/>
        <v>0</v>
      </c>
      <c r="BB82" s="7">
        <f t="shared" si="5"/>
        <v>0</v>
      </c>
      <c r="BC82" s="7">
        <f>IF(OR(ISERROR(+#REF!/($D82+$E82-$G82)*$G82+#REF!),LEFT(AA82,1)="x"),0,+#REF!/($D82+$E82-$G82)*$G82+#REF!)</f>
        <v>0</v>
      </c>
      <c r="BD82" s="7">
        <f>IF(OR(ISERROR(+#REF!/($D82+$E82-$G82)*$G82+#REF!),LEFT(AB82,1)="x"),0,+#REF!/($D82+$E82-$G82)*$G82+#REF!)</f>
        <v>0</v>
      </c>
      <c r="BE82" s="7" t="e">
        <f>IF(OR(ISERROR(+AC82/($D82+$E82-$G82)*$G82+AC82),LEFT(#REF!,1)="x"),0,+AC82/($D82+$E82-$G82)*$G82+AC82)</f>
        <v>#REF!</v>
      </c>
    </row>
    <row r="83" spans="1:57">
      <c r="A83" s="555"/>
      <c r="B83" s="719" t="s">
        <v>465</v>
      </c>
      <c r="C83" s="719"/>
      <c r="D83" s="721"/>
      <c r="E83" s="719">
        <v>164</v>
      </c>
      <c r="F83" s="722"/>
      <c r="G83" s="723"/>
      <c r="H83" s="724"/>
      <c r="I83" s="719">
        <v>164</v>
      </c>
      <c r="J83" s="724"/>
      <c r="K83" s="725"/>
      <c r="L83" s="725"/>
      <c r="M83" s="725"/>
      <c r="N83" s="725"/>
      <c r="O83" s="725"/>
      <c r="P83" s="725"/>
      <c r="Q83" s="725"/>
      <c r="R83" s="726"/>
      <c r="S83" s="727"/>
      <c r="T83" s="725"/>
      <c r="U83" s="726"/>
      <c r="V83" s="726"/>
      <c r="W83" s="727"/>
      <c r="X83" s="726"/>
      <c r="Y83" s="726"/>
      <c r="Z83" s="726"/>
      <c r="AA83" s="726"/>
      <c r="AB83" s="726"/>
      <c r="AC83" s="563"/>
      <c r="AD83" s="629">
        <f t="shared" si="6"/>
        <v>164</v>
      </c>
      <c r="AE83" s="629">
        <f t="shared" si="7"/>
        <v>164</v>
      </c>
      <c r="AF83" s="634">
        <f t="shared" si="8"/>
        <v>0</v>
      </c>
      <c r="AG83" s="43">
        <f>IF(AF83=0,0,"ERROR HERE")</f>
        <v>0</v>
      </c>
      <c r="AH83" s="7">
        <f t="shared" si="3"/>
        <v>0</v>
      </c>
      <c r="AI83" s="7">
        <f t="shared" si="3"/>
        <v>164</v>
      </c>
      <c r="AJ83" s="7">
        <f t="shared" si="3"/>
        <v>0</v>
      </c>
      <c r="AK83" s="7">
        <f t="shared" si="3"/>
        <v>0</v>
      </c>
      <c r="AL83" s="7">
        <f t="shared" si="3"/>
        <v>0</v>
      </c>
      <c r="AM83" s="7">
        <f t="shared" si="3"/>
        <v>0</v>
      </c>
      <c r="AN83" s="7">
        <f t="shared" si="3"/>
        <v>0</v>
      </c>
      <c r="AO83" s="7">
        <f t="shared" si="3"/>
        <v>0</v>
      </c>
      <c r="AP83" s="7">
        <f t="shared" si="3"/>
        <v>0</v>
      </c>
      <c r="AQ83" s="7">
        <f t="shared" si="3"/>
        <v>0</v>
      </c>
      <c r="AR83" s="7">
        <f t="shared" si="4"/>
        <v>0</v>
      </c>
      <c r="AS83" s="7">
        <f t="shared" si="4"/>
        <v>0</v>
      </c>
      <c r="AT83" s="7">
        <f t="shared" si="4"/>
        <v>0</v>
      </c>
      <c r="AU83" s="7">
        <f t="shared" si="4"/>
        <v>0</v>
      </c>
      <c r="AV83" s="7">
        <f t="shared" si="4"/>
        <v>0</v>
      </c>
      <c r="AW83" s="7">
        <f t="shared" si="4"/>
        <v>0</v>
      </c>
      <c r="AX83" s="7">
        <f t="shared" si="4"/>
        <v>0</v>
      </c>
      <c r="AY83" s="7">
        <f t="shared" si="4"/>
        <v>0</v>
      </c>
      <c r="AZ83" s="7">
        <f t="shared" si="4"/>
        <v>0</v>
      </c>
      <c r="BA83" s="7">
        <f t="shared" si="4"/>
        <v>0</v>
      </c>
      <c r="BB83" s="7">
        <f t="shared" si="5"/>
        <v>0</v>
      </c>
      <c r="BC83" s="7">
        <f>IF(OR(ISERROR(+#REF!/($D83+$E83-$G83)*$G83+#REF!),LEFT(AA83,1)="x"),0,+#REF!/($D83+$E83-$G83)*$G83+#REF!)</f>
        <v>0</v>
      </c>
      <c r="BD83" s="7">
        <f>IF(OR(ISERROR(+#REF!/($D83+$E83-$G83)*$G83+#REF!),LEFT(AB83,1)="x"),0,+#REF!/($D83+$E83-$G83)*$G83+#REF!)</f>
        <v>0</v>
      </c>
      <c r="BE83" s="7" t="e">
        <f>IF(OR(ISERROR(+AC83/($D83+$E83-$G83)*$G83+AC83),LEFT(#REF!,1)="x"),0,+AC83/($D83+$E83-$G83)*$G83+AC83)</f>
        <v>#REF!</v>
      </c>
    </row>
    <row r="84" spans="1:57">
      <c r="A84" s="555"/>
      <c r="B84" s="719" t="s">
        <v>466</v>
      </c>
      <c r="C84" s="719"/>
      <c r="D84" s="721"/>
      <c r="E84" s="719">
        <v>20</v>
      </c>
      <c r="F84" s="722"/>
      <c r="G84" s="723"/>
      <c r="H84" s="724"/>
      <c r="I84" s="724"/>
      <c r="J84" s="724"/>
      <c r="K84" s="725"/>
      <c r="L84" s="725"/>
      <c r="M84" s="725"/>
      <c r="N84" s="725"/>
      <c r="O84" s="725"/>
      <c r="P84" s="719">
        <v>20</v>
      </c>
      <c r="Q84" s="725"/>
      <c r="R84" s="726"/>
      <c r="S84" s="727"/>
      <c r="T84" s="725"/>
      <c r="U84" s="726"/>
      <c r="V84" s="726"/>
      <c r="W84" s="727"/>
      <c r="X84" s="726"/>
      <c r="Y84" s="726"/>
      <c r="Z84" s="726"/>
      <c r="AA84" s="726"/>
      <c r="AB84" s="726"/>
      <c r="AC84" s="563"/>
      <c r="AD84" s="629">
        <f t="shared" si="6"/>
        <v>20</v>
      </c>
      <c r="AE84" s="629">
        <f t="shared" si="7"/>
        <v>20</v>
      </c>
      <c r="AF84" s="634">
        <f t="shared" si="8"/>
        <v>0</v>
      </c>
      <c r="AG84" s="43">
        <f>IF(AF84=0,0,"ERROR HERE")</f>
        <v>0</v>
      </c>
      <c r="AH84" s="7">
        <f t="shared" si="3"/>
        <v>0</v>
      </c>
      <c r="AI84" s="7">
        <f t="shared" si="3"/>
        <v>0</v>
      </c>
      <c r="AJ84" s="7">
        <f t="shared" si="3"/>
        <v>0</v>
      </c>
      <c r="AK84" s="7">
        <f t="shared" si="3"/>
        <v>0</v>
      </c>
      <c r="AL84" s="7">
        <f t="shared" si="3"/>
        <v>0</v>
      </c>
      <c r="AM84" s="7">
        <f t="shared" si="3"/>
        <v>0</v>
      </c>
      <c r="AN84" s="7">
        <f t="shared" si="3"/>
        <v>0</v>
      </c>
      <c r="AO84" s="7">
        <f t="shared" si="3"/>
        <v>0</v>
      </c>
      <c r="AP84" s="7">
        <f t="shared" si="3"/>
        <v>20</v>
      </c>
      <c r="AQ84" s="7">
        <f t="shared" si="3"/>
        <v>0</v>
      </c>
      <c r="AR84" s="7">
        <f t="shared" si="4"/>
        <v>0</v>
      </c>
      <c r="AS84" s="7">
        <f t="shared" si="4"/>
        <v>0</v>
      </c>
      <c r="AT84" s="7">
        <f t="shared" si="4"/>
        <v>0</v>
      </c>
      <c r="AU84" s="7">
        <f t="shared" si="4"/>
        <v>0</v>
      </c>
      <c r="AV84" s="7">
        <f t="shared" si="4"/>
        <v>0</v>
      </c>
      <c r="AW84" s="7">
        <f t="shared" si="4"/>
        <v>0</v>
      </c>
      <c r="AX84" s="7">
        <f t="shared" si="4"/>
        <v>0</v>
      </c>
      <c r="AY84" s="7">
        <f t="shared" si="4"/>
        <v>0</v>
      </c>
      <c r="AZ84" s="7">
        <f t="shared" si="4"/>
        <v>0</v>
      </c>
      <c r="BA84" s="7">
        <f t="shared" si="4"/>
        <v>0</v>
      </c>
      <c r="BB84" s="7">
        <f t="shared" si="5"/>
        <v>0</v>
      </c>
      <c r="BC84" s="7">
        <f>IF(OR(ISERROR(+#REF!/($D84+$E84-$G84)*$G84+#REF!),LEFT(AA84,1)="x"),0,+#REF!/($D84+$E84-$G84)*$G84+#REF!)</f>
        <v>0</v>
      </c>
      <c r="BD84" s="7">
        <f>IF(OR(ISERROR(+#REF!/($D84+$E84-$G84)*$G84+#REF!),LEFT(AB84,1)="x"),0,+#REF!/($D84+$E84-$G84)*$G84+#REF!)</f>
        <v>0</v>
      </c>
      <c r="BE84" s="7" t="e">
        <f>IF(OR(ISERROR(+AC84/($D84+$E84-$G84)*$G84+AC84),LEFT(#REF!,1)="x"),0,+AC84/($D84+$E84-$G84)*$G84+AC84)</f>
        <v>#REF!</v>
      </c>
    </row>
    <row r="85" spans="1:57">
      <c r="A85" s="555"/>
      <c r="B85" s="719" t="s">
        <v>467</v>
      </c>
      <c r="C85" s="719"/>
      <c r="D85" s="721"/>
      <c r="E85" s="719">
        <v>95</v>
      </c>
      <c r="F85" s="722"/>
      <c r="G85" s="723"/>
      <c r="H85" s="724"/>
      <c r="I85" s="724"/>
      <c r="J85" s="724"/>
      <c r="K85" s="725"/>
      <c r="L85" s="725"/>
      <c r="M85" s="725"/>
      <c r="N85" s="725"/>
      <c r="O85" s="725"/>
      <c r="P85" s="725"/>
      <c r="Q85" s="725"/>
      <c r="R85" s="726"/>
      <c r="S85" s="727"/>
      <c r="T85" s="725"/>
      <c r="U85" s="719"/>
      <c r="V85" s="726"/>
      <c r="W85" s="719">
        <v>95</v>
      </c>
      <c r="X85" s="726"/>
      <c r="Y85" s="726"/>
      <c r="Z85" s="726"/>
      <c r="AA85" s="726"/>
      <c r="AB85" s="726"/>
      <c r="AC85" s="563"/>
      <c r="AD85" s="629">
        <f t="shared" si="6"/>
        <v>95</v>
      </c>
      <c r="AE85" s="629">
        <f t="shared" si="7"/>
        <v>95</v>
      </c>
      <c r="AF85" s="634">
        <f t="shared" si="8"/>
        <v>0</v>
      </c>
      <c r="AG85" s="43">
        <f>IF(AF85=0,0,"ERROR HERE")</f>
        <v>0</v>
      </c>
      <c r="AH85" s="7">
        <f t="shared" si="3"/>
        <v>0</v>
      </c>
      <c r="AI85" s="7">
        <f t="shared" si="3"/>
        <v>0</v>
      </c>
      <c r="AJ85" s="7">
        <f t="shared" si="3"/>
        <v>0</v>
      </c>
      <c r="AK85" s="7">
        <f t="shared" si="3"/>
        <v>0</v>
      </c>
      <c r="AL85" s="7">
        <f t="shared" si="3"/>
        <v>0</v>
      </c>
      <c r="AM85" s="7">
        <f t="shared" si="3"/>
        <v>0</v>
      </c>
      <c r="AN85" s="7">
        <f t="shared" si="3"/>
        <v>0</v>
      </c>
      <c r="AO85" s="7">
        <f t="shared" si="3"/>
        <v>0</v>
      </c>
      <c r="AP85" s="7">
        <f t="shared" si="3"/>
        <v>0</v>
      </c>
      <c r="AQ85" s="7">
        <f t="shared" si="3"/>
        <v>0</v>
      </c>
      <c r="AR85" s="7">
        <f t="shared" si="4"/>
        <v>0</v>
      </c>
      <c r="AS85" s="7">
        <f t="shared" si="4"/>
        <v>0</v>
      </c>
      <c r="AT85" s="7">
        <f t="shared" si="4"/>
        <v>0</v>
      </c>
      <c r="AU85" s="7">
        <f t="shared" si="4"/>
        <v>0</v>
      </c>
      <c r="AV85" s="7">
        <f t="shared" si="4"/>
        <v>0</v>
      </c>
      <c r="AW85" s="7">
        <f t="shared" si="4"/>
        <v>95</v>
      </c>
      <c r="AX85" s="7">
        <f t="shared" si="4"/>
        <v>0</v>
      </c>
      <c r="AY85" s="7">
        <f t="shared" si="4"/>
        <v>0</v>
      </c>
      <c r="AZ85" s="7">
        <f t="shared" si="4"/>
        <v>0</v>
      </c>
      <c r="BA85" s="7">
        <f t="shared" si="4"/>
        <v>0</v>
      </c>
      <c r="BB85" s="7">
        <f t="shared" si="5"/>
        <v>0</v>
      </c>
      <c r="BC85" s="7">
        <f>IF(OR(ISERROR(+#REF!/($D85+$E85-$G85)*$G85+#REF!),LEFT(AA85,1)="x"),0,+#REF!/($D85+$E85-$G85)*$G85+#REF!)</f>
        <v>0</v>
      </c>
      <c r="BD85" s="7">
        <f>IF(OR(ISERROR(+#REF!/($D85+$E85-$G85)*$G85+#REF!),LEFT(AB85,1)="x"),0,+#REF!/($D85+$E85-$G85)*$G85+#REF!)</f>
        <v>0</v>
      </c>
      <c r="BE85" s="7" t="e">
        <f>IF(OR(ISERROR(+AC85/($D85+$E85-$G85)*$G85+AC85),LEFT(#REF!,1)="x"),0,+AC85/($D85+$E85-$G85)*$G85+AC85)</f>
        <v>#REF!</v>
      </c>
    </row>
    <row r="86" spans="1:57">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726"/>
      <c r="Y86" s="726"/>
      <c r="Z86" s="726"/>
      <c r="AA86" s="726"/>
      <c r="AB86" s="726"/>
      <c r="AC86" s="563"/>
      <c r="AD86" s="629">
        <f t="shared" si="6"/>
        <v>85</v>
      </c>
      <c r="AE86" s="629">
        <f t="shared" si="7"/>
        <v>85</v>
      </c>
      <c r="AF86" s="634">
        <f t="shared" si="8"/>
        <v>0</v>
      </c>
      <c r="AG86" s="43"/>
    </row>
    <row r="87" spans="1:57">
      <c r="A87" s="555"/>
      <c r="B87" s="719" t="s">
        <v>493</v>
      </c>
      <c r="C87" s="719"/>
      <c r="D87" s="721"/>
      <c r="E87" s="719">
        <v>225</v>
      </c>
      <c r="F87" s="722"/>
      <c r="G87" s="723"/>
      <c r="H87" s="719">
        <v>225</v>
      </c>
      <c r="I87" s="724"/>
      <c r="J87" s="724"/>
      <c r="K87" s="725"/>
      <c r="L87" s="725"/>
      <c r="M87" s="725"/>
      <c r="N87" s="725"/>
      <c r="O87" s="725"/>
      <c r="P87" s="725"/>
      <c r="Q87" s="725"/>
      <c r="R87" s="726"/>
      <c r="S87" s="727"/>
      <c r="T87" s="719"/>
      <c r="U87" s="726"/>
      <c r="V87" s="726"/>
      <c r="W87" s="727"/>
      <c r="X87" s="726"/>
      <c r="Y87" s="726"/>
      <c r="Z87" s="726"/>
      <c r="AA87" s="726"/>
      <c r="AB87" s="726"/>
      <c r="AC87" s="563"/>
      <c r="AD87" s="629">
        <f t="shared" si="6"/>
        <v>225</v>
      </c>
      <c r="AE87" s="629">
        <f t="shared" si="7"/>
        <v>225</v>
      </c>
      <c r="AF87" s="634">
        <f t="shared" si="8"/>
        <v>0</v>
      </c>
      <c r="AG87" s="43"/>
    </row>
    <row r="88" spans="1:57">
      <c r="A88" s="555"/>
      <c r="B88" s="719"/>
      <c r="C88" s="719"/>
      <c r="D88" s="721"/>
      <c r="E88" s="719"/>
      <c r="F88" s="722"/>
      <c r="G88" s="723"/>
      <c r="H88" s="719"/>
      <c r="I88" s="724"/>
      <c r="J88" s="724"/>
      <c r="K88" s="725"/>
      <c r="L88" s="725"/>
      <c r="M88" s="725"/>
      <c r="N88" s="725"/>
      <c r="O88" s="725"/>
      <c r="P88" s="725"/>
      <c r="Q88" s="725"/>
      <c r="R88" s="726"/>
      <c r="S88" s="727"/>
      <c r="T88" s="725"/>
      <c r="U88" s="726"/>
      <c r="V88" s="726"/>
      <c r="W88" s="727"/>
      <c r="X88" s="726"/>
      <c r="Y88" s="726"/>
      <c r="Z88" s="726"/>
      <c r="AA88" s="726"/>
      <c r="AB88" s="719"/>
      <c r="AC88" s="563"/>
      <c r="AD88" s="629">
        <f t="shared" si="6"/>
        <v>0</v>
      </c>
      <c r="AE88" s="629">
        <f t="shared" si="7"/>
        <v>0</v>
      </c>
      <c r="AF88" s="634">
        <f t="shared" si="8"/>
        <v>0</v>
      </c>
      <c r="AG88" s="43"/>
    </row>
    <row r="89" spans="1:57">
      <c r="A89" s="555"/>
      <c r="B89" s="719" t="s">
        <v>471</v>
      </c>
      <c r="C89" s="719"/>
      <c r="D89" s="721"/>
      <c r="E89" s="721">
        <v>55</v>
      </c>
      <c r="F89" s="728"/>
      <c r="G89" s="729"/>
      <c r="H89" s="724"/>
      <c r="I89" s="724"/>
      <c r="J89" s="724"/>
      <c r="K89" s="725"/>
      <c r="L89" s="725"/>
      <c r="M89" s="725"/>
      <c r="N89" s="725"/>
      <c r="O89" s="725"/>
      <c r="P89" s="725"/>
      <c r="Q89" s="725"/>
      <c r="R89" s="725"/>
      <c r="S89" s="725">
        <v>55</v>
      </c>
      <c r="T89" s="725"/>
      <c r="U89" s="725"/>
      <c r="V89" s="725"/>
      <c r="W89" s="725"/>
      <c r="X89" s="725"/>
      <c r="Y89" s="725"/>
      <c r="Z89" s="725"/>
      <c r="AA89" s="725"/>
      <c r="AB89" s="725"/>
      <c r="AC89" s="563"/>
      <c r="AD89" s="629">
        <f t="shared" si="6"/>
        <v>55</v>
      </c>
      <c r="AE89" s="629">
        <f t="shared" si="7"/>
        <v>55</v>
      </c>
      <c r="AF89" s="634">
        <f t="shared" si="8"/>
        <v>0</v>
      </c>
      <c r="AG89" s="43"/>
    </row>
    <row r="90" spans="1:57">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738"/>
      <c r="Y90" s="738"/>
      <c r="Z90" s="738"/>
      <c r="AA90" s="738"/>
      <c r="AB90" s="738"/>
      <c r="AC90" s="563"/>
      <c r="AD90" s="629">
        <f t="shared" si="6"/>
        <v>65</v>
      </c>
      <c r="AE90" s="629">
        <f t="shared" si="7"/>
        <v>65</v>
      </c>
      <c r="AF90" s="634">
        <f t="shared" si="8"/>
        <v>0</v>
      </c>
      <c r="AG90" s="43"/>
    </row>
    <row r="91" spans="1:57">
      <c r="A91" s="555"/>
      <c r="B91" s="605" t="s">
        <v>43</v>
      </c>
      <c r="C91" s="607"/>
      <c r="D91" s="608"/>
      <c r="E91" s="608">
        <v>65</v>
      </c>
      <c r="F91" s="608"/>
      <c r="G91" s="609"/>
      <c r="H91" s="585"/>
      <c r="I91" s="562"/>
      <c r="J91" s="562">
        <v>65</v>
      </c>
      <c r="K91" s="562"/>
      <c r="L91" s="562"/>
      <c r="M91" s="562"/>
      <c r="N91" s="602" t="s">
        <v>241</v>
      </c>
      <c r="O91" s="562"/>
      <c r="P91" s="562"/>
      <c r="Q91" s="562"/>
      <c r="R91" s="562"/>
      <c r="S91" s="562"/>
      <c r="T91" s="562"/>
      <c r="U91" s="562"/>
      <c r="V91" s="562"/>
      <c r="W91" s="562"/>
      <c r="X91" s="562"/>
      <c r="Y91" s="562"/>
      <c r="Z91" s="562"/>
      <c r="AA91" s="562"/>
      <c r="AB91" s="562"/>
      <c r="AC91" s="563"/>
      <c r="AD91" s="629">
        <f t="shared" si="6"/>
        <v>65</v>
      </c>
      <c r="AE91" s="629">
        <f t="shared" si="7"/>
        <v>65</v>
      </c>
      <c r="AF91" s="634">
        <f t="shared" si="8"/>
        <v>0</v>
      </c>
      <c r="AG91" s="43"/>
    </row>
    <row r="92" spans="1:57">
      <c r="A92" s="555"/>
      <c r="B92" s="605" t="s">
        <v>174</v>
      </c>
      <c r="C92" s="607"/>
      <c r="D92" s="739">
        <v>5.5</v>
      </c>
      <c r="E92" s="608"/>
      <c r="F92" s="609"/>
      <c r="G92" s="609"/>
      <c r="H92" s="603"/>
      <c r="I92" s="562"/>
      <c r="J92" s="562"/>
      <c r="K92" s="562"/>
      <c r="L92" s="562"/>
      <c r="M92" s="562"/>
      <c r="N92" s="562"/>
      <c r="O92" s="562"/>
      <c r="P92" s="562"/>
      <c r="Q92" s="562"/>
      <c r="R92" s="562"/>
      <c r="S92" s="562"/>
      <c r="T92" s="562"/>
      <c r="U92" s="562"/>
      <c r="V92" s="740">
        <v>5.5</v>
      </c>
      <c r="W92" s="562"/>
      <c r="X92" s="562"/>
      <c r="Y92" s="562"/>
      <c r="Z92" s="562"/>
      <c r="AA92" s="562"/>
      <c r="AB92" s="562"/>
      <c r="AC92" s="563"/>
      <c r="AD92" s="629">
        <f t="shared" si="6"/>
        <v>5.5</v>
      </c>
      <c r="AE92" s="629">
        <f t="shared" si="7"/>
        <v>5.5</v>
      </c>
      <c r="AF92" s="634">
        <f t="shared" si="8"/>
        <v>0</v>
      </c>
      <c r="AG92" s="43"/>
    </row>
    <row r="93" spans="1:57" ht="25.5">
      <c r="A93" s="555"/>
      <c r="B93" s="761" t="s">
        <v>491</v>
      </c>
      <c r="C93" s="719"/>
      <c r="D93" s="747">
        <v>25000</v>
      </c>
      <c r="E93" s="721"/>
      <c r="F93" s="609"/>
      <c r="G93" s="609"/>
      <c r="H93" s="603"/>
      <c r="I93" s="562"/>
      <c r="J93" s="562"/>
      <c r="K93" s="562"/>
      <c r="L93" s="562"/>
      <c r="M93" s="562"/>
      <c r="N93" s="562">
        <v>25000</v>
      </c>
      <c r="O93" s="562"/>
      <c r="P93" s="562"/>
      <c r="Q93" s="562"/>
      <c r="R93" s="562"/>
      <c r="S93" s="562"/>
      <c r="T93" s="562"/>
      <c r="U93" s="562"/>
      <c r="V93" s="562"/>
      <c r="W93" s="562"/>
      <c r="X93" s="562"/>
      <c r="Y93" s="562"/>
      <c r="Z93" s="562"/>
      <c r="AA93" s="562"/>
      <c r="AB93" s="562"/>
      <c r="AC93" s="563"/>
      <c r="AD93" s="629">
        <f t="shared" si="6"/>
        <v>25000</v>
      </c>
      <c r="AE93" s="629">
        <f t="shared" si="7"/>
        <v>25000</v>
      </c>
      <c r="AF93" s="634">
        <f t="shared" si="8"/>
        <v>0</v>
      </c>
      <c r="AG93" s="43"/>
    </row>
    <row r="94" spans="1:57" ht="25.5">
      <c r="A94" s="555"/>
      <c r="B94" s="746" t="s">
        <v>492</v>
      </c>
      <c r="C94" s="607"/>
      <c r="D94" s="609">
        <v>25000</v>
      </c>
      <c r="E94" s="608"/>
      <c r="F94" s="609"/>
      <c r="G94" s="609"/>
      <c r="H94" s="603"/>
      <c r="I94" s="562"/>
      <c r="J94" s="562"/>
      <c r="K94" s="562"/>
      <c r="L94" s="562"/>
      <c r="M94" s="562"/>
      <c r="N94" s="562">
        <v>25000</v>
      </c>
      <c r="O94" s="562"/>
      <c r="P94" s="562"/>
      <c r="Q94" s="562"/>
      <c r="R94" s="562"/>
      <c r="S94" s="562"/>
      <c r="T94" s="562"/>
      <c r="U94" s="562"/>
      <c r="V94" s="562"/>
      <c r="W94" s="562"/>
      <c r="X94" s="562"/>
      <c r="Y94" s="562"/>
      <c r="Z94" s="562"/>
      <c r="AA94" s="562"/>
      <c r="AB94" s="562"/>
      <c r="AC94" s="563"/>
      <c r="AD94" s="629">
        <f t="shared" si="6"/>
        <v>25000</v>
      </c>
      <c r="AE94" s="629">
        <f t="shared" si="7"/>
        <v>25000</v>
      </c>
      <c r="AF94" s="634">
        <f t="shared" si="8"/>
        <v>0</v>
      </c>
      <c r="AG94" s="43"/>
    </row>
    <row r="95" spans="1:57">
      <c r="A95" s="555"/>
      <c r="B95" s="605"/>
      <c r="C95" s="607"/>
      <c r="D95" s="609"/>
      <c r="E95" s="608"/>
      <c r="F95" s="609"/>
      <c r="G95" s="609"/>
      <c r="H95" s="603"/>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6"/>
        <v>0</v>
      </c>
      <c r="AE95" s="629">
        <f t="shared" si="7"/>
        <v>0</v>
      </c>
      <c r="AF95" s="634">
        <f t="shared" si="8"/>
        <v>0</v>
      </c>
      <c r="AG95" s="43"/>
    </row>
    <row r="96" spans="1:57">
      <c r="A96" s="555"/>
      <c r="B96" s="623"/>
      <c r="C96" s="607"/>
      <c r="D96" s="609"/>
      <c r="E96" s="608"/>
      <c r="F96" s="609"/>
      <c r="G96" s="609"/>
      <c r="H96" s="603"/>
      <c r="I96" s="562"/>
      <c r="J96" s="562"/>
      <c r="K96" s="562"/>
      <c r="L96" s="562"/>
      <c r="M96" s="562"/>
      <c r="N96" s="562"/>
      <c r="O96" s="562"/>
      <c r="P96" s="562"/>
      <c r="Q96" s="562"/>
      <c r="R96" s="562"/>
      <c r="S96" s="562"/>
      <c r="T96" s="562"/>
      <c r="U96" s="562"/>
      <c r="V96" s="562"/>
      <c r="W96" s="562"/>
      <c r="X96" s="562"/>
      <c r="Y96" s="562"/>
      <c r="Z96" s="562"/>
      <c r="AA96" s="562"/>
      <c r="AB96" s="562"/>
      <c r="AC96" s="563"/>
      <c r="AD96" s="629">
        <f t="shared" si="6"/>
        <v>0</v>
      </c>
      <c r="AE96" s="629">
        <f t="shared" si="7"/>
        <v>0</v>
      </c>
      <c r="AF96" s="634">
        <f t="shared" si="8"/>
        <v>0</v>
      </c>
      <c r="AG96" s="43"/>
    </row>
    <row r="97" spans="1:33">
      <c r="A97" s="555"/>
      <c r="B97" s="623"/>
      <c r="C97" s="607"/>
      <c r="D97" s="609"/>
      <c r="E97" s="608"/>
      <c r="F97" s="609"/>
      <c r="G97" s="609"/>
      <c r="H97" s="603"/>
      <c r="I97" s="562"/>
      <c r="J97" s="562"/>
      <c r="K97" s="562"/>
      <c r="L97" s="562"/>
      <c r="M97" s="562"/>
      <c r="N97" s="562"/>
      <c r="O97" s="562"/>
      <c r="P97" s="562"/>
      <c r="Q97" s="562"/>
      <c r="R97" s="562"/>
      <c r="S97" s="562"/>
      <c r="T97" s="562"/>
      <c r="U97" s="562"/>
      <c r="V97" s="562"/>
      <c r="W97" s="562"/>
      <c r="X97" s="562"/>
      <c r="Y97" s="562"/>
      <c r="Z97" s="562"/>
      <c r="AA97" s="562"/>
      <c r="AB97" s="562"/>
      <c r="AC97" s="563"/>
      <c r="AD97" s="629">
        <f t="shared" si="6"/>
        <v>0</v>
      </c>
      <c r="AE97" s="629">
        <f t="shared" si="7"/>
        <v>0</v>
      </c>
      <c r="AF97" s="634">
        <f t="shared" si="8"/>
        <v>0</v>
      </c>
      <c r="AG97" s="43"/>
    </row>
    <row r="98" spans="1:33">
      <c r="A98" s="555"/>
      <c r="B98" s="623"/>
      <c r="C98" s="607"/>
      <c r="D98" s="609"/>
      <c r="E98" s="608"/>
      <c r="F98" s="609"/>
      <c r="G98" s="609"/>
      <c r="H98" s="603"/>
      <c r="I98" s="562"/>
      <c r="J98" s="562"/>
      <c r="K98" s="562"/>
      <c r="L98" s="562"/>
      <c r="M98" s="562"/>
      <c r="N98" s="562"/>
      <c r="O98" s="562"/>
      <c r="P98" s="562"/>
      <c r="Q98" s="562"/>
      <c r="R98" s="562"/>
      <c r="S98" s="562"/>
      <c r="T98" s="562"/>
      <c r="U98" s="562"/>
      <c r="V98" s="562"/>
      <c r="W98" s="562"/>
      <c r="X98" s="562"/>
      <c r="Y98" s="562"/>
      <c r="Z98" s="562"/>
      <c r="AA98" s="562"/>
      <c r="AB98" s="562"/>
      <c r="AC98" s="563"/>
      <c r="AD98" s="629">
        <f t="shared" si="6"/>
        <v>0</v>
      </c>
      <c r="AE98" s="629">
        <f t="shared" si="7"/>
        <v>0</v>
      </c>
      <c r="AF98" s="634">
        <f t="shared" si="8"/>
        <v>0</v>
      </c>
      <c r="AG98" s="43"/>
    </row>
    <row r="99" spans="1:33">
      <c r="A99" s="555"/>
      <c r="B99" s="623"/>
      <c r="C99" s="607"/>
      <c r="D99" s="609"/>
      <c r="E99" s="608"/>
      <c r="F99" s="609"/>
      <c r="G99" s="609"/>
      <c r="H99" s="603"/>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6"/>
        <v>0</v>
      </c>
      <c r="AE99" s="629">
        <f t="shared" si="7"/>
        <v>0</v>
      </c>
      <c r="AF99" s="634">
        <f t="shared" si="8"/>
        <v>0</v>
      </c>
      <c r="AG99" s="43"/>
    </row>
    <row r="100" spans="1:33">
      <c r="A100" s="555"/>
      <c r="B100" s="623"/>
      <c r="C100" s="607"/>
      <c r="D100" s="609"/>
      <c r="E100" s="608"/>
      <c r="F100" s="609"/>
      <c r="G100" s="609"/>
      <c r="H100" s="603"/>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6"/>
        <v>0</v>
      </c>
      <c r="AE100" s="629">
        <f t="shared" si="7"/>
        <v>0</v>
      </c>
      <c r="AF100" s="634">
        <f t="shared" si="8"/>
        <v>0</v>
      </c>
      <c r="AG100" s="43"/>
    </row>
    <row r="101" spans="1:33">
      <c r="A101" s="555"/>
      <c r="B101" s="623"/>
      <c r="C101" s="607"/>
      <c r="D101" s="609"/>
      <c r="E101" s="608"/>
      <c r="F101" s="609"/>
      <c r="G101" s="609"/>
      <c r="H101" s="603"/>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6"/>
        <v>0</v>
      </c>
      <c r="AE101" s="629">
        <f t="shared" si="7"/>
        <v>0</v>
      </c>
      <c r="AF101" s="634">
        <f t="shared" si="8"/>
        <v>0</v>
      </c>
      <c r="AG101" s="43"/>
    </row>
    <row r="102" spans="1:33">
      <c r="A102" s="555"/>
      <c r="B102" s="623"/>
      <c r="C102" s="607"/>
      <c r="D102" s="609"/>
      <c r="E102" s="608"/>
      <c r="F102" s="609"/>
      <c r="G102" s="609"/>
      <c r="H102" s="603"/>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6"/>
        <v>0</v>
      </c>
      <c r="AE102" s="629">
        <f t="shared" si="7"/>
        <v>0</v>
      </c>
      <c r="AF102" s="634">
        <f t="shared" si="8"/>
        <v>0</v>
      </c>
      <c r="AG102" s="43"/>
    </row>
    <row r="103" spans="1:33">
      <c r="A103" s="555"/>
      <c r="B103" s="623"/>
      <c r="C103" s="607"/>
      <c r="D103" s="609"/>
      <c r="E103" s="608"/>
      <c r="F103" s="609"/>
      <c r="G103" s="609"/>
      <c r="H103" s="603"/>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6"/>
        <v>0</v>
      </c>
      <c r="AE103" s="629">
        <f t="shared" si="7"/>
        <v>0</v>
      </c>
      <c r="AF103" s="634">
        <f t="shared" si="8"/>
        <v>0</v>
      </c>
      <c r="AG103" s="43"/>
    </row>
    <row r="104" spans="1:33">
      <c r="A104" s="555"/>
      <c r="B104" s="623"/>
      <c r="C104" s="607"/>
      <c r="D104" s="609"/>
      <c r="E104" s="608"/>
      <c r="F104" s="609"/>
      <c r="G104" s="609"/>
      <c r="H104" s="603"/>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6"/>
        <v>0</v>
      </c>
      <c r="AE104" s="629">
        <f t="shared" si="7"/>
        <v>0</v>
      </c>
      <c r="AF104" s="634">
        <f t="shared" si="8"/>
        <v>0</v>
      </c>
      <c r="AG104" s="43"/>
    </row>
    <row r="105" spans="1:33">
      <c r="A105" s="555"/>
      <c r="B105" s="623"/>
      <c r="C105" s="607"/>
      <c r="D105" s="609"/>
      <c r="E105" s="608"/>
      <c r="F105" s="609"/>
      <c r="G105" s="609"/>
      <c r="H105" s="603"/>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6"/>
        <v>0</v>
      </c>
      <c r="AE105" s="629">
        <f t="shared" si="7"/>
        <v>0</v>
      </c>
      <c r="AF105" s="634">
        <f t="shared" si="8"/>
        <v>0</v>
      </c>
      <c r="AG105" s="43"/>
    </row>
    <row r="106" spans="1:33">
      <c r="A106" s="555"/>
      <c r="B106" s="623"/>
      <c r="C106" s="607"/>
      <c r="D106" s="609"/>
      <c r="E106" s="608"/>
      <c r="F106" s="609"/>
      <c r="G106" s="609"/>
      <c r="H106" s="603"/>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6"/>
        <v>0</v>
      </c>
      <c r="AE106" s="629">
        <f t="shared" si="7"/>
        <v>0</v>
      </c>
      <c r="AF106" s="634">
        <f t="shared" si="8"/>
        <v>0</v>
      </c>
      <c r="AG106" s="43"/>
    </row>
    <row r="107" spans="1:33" ht="13.5" thickBot="1">
      <c r="A107" s="555"/>
      <c r="B107" s="623"/>
      <c r="C107" s="607"/>
      <c r="D107" s="609"/>
      <c r="E107" s="608"/>
      <c r="F107" s="609"/>
      <c r="G107" s="609"/>
      <c r="H107" s="603"/>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6"/>
        <v>0</v>
      </c>
      <c r="AE107" s="629">
        <f t="shared" si="7"/>
        <v>0</v>
      </c>
      <c r="AF107" s="634">
        <f t="shared" si="8"/>
        <v>0</v>
      </c>
      <c r="AG107" s="43"/>
    </row>
    <row r="108" spans="1:33" hidden="1">
      <c r="A108" s="555"/>
      <c r="B108" s="623"/>
      <c r="C108" s="607"/>
      <c r="D108" s="609"/>
      <c r="E108" s="608"/>
      <c r="F108" s="609"/>
      <c r="G108" s="609"/>
      <c r="H108" s="603"/>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6"/>
        <v>0</v>
      </c>
      <c r="AE108" s="629">
        <f t="shared" si="7"/>
        <v>0</v>
      </c>
      <c r="AF108" s="634">
        <f t="shared" si="8"/>
        <v>0</v>
      </c>
      <c r="AG108" s="43"/>
    </row>
    <row r="109" spans="1:33" hidden="1">
      <c r="A109" s="555"/>
      <c r="B109" s="623"/>
      <c r="C109" s="607"/>
      <c r="D109" s="609"/>
      <c r="E109" s="608"/>
      <c r="F109" s="609"/>
      <c r="G109" s="609"/>
      <c r="H109" s="603"/>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6"/>
        <v>0</v>
      </c>
      <c r="AE109" s="629">
        <f t="shared" si="7"/>
        <v>0</v>
      </c>
      <c r="AF109" s="634">
        <f t="shared" si="8"/>
        <v>0</v>
      </c>
      <c r="AG109" s="43"/>
    </row>
    <row r="110" spans="1:33" hidden="1">
      <c r="A110" s="555"/>
      <c r="B110" s="623"/>
      <c r="C110" s="607"/>
      <c r="D110" s="609"/>
      <c r="E110" s="608"/>
      <c r="F110" s="609"/>
      <c r="G110" s="609"/>
      <c r="H110" s="603"/>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6"/>
        <v>0</v>
      </c>
      <c r="AE110" s="629">
        <f t="shared" si="7"/>
        <v>0</v>
      </c>
      <c r="AF110" s="634">
        <f t="shared" si="8"/>
        <v>0</v>
      </c>
      <c r="AG110" s="43"/>
    </row>
    <row r="111" spans="1:33" hidden="1">
      <c r="A111" s="555"/>
      <c r="B111" s="623"/>
      <c r="C111" s="607"/>
      <c r="D111" s="609"/>
      <c r="E111" s="608"/>
      <c r="F111" s="609"/>
      <c r="G111" s="609"/>
      <c r="H111" s="603"/>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6"/>
        <v>0</v>
      </c>
      <c r="AE111" s="629">
        <f t="shared" si="7"/>
        <v>0</v>
      </c>
      <c r="AF111" s="634">
        <f t="shared" si="8"/>
        <v>0</v>
      </c>
      <c r="AG111" s="43"/>
    </row>
    <row r="112" spans="1:33" hidden="1">
      <c r="A112" s="555"/>
      <c r="B112" s="623"/>
      <c r="C112" s="607"/>
      <c r="D112" s="609"/>
      <c r="E112" s="608"/>
      <c r="F112" s="609"/>
      <c r="G112" s="609"/>
      <c r="H112" s="603"/>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6"/>
        <v>0</v>
      </c>
      <c r="AE112" s="629">
        <f t="shared" si="7"/>
        <v>0</v>
      </c>
      <c r="AF112" s="634">
        <f t="shared" si="8"/>
        <v>0</v>
      </c>
      <c r="AG112" s="43"/>
    </row>
    <row r="113" spans="1:33" hidden="1">
      <c r="A113" s="555"/>
      <c r="B113" s="623"/>
      <c r="C113" s="607"/>
      <c r="D113" s="609"/>
      <c r="E113" s="608"/>
      <c r="F113" s="609"/>
      <c r="G113" s="609"/>
      <c r="H113" s="603"/>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6"/>
        <v>0</v>
      </c>
      <c r="AE113" s="629">
        <f t="shared" si="7"/>
        <v>0</v>
      </c>
      <c r="AF113" s="634">
        <f t="shared" si="8"/>
        <v>0</v>
      </c>
      <c r="AG113" s="43"/>
    </row>
    <row r="114" spans="1:33" hidden="1">
      <c r="A114" s="555"/>
      <c r="B114" s="623"/>
      <c r="C114" s="607"/>
      <c r="D114" s="609"/>
      <c r="E114" s="608"/>
      <c r="F114" s="609"/>
      <c r="G114" s="609"/>
      <c r="H114" s="603"/>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6"/>
        <v>0</v>
      </c>
      <c r="AE114" s="629">
        <f t="shared" si="7"/>
        <v>0</v>
      </c>
      <c r="AF114" s="634">
        <f t="shared" si="8"/>
        <v>0</v>
      </c>
      <c r="AG114" s="43"/>
    </row>
    <row r="115" spans="1:33" hidden="1">
      <c r="A115" s="555"/>
      <c r="B115" s="623"/>
      <c r="C115" s="607"/>
      <c r="D115" s="609"/>
      <c r="E115" s="608"/>
      <c r="F115" s="609"/>
      <c r="G115" s="609"/>
      <c r="H115" s="603"/>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6"/>
        <v>0</v>
      </c>
      <c r="AE115" s="629">
        <f t="shared" si="7"/>
        <v>0</v>
      </c>
      <c r="AF115" s="634">
        <f t="shared" si="8"/>
        <v>0</v>
      </c>
      <c r="AG115" s="43"/>
    </row>
    <row r="116" spans="1:33" hidden="1">
      <c r="A116" s="555"/>
      <c r="B116" s="623"/>
      <c r="C116" s="607"/>
      <c r="D116" s="609"/>
      <c r="E116" s="608"/>
      <c r="F116" s="609"/>
      <c r="G116" s="609"/>
      <c r="H116" s="603"/>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6"/>
        <v>0</v>
      </c>
      <c r="AE116" s="629">
        <f t="shared" si="7"/>
        <v>0</v>
      </c>
      <c r="AF116" s="634">
        <f t="shared" si="8"/>
        <v>0</v>
      </c>
      <c r="AG116" s="43"/>
    </row>
    <row r="117" spans="1:33" hidden="1">
      <c r="A117" s="555"/>
      <c r="B117" s="623"/>
      <c r="C117" s="607"/>
      <c r="D117" s="609"/>
      <c r="E117" s="608"/>
      <c r="F117" s="609"/>
      <c r="G117" s="609"/>
      <c r="H117" s="603"/>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6"/>
        <v>0</v>
      </c>
      <c r="AE117" s="629">
        <f t="shared" si="7"/>
        <v>0</v>
      </c>
      <c r="AF117" s="634">
        <f t="shared" si="8"/>
        <v>0</v>
      </c>
      <c r="AG117" s="43"/>
    </row>
    <row r="118" spans="1:33" hidden="1">
      <c r="A118" s="555"/>
      <c r="B118" s="623"/>
      <c r="C118" s="607"/>
      <c r="D118" s="609"/>
      <c r="E118" s="608"/>
      <c r="F118" s="609"/>
      <c r="G118" s="609"/>
      <c r="H118" s="603"/>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6"/>
        <v>0</v>
      </c>
      <c r="AE118" s="629">
        <f t="shared" si="7"/>
        <v>0</v>
      </c>
      <c r="AF118" s="634">
        <f t="shared" si="8"/>
        <v>0</v>
      </c>
      <c r="AG118" s="43"/>
    </row>
    <row r="119" spans="1:33" hidden="1">
      <c r="A119" s="555"/>
      <c r="B119" s="623"/>
      <c r="C119" s="607"/>
      <c r="D119" s="609"/>
      <c r="E119" s="608"/>
      <c r="F119" s="609"/>
      <c r="G119" s="609"/>
      <c r="H119" s="603"/>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6"/>
        <v>0</v>
      </c>
      <c r="AE119" s="629">
        <f t="shared" si="7"/>
        <v>0</v>
      </c>
      <c r="AF119" s="634">
        <f t="shared" si="8"/>
        <v>0</v>
      </c>
      <c r="AG119" s="43"/>
    </row>
    <row r="120" spans="1:33" hidden="1">
      <c r="A120" s="555"/>
      <c r="B120" s="623"/>
      <c r="C120" s="607"/>
      <c r="D120" s="609"/>
      <c r="E120" s="608"/>
      <c r="F120" s="609"/>
      <c r="G120" s="609"/>
      <c r="H120" s="603"/>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6"/>
        <v>0</v>
      </c>
      <c r="AE120" s="629">
        <f t="shared" si="7"/>
        <v>0</v>
      </c>
      <c r="AF120" s="634">
        <f t="shared" si="8"/>
        <v>0</v>
      </c>
      <c r="AG120" s="43"/>
    </row>
    <row r="121" spans="1:33" hidden="1">
      <c r="A121" s="555"/>
      <c r="B121" s="623"/>
      <c r="C121" s="607"/>
      <c r="D121" s="609"/>
      <c r="E121" s="608"/>
      <c r="F121" s="609"/>
      <c r="G121" s="609"/>
      <c r="H121" s="603"/>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6"/>
        <v>0</v>
      </c>
      <c r="AE121" s="629">
        <f t="shared" si="7"/>
        <v>0</v>
      </c>
      <c r="AF121" s="634">
        <f t="shared" si="8"/>
        <v>0</v>
      </c>
      <c r="AG121" s="43"/>
    </row>
    <row r="122" spans="1:33" hidden="1">
      <c r="A122" s="555"/>
      <c r="B122" s="623"/>
      <c r="C122" s="607"/>
      <c r="D122" s="609"/>
      <c r="E122" s="608"/>
      <c r="F122" s="609"/>
      <c r="G122" s="609"/>
      <c r="H122" s="603"/>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6"/>
        <v>0</v>
      </c>
      <c r="AE122" s="629">
        <f t="shared" si="7"/>
        <v>0</v>
      </c>
      <c r="AF122" s="634">
        <f t="shared" si="8"/>
        <v>0</v>
      </c>
      <c r="AG122" s="43"/>
    </row>
    <row r="123" spans="1:33" hidden="1">
      <c r="A123" s="555"/>
      <c r="B123" s="623"/>
      <c r="C123" s="607"/>
      <c r="D123" s="609"/>
      <c r="E123" s="608"/>
      <c r="F123" s="609"/>
      <c r="G123" s="609"/>
      <c r="H123" s="603"/>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6"/>
        <v>0</v>
      </c>
      <c r="AE123" s="629">
        <f t="shared" si="7"/>
        <v>0</v>
      </c>
      <c r="AF123" s="634">
        <f t="shared" si="8"/>
        <v>0</v>
      </c>
      <c r="AG123" s="43"/>
    </row>
    <row r="124" spans="1:33" hidden="1">
      <c r="A124" s="555"/>
      <c r="B124" s="623"/>
      <c r="C124" s="607"/>
      <c r="D124" s="609"/>
      <c r="E124" s="608"/>
      <c r="F124" s="609"/>
      <c r="G124" s="609"/>
      <c r="H124" s="603"/>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6"/>
        <v>0</v>
      </c>
      <c r="AE124" s="629">
        <f t="shared" si="7"/>
        <v>0</v>
      </c>
      <c r="AF124" s="634">
        <f t="shared" si="8"/>
        <v>0</v>
      </c>
      <c r="AG124" s="43"/>
    </row>
    <row r="125" spans="1:33" hidden="1">
      <c r="A125" s="555"/>
      <c r="B125" s="623"/>
      <c r="C125" s="607"/>
      <c r="D125" s="609"/>
      <c r="E125" s="608"/>
      <c r="F125" s="609"/>
      <c r="G125" s="609"/>
      <c r="H125" s="603"/>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6"/>
        <v>0</v>
      </c>
      <c r="AE125" s="629">
        <f t="shared" si="7"/>
        <v>0</v>
      </c>
      <c r="AF125" s="634">
        <f t="shared" si="8"/>
        <v>0</v>
      </c>
      <c r="AG125" s="43"/>
    </row>
    <row r="126" spans="1:33" hidden="1">
      <c r="A126" s="555"/>
      <c r="B126" s="623"/>
      <c r="C126" s="607"/>
      <c r="D126" s="609"/>
      <c r="E126" s="608"/>
      <c r="F126" s="609"/>
      <c r="G126" s="609"/>
      <c r="H126" s="603"/>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6"/>
        <v>0</v>
      </c>
      <c r="AE126" s="629">
        <f t="shared" si="7"/>
        <v>0</v>
      </c>
      <c r="AF126" s="634">
        <f t="shared" si="8"/>
        <v>0</v>
      </c>
      <c r="AG126" s="43"/>
    </row>
    <row r="127" spans="1:33" hidden="1">
      <c r="A127" s="555"/>
      <c r="B127" s="623"/>
      <c r="C127" s="607"/>
      <c r="D127" s="609"/>
      <c r="E127" s="608"/>
      <c r="F127" s="609"/>
      <c r="G127" s="609"/>
      <c r="H127" s="603"/>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6"/>
        <v>0</v>
      </c>
      <c r="AE127" s="629">
        <f t="shared" si="7"/>
        <v>0</v>
      </c>
      <c r="AF127" s="634">
        <f t="shared" si="8"/>
        <v>0</v>
      </c>
      <c r="AG127" s="43"/>
    </row>
    <row r="128" spans="1:33" hidden="1">
      <c r="A128" s="555"/>
      <c r="B128" s="623"/>
      <c r="C128" s="607"/>
      <c r="D128" s="609"/>
      <c r="E128" s="608"/>
      <c r="F128" s="609"/>
      <c r="G128" s="609"/>
      <c r="H128" s="603"/>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6"/>
        <v>0</v>
      </c>
      <c r="AE128" s="629">
        <f t="shared" si="7"/>
        <v>0</v>
      </c>
      <c r="AF128" s="634">
        <f t="shared" si="8"/>
        <v>0</v>
      </c>
      <c r="AG128" s="43"/>
    </row>
    <row r="129" spans="1:33" hidden="1">
      <c r="A129" s="555"/>
      <c r="B129" s="623"/>
      <c r="C129" s="607"/>
      <c r="D129" s="609"/>
      <c r="E129" s="608"/>
      <c r="F129" s="609"/>
      <c r="G129" s="609"/>
      <c r="H129" s="603"/>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6"/>
        <v>0</v>
      </c>
      <c r="AE129" s="629">
        <f t="shared" si="7"/>
        <v>0</v>
      </c>
      <c r="AF129" s="634">
        <f t="shared" si="8"/>
        <v>0</v>
      </c>
      <c r="AG129" s="43"/>
    </row>
    <row r="130" spans="1:33" hidden="1">
      <c r="A130" s="555"/>
      <c r="B130" s="623"/>
      <c r="C130" s="607"/>
      <c r="D130" s="609"/>
      <c r="E130" s="608"/>
      <c r="F130" s="609"/>
      <c r="G130" s="609"/>
      <c r="H130" s="603"/>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6"/>
        <v>0</v>
      </c>
      <c r="AE130" s="629">
        <f t="shared" si="7"/>
        <v>0</v>
      </c>
      <c r="AF130" s="634">
        <f t="shared" si="8"/>
        <v>0</v>
      </c>
      <c r="AG130" s="43"/>
    </row>
    <row r="131" spans="1:33" hidden="1">
      <c r="A131" s="555"/>
      <c r="B131" s="623"/>
      <c r="C131" s="607"/>
      <c r="D131" s="609"/>
      <c r="E131" s="608"/>
      <c r="F131" s="609"/>
      <c r="G131" s="609"/>
      <c r="H131" s="603"/>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6"/>
        <v>0</v>
      </c>
      <c r="AE131" s="629">
        <f t="shared" si="7"/>
        <v>0</v>
      </c>
      <c r="AF131" s="634">
        <f t="shared" si="8"/>
        <v>0</v>
      </c>
      <c r="AG131" s="43"/>
    </row>
    <row r="132" spans="1:33" hidden="1">
      <c r="A132" s="555"/>
      <c r="B132" s="623"/>
      <c r="C132" s="607"/>
      <c r="D132" s="609"/>
      <c r="E132" s="608"/>
      <c r="F132" s="609"/>
      <c r="G132" s="609"/>
      <c r="H132" s="603"/>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6"/>
        <v>0</v>
      </c>
      <c r="AE132" s="629">
        <f t="shared" si="7"/>
        <v>0</v>
      </c>
      <c r="AF132" s="634">
        <f t="shared" si="8"/>
        <v>0</v>
      </c>
      <c r="AG132" s="43"/>
    </row>
    <row r="133" spans="1:33" hidden="1">
      <c r="A133" s="555"/>
      <c r="B133" s="623"/>
      <c r="C133" s="607"/>
      <c r="D133" s="609"/>
      <c r="E133" s="608"/>
      <c r="F133" s="609"/>
      <c r="G133" s="609"/>
      <c r="H133" s="603"/>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6"/>
        <v>0</v>
      </c>
      <c r="AE133" s="629">
        <f t="shared" si="7"/>
        <v>0</v>
      </c>
      <c r="AF133" s="634">
        <f t="shared" si="8"/>
        <v>0</v>
      </c>
      <c r="AG133" s="43"/>
    </row>
    <row r="134" spans="1:33" hidden="1">
      <c r="A134" s="555"/>
      <c r="B134" s="623"/>
      <c r="C134" s="607"/>
      <c r="D134" s="609"/>
      <c r="E134" s="608"/>
      <c r="F134" s="609"/>
      <c r="G134" s="609"/>
      <c r="H134" s="603"/>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6"/>
        <v>0</v>
      </c>
      <c r="AE134" s="629">
        <f t="shared" si="7"/>
        <v>0</v>
      </c>
      <c r="AF134" s="634">
        <f t="shared" si="8"/>
        <v>0</v>
      </c>
      <c r="AG134" s="43"/>
    </row>
    <row r="135" spans="1:33" hidden="1">
      <c r="A135" s="555"/>
      <c r="B135" s="623"/>
      <c r="C135" s="607"/>
      <c r="D135" s="609"/>
      <c r="E135" s="608"/>
      <c r="F135" s="609"/>
      <c r="G135" s="609"/>
      <c r="H135" s="603"/>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6"/>
        <v>0</v>
      </c>
      <c r="AE135" s="629">
        <f t="shared" si="7"/>
        <v>0</v>
      </c>
      <c r="AF135" s="634">
        <f t="shared" si="8"/>
        <v>0</v>
      </c>
      <c r="AG135" s="43"/>
    </row>
    <row r="136" spans="1:33" hidden="1">
      <c r="A136" s="555"/>
      <c r="B136" s="623"/>
      <c r="C136" s="607"/>
      <c r="D136" s="609"/>
      <c r="E136" s="608"/>
      <c r="F136" s="609"/>
      <c r="G136" s="609"/>
      <c r="H136" s="603"/>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6"/>
        <v>0</v>
      </c>
      <c r="AE136" s="629">
        <f t="shared" si="7"/>
        <v>0</v>
      </c>
      <c r="AF136" s="634">
        <f t="shared" si="8"/>
        <v>0</v>
      </c>
      <c r="AG136" s="43"/>
    </row>
    <row r="137" spans="1:33" hidden="1">
      <c r="A137" s="555"/>
      <c r="B137" s="623"/>
      <c r="C137" s="607"/>
      <c r="D137" s="609"/>
      <c r="E137" s="608"/>
      <c r="F137" s="609"/>
      <c r="G137" s="609"/>
      <c r="H137" s="603"/>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6"/>
        <v>0</v>
      </c>
      <c r="AE137" s="629">
        <f t="shared" si="7"/>
        <v>0</v>
      </c>
      <c r="AF137" s="634">
        <f t="shared" si="8"/>
        <v>0</v>
      </c>
      <c r="AG137" s="43"/>
    </row>
    <row r="138" spans="1:33" hidden="1">
      <c r="A138" s="555"/>
      <c r="B138" s="623"/>
      <c r="C138" s="607"/>
      <c r="D138" s="609"/>
      <c r="E138" s="608"/>
      <c r="F138" s="609"/>
      <c r="G138" s="609"/>
      <c r="H138" s="603"/>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6"/>
        <v>0</v>
      </c>
      <c r="AE138" s="629">
        <f t="shared" si="7"/>
        <v>0</v>
      </c>
      <c r="AF138" s="634">
        <f t="shared" si="8"/>
        <v>0</v>
      </c>
      <c r="AG138" s="43"/>
    </row>
    <row r="139" spans="1:33" hidden="1">
      <c r="A139" s="555"/>
      <c r="B139" s="623"/>
      <c r="C139" s="607"/>
      <c r="D139" s="609"/>
      <c r="E139" s="608"/>
      <c r="F139" s="609"/>
      <c r="G139" s="609"/>
      <c r="H139" s="603"/>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6"/>
        <v>0</v>
      </c>
      <c r="AE139" s="629">
        <f t="shared" si="7"/>
        <v>0</v>
      </c>
      <c r="AF139" s="634">
        <f t="shared" si="8"/>
        <v>0</v>
      </c>
      <c r="AG139" s="43"/>
    </row>
    <row r="140" spans="1:33" hidden="1">
      <c r="A140" s="555"/>
      <c r="B140" s="623"/>
      <c r="C140" s="607"/>
      <c r="D140" s="609"/>
      <c r="E140" s="608"/>
      <c r="F140" s="609"/>
      <c r="G140" s="609"/>
      <c r="H140" s="603"/>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6"/>
        <v>0</v>
      </c>
      <c r="AE140" s="629">
        <f t="shared" si="7"/>
        <v>0</v>
      </c>
      <c r="AF140" s="634">
        <f t="shared" si="8"/>
        <v>0</v>
      </c>
      <c r="AG140" s="43"/>
    </row>
    <row r="141" spans="1:33" hidden="1">
      <c r="A141" s="555"/>
      <c r="B141" s="623"/>
      <c r="C141" s="607"/>
      <c r="D141" s="609"/>
      <c r="E141" s="608"/>
      <c r="F141" s="609"/>
      <c r="G141" s="609"/>
      <c r="H141" s="603"/>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6"/>
        <v>0</v>
      </c>
      <c r="AE141" s="629">
        <f t="shared" si="7"/>
        <v>0</v>
      </c>
      <c r="AF141" s="634">
        <f t="shared" si="8"/>
        <v>0</v>
      </c>
      <c r="AG141" s="43"/>
    </row>
    <row r="142" spans="1:33" hidden="1">
      <c r="A142" s="555"/>
      <c r="B142" s="623"/>
      <c r="C142" s="607"/>
      <c r="D142" s="609"/>
      <c r="E142" s="608"/>
      <c r="F142" s="609"/>
      <c r="G142" s="609"/>
      <c r="H142" s="603"/>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6"/>
        <v>0</v>
      </c>
      <c r="AE142" s="629">
        <f t="shared" si="7"/>
        <v>0</v>
      </c>
      <c r="AF142" s="634">
        <f t="shared" si="8"/>
        <v>0</v>
      </c>
      <c r="AG142" s="43"/>
    </row>
    <row r="143" spans="1:33" hidden="1">
      <c r="A143" s="555"/>
      <c r="B143" s="623"/>
      <c r="C143" s="607"/>
      <c r="D143" s="609"/>
      <c r="E143" s="608"/>
      <c r="F143" s="609"/>
      <c r="G143" s="609"/>
      <c r="H143" s="603"/>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6"/>
        <v>0</v>
      </c>
      <c r="AE143" s="629">
        <f t="shared" si="7"/>
        <v>0</v>
      </c>
      <c r="AF143" s="634">
        <f t="shared" si="8"/>
        <v>0</v>
      </c>
      <c r="AG143" s="43"/>
    </row>
    <row r="144" spans="1:33" hidden="1">
      <c r="A144" s="555"/>
      <c r="B144" s="623"/>
      <c r="C144" s="607"/>
      <c r="D144" s="609"/>
      <c r="E144" s="608"/>
      <c r="F144" s="609"/>
      <c r="G144" s="609"/>
      <c r="H144" s="603"/>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si="6"/>
        <v>0</v>
      </c>
      <c r="AE144" s="629">
        <f t="shared" si="7"/>
        <v>0</v>
      </c>
      <c r="AF144" s="634">
        <f t="shared" si="8"/>
        <v>0</v>
      </c>
      <c r="AG144" s="43"/>
    </row>
    <row r="145" spans="1:57" hidden="1">
      <c r="A145" s="555"/>
      <c r="B145" s="623"/>
      <c r="C145" s="607"/>
      <c r="D145" s="609"/>
      <c r="E145" s="608"/>
      <c r="F145" s="609"/>
      <c r="G145" s="609"/>
      <c r="H145" s="603"/>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ref="AD145:AD196" si="9">SUM(G145:AC145)</f>
        <v>0</v>
      </c>
      <c r="AE145" s="629">
        <f t="shared" ref="AE145:AE196" si="10">SUM(D145:F145)</f>
        <v>0</v>
      </c>
      <c r="AF145" s="634">
        <f t="shared" ref="AF145:AF196" si="11">AD145-AE145</f>
        <v>0</v>
      </c>
      <c r="AG145" s="43"/>
    </row>
    <row r="146" spans="1:57" hidden="1">
      <c r="A146" s="555"/>
      <c r="B146" s="623"/>
      <c r="C146" s="607"/>
      <c r="D146" s="609"/>
      <c r="E146" s="608"/>
      <c r="F146" s="609"/>
      <c r="G146" s="609"/>
      <c r="H146" s="603"/>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9"/>
        <v>0</v>
      </c>
      <c r="AE146" s="629">
        <f t="shared" si="10"/>
        <v>0</v>
      </c>
      <c r="AF146" s="634">
        <f t="shared" si="11"/>
        <v>0</v>
      </c>
      <c r="AG146" s="43"/>
    </row>
    <row r="147" spans="1:57" hidden="1">
      <c r="A147" s="555"/>
      <c r="B147" s="623"/>
      <c r="C147" s="607"/>
      <c r="D147" s="609"/>
      <c r="E147" s="608"/>
      <c r="F147" s="609"/>
      <c r="G147" s="609"/>
      <c r="H147" s="603"/>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9"/>
        <v>0</v>
      </c>
      <c r="AE147" s="629">
        <f t="shared" si="10"/>
        <v>0</v>
      </c>
      <c r="AF147" s="634">
        <f t="shared" si="11"/>
        <v>0</v>
      </c>
      <c r="AG147" s="43"/>
    </row>
    <row r="148" spans="1:57" hidden="1">
      <c r="A148" s="555"/>
      <c r="B148" s="623"/>
      <c r="C148" s="607"/>
      <c r="D148" s="609"/>
      <c r="E148" s="608"/>
      <c r="F148" s="609"/>
      <c r="G148" s="609"/>
      <c r="H148" s="603"/>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9"/>
        <v>0</v>
      </c>
      <c r="AE148" s="629">
        <f t="shared" si="10"/>
        <v>0</v>
      </c>
      <c r="AF148" s="634">
        <f t="shared" si="11"/>
        <v>0</v>
      </c>
      <c r="AG148" s="43"/>
    </row>
    <row r="149" spans="1:57" hidden="1">
      <c r="A149" s="555"/>
      <c r="B149" s="623"/>
      <c r="C149" s="607"/>
      <c r="D149" s="609"/>
      <c r="E149" s="608"/>
      <c r="F149" s="609"/>
      <c r="G149" s="609"/>
      <c r="H149" s="603"/>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9"/>
        <v>0</v>
      </c>
      <c r="AE149" s="629">
        <f t="shared" si="10"/>
        <v>0</v>
      </c>
      <c r="AF149" s="634">
        <f t="shared" si="11"/>
        <v>0</v>
      </c>
      <c r="AG149" s="43"/>
    </row>
    <row r="150" spans="1:57" hidden="1">
      <c r="A150" s="555"/>
      <c r="B150" s="623"/>
      <c r="C150" s="607"/>
      <c r="D150" s="609"/>
      <c r="E150" s="608"/>
      <c r="F150" s="609"/>
      <c r="G150" s="609"/>
      <c r="H150" s="603"/>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9"/>
        <v>0</v>
      </c>
      <c r="AE150" s="629">
        <f t="shared" si="10"/>
        <v>0</v>
      </c>
      <c r="AF150" s="634">
        <f t="shared" si="11"/>
        <v>0</v>
      </c>
      <c r="AG150" s="43"/>
    </row>
    <row r="151" spans="1:57" hidden="1">
      <c r="A151" s="555"/>
      <c r="B151" s="623"/>
      <c r="C151" s="607"/>
      <c r="D151" s="609"/>
      <c r="E151" s="608"/>
      <c r="F151" s="609"/>
      <c r="G151" s="609"/>
      <c r="H151" s="603"/>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9"/>
        <v>0</v>
      </c>
      <c r="AE151" s="629">
        <f t="shared" si="10"/>
        <v>0</v>
      </c>
      <c r="AF151" s="634">
        <f t="shared" si="11"/>
        <v>0</v>
      </c>
      <c r="AG151" s="43"/>
    </row>
    <row r="152" spans="1:57" hidden="1">
      <c r="A152" s="555"/>
      <c r="B152" s="623"/>
      <c r="C152" s="607"/>
      <c r="D152" s="609"/>
      <c r="E152" s="608"/>
      <c r="F152" s="609"/>
      <c r="G152" s="609"/>
      <c r="H152" s="603"/>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9"/>
        <v>0</v>
      </c>
      <c r="AE152" s="629">
        <f t="shared" si="10"/>
        <v>0</v>
      </c>
      <c r="AF152" s="634">
        <f t="shared" si="11"/>
        <v>0</v>
      </c>
      <c r="AG152" s="43"/>
    </row>
    <row r="153" spans="1:57" hidden="1">
      <c r="A153" s="555"/>
      <c r="B153" s="623"/>
      <c r="C153" s="607"/>
      <c r="D153" s="609"/>
      <c r="E153" s="608"/>
      <c r="F153" s="609"/>
      <c r="G153" s="609"/>
      <c r="H153" s="603"/>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9"/>
        <v>0</v>
      </c>
      <c r="AE153" s="629">
        <f t="shared" si="10"/>
        <v>0</v>
      </c>
      <c r="AF153" s="634">
        <f t="shared" si="11"/>
        <v>0</v>
      </c>
      <c r="AG153" s="43"/>
    </row>
    <row r="154" spans="1:57" hidden="1">
      <c r="A154" s="555"/>
      <c r="B154" s="623"/>
      <c r="C154" s="607"/>
      <c r="D154" s="609"/>
      <c r="E154" s="608"/>
      <c r="F154" s="609"/>
      <c r="G154" s="609"/>
      <c r="H154" s="603"/>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9"/>
        <v>0</v>
      </c>
      <c r="AE154" s="629">
        <f t="shared" si="10"/>
        <v>0</v>
      </c>
      <c r="AF154" s="634">
        <f t="shared" si="11"/>
        <v>0</v>
      </c>
      <c r="AG154" s="43"/>
    </row>
    <row r="155" spans="1:57" hidden="1">
      <c r="A155" s="555"/>
      <c r="B155" s="623"/>
      <c r="C155" s="607"/>
      <c r="D155" s="609"/>
      <c r="E155" s="608"/>
      <c r="F155" s="609"/>
      <c r="G155" s="609"/>
      <c r="H155" s="603"/>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9"/>
        <v>0</v>
      </c>
      <c r="AE155" s="629">
        <f t="shared" si="10"/>
        <v>0</v>
      </c>
      <c r="AF155" s="634">
        <f t="shared" si="11"/>
        <v>0</v>
      </c>
      <c r="AG155" s="43"/>
    </row>
    <row r="156" spans="1:57" hidden="1">
      <c r="A156" s="555"/>
      <c r="B156" s="623"/>
      <c r="C156" s="607"/>
      <c r="D156" s="609"/>
      <c r="E156" s="608"/>
      <c r="F156" s="609"/>
      <c r="G156" s="609"/>
      <c r="H156" s="603"/>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9"/>
        <v>0</v>
      </c>
      <c r="AE156" s="629">
        <f t="shared" si="10"/>
        <v>0</v>
      </c>
      <c r="AF156" s="634">
        <f t="shared" si="11"/>
        <v>0</v>
      </c>
      <c r="AG156" s="43"/>
    </row>
    <row r="157" spans="1:57" hidden="1">
      <c r="A157" s="555"/>
      <c r="B157" s="623"/>
      <c r="C157" s="607"/>
      <c r="D157" s="609"/>
      <c r="E157" s="608"/>
      <c r="F157" s="609"/>
      <c r="G157" s="609"/>
      <c r="H157" s="603"/>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9"/>
        <v>0</v>
      </c>
      <c r="AE157" s="629">
        <f t="shared" si="10"/>
        <v>0</v>
      </c>
      <c r="AF157" s="634">
        <f t="shared" si="11"/>
        <v>0</v>
      </c>
      <c r="AG157" s="43"/>
    </row>
    <row r="158" spans="1:57" hidden="1">
      <c r="A158" s="555"/>
      <c r="B158" s="623"/>
      <c r="C158" s="607"/>
      <c r="D158" s="609"/>
      <c r="E158" s="608"/>
      <c r="F158" s="609"/>
      <c r="G158" s="609"/>
      <c r="H158" s="603"/>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9"/>
        <v>0</v>
      </c>
      <c r="AE158" s="629">
        <f t="shared" si="10"/>
        <v>0</v>
      </c>
      <c r="AF158" s="634">
        <f t="shared" si="11"/>
        <v>0</v>
      </c>
      <c r="AG158" s="43">
        <f t="shared" ref="AG158:AG169" si="12">IF(AF158=0,0,"ERROR HERE")</f>
        <v>0</v>
      </c>
      <c r="AH158" s="7">
        <f t="shared" ref="AH158:AQ165" si="13">IF(OR(ISERROR(+H158/($D158+$E158-$G158)*$G158+H158),LEFT(F158,1)="x"),0,+H158/($D158+$E158-$G158)*$G158+H158)</f>
        <v>0</v>
      </c>
      <c r="AI158" s="7">
        <f t="shared" si="13"/>
        <v>0</v>
      </c>
      <c r="AJ158" s="7">
        <f t="shared" si="13"/>
        <v>0</v>
      </c>
      <c r="AK158" s="7">
        <f t="shared" si="13"/>
        <v>0</v>
      </c>
      <c r="AL158" s="7">
        <f t="shared" si="13"/>
        <v>0</v>
      </c>
      <c r="AM158" s="7">
        <f t="shared" si="13"/>
        <v>0</v>
      </c>
      <c r="AN158" s="7">
        <f t="shared" si="13"/>
        <v>0</v>
      </c>
      <c r="AO158" s="7">
        <f t="shared" si="13"/>
        <v>0</v>
      </c>
      <c r="AP158" s="7">
        <f t="shared" si="13"/>
        <v>0</v>
      </c>
      <c r="AQ158" s="7">
        <f t="shared" si="13"/>
        <v>0</v>
      </c>
      <c r="AR158" s="7">
        <f t="shared" ref="AR158:BA165" si="14">IF(OR(ISERROR(+R158/($D158+$E158-$G158)*$G158+R158),LEFT(P158,1)="x"),0,+R158/($D158+$E158-$G158)*$G158+R158)</f>
        <v>0</v>
      </c>
      <c r="AS158" s="7">
        <f t="shared" si="14"/>
        <v>0</v>
      </c>
      <c r="AT158" s="7">
        <f t="shared" si="14"/>
        <v>0</v>
      </c>
      <c r="AU158" s="7">
        <f t="shared" si="14"/>
        <v>0</v>
      </c>
      <c r="AV158" s="7">
        <f t="shared" si="14"/>
        <v>0</v>
      </c>
      <c r="AW158" s="7">
        <f t="shared" si="14"/>
        <v>0</v>
      </c>
      <c r="AX158" s="7">
        <f t="shared" si="14"/>
        <v>0</v>
      </c>
      <c r="AY158" s="7">
        <f t="shared" si="14"/>
        <v>0</v>
      </c>
      <c r="AZ158" s="7">
        <f t="shared" si="14"/>
        <v>0</v>
      </c>
      <c r="BA158" s="7">
        <f t="shared" si="14"/>
        <v>0</v>
      </c>
      <c r="BB158" s="7">
        <f t="shared" ref="BB158:BB165" si="15">IF(OR(ISERROR(+AB158/($D158+$E158-$G158)*$G158+AB158),LEFT(Z158,1)="x"),0,+AB158/($D158+$E158-$G158)*$G158+AB158)</f>
        <v>0</v>
      </c>
      <c r="BC158" s="7">
        <f>IF(OR(ISERROR(+#REF!/($D158+$E158-$G158)*$G158+#REF!),LEFT(AA158,1)="x"),0,+#REF!/($D158+$E158-$G158)*$G158+#REF!)</f>
        <v>0</v>
      </c>
      <c r="BD158" s="7">
        <f>IF(OR(ISERROR(+#REF!/($D158+$E158-$G158)*$G158+#REF!),LEFT(AB158,1)="x"),0,+#REF!/($D158+$E158-$G158)*$G158+#REF!)</f>
        <v>0</v>
      </c>
      <c r="BE158" s="7" t="e">
        <f>IF(OR(ISERROR(+AC158/($D158+$E158-$G158)*$G158+AC158),LEFT(#REF!,1)="x"),0,+AC158/($D158+$E158-$G158)*$G158+AC158)</f>
        <v>#REF!</v>
      </c>
    </row>
    <row r="159" spans="1:57" hidden="1">
      <c r="A159" s="555"/>
      <c r="B159" s="623"/>
      <c r="C159" s="607"/>
      <c r="D159" s="609"/>
      <c r="E159" s="608"/>
      <c r="F159" s="609"/>
      <c r="G159" s="609"/>
      <c r="H159" s="603"/>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9"/>
        <v>0</v>
      </c>
      <c r="AE159" s="629">
        <f t="shared" si="10"/>
        <v>0</v>
      </c>
      <c r="AF159" s="634">
        <f t="shared" si="11"/>
        <v>0</v>
      </c>
      <c r="AG159" s="43">
        <f t="shared" si="12"/>
        <v>0</v>
      </c>
      <c r="AH159" s="7">
        <f t="shared" si="13"/>
        <v>0</v>
      </c>
      <c r="AI159" s="7">
        <f t="shared" si="13"/>
        <v>0</v>
      </c>
      <c r="AJ159" s="7">
        <f t="shared" si="13"/>
        <v>0</v>
      </c>
      <c r="AK159" s="7">
        <f t="shared" si="13"/>
        <v>0</v>
      </c>
      <c r="AL159" s="7">
        <f t="shared" si="13"/>
        <v>0</v>
      </c>
      <c r="AM159" s="7">
        <f t="shared" si="13"/>
        <v>0</v>
      </c>
      <c r="AN159" s="7">
        <f t="shared" si="13"/>
        <v>0</v>
      </c>
      <c r="AO159" s="7">
        <f t="shared" si="13"/>
        <v>0</v>
      </c>
      <c r="AP159" s="7">
        <f t="shared" si="13"/>
        <v>0</v>
      </c>
      <c r="AQ159" s="7">
        <f t="shared" si="13"/>
        <v>0</v>
      </c>
      <c r="AR159" s="7">
        <f t="shared" si="14"/>
        <v>0</v>
      </c>
      <c r="AS159" s="7">
        <f t="shared" si="14"/>
        <v>0</v>
      </c>
      <c r="AT159" s="7">
        <f t="shared" si="14"/>
        <v>0</v>
      </c>
      <c r="AU159" s="7">
        <f t="shared" si="14"/>
        <v>0</v>
      </c>
      <c r="AV159" s="7">
        <f t="shared" si="14"/>
        <v>0</v>
      </c>
      <c r="AW159" s="7">
        <f t="shared" si="14"/>
        <v>0</v>
      </c>
      <c r="AX159" s="7">
        <f t="shared" si="14"/>
        <v>0</v>
      </c>
      <c r="AY159" s="7">
        <f t="shared" si="14"/>
        <v>0</v>
      </c>
      <c r="AZ159" s="7">
        <f t="shared" si="14"/>
        <v>0</v>
      </c>
      <c r="BA159" s="7">
        <f t="shared" si="14"/>
        <v>0</v>
      </c>
      <c r="BB159" s="7">
        <f t="shared" si="15"/>
        <v>0</v>
      </c>
      <c r="BC159" s="7">
        <f>IF(OR(ISERROR(+#REF!/($D159+$E159-$G159)*$G159+#REF!),LEFT(AA159,1)="x"),0,+#REF!/($D159+$E159-$G159)*$G159+#REF!)</f>
        <v>0</v>
      </c>
      <c r="BD159" s="7">
        <f>IF(OR(ISERROR(+#REF!/($D159+$E159-$G159)*$G159+#REF!),LEFT(AB159,1)="x"),0,+#REF!/($D159+$E159-$G159)*$G159+#REF!)</f>
        <v>0</v>
      </c>
      <c r="BE159" s="7" t="e">
        <f>IF(OR(ISERROR(+AC159/($D159+$E159-$G159)*$G159+AC159),LEFT(#REF!,1)="x"),0,+AC159/($D159+$E159-$G159)*$G159+AC159)</f>
        <v>#REF!</v>
      </c>
    </row>
    <row r="160" spans="1:57" hidden="1">
      <c r="A160" s="555"/>
      <c r="B160" s="623"/>
      <c r="C160" s="607"/>
      <c r="D160" s="609"/>
      <c r="E160" s="608"/>
      <c r="F160" s="609"/>
      <c r="G160" s="609"/>
      <c r="H160" s="603"/>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9"/>
        <v>0</v>
      </c>
      <c r="AE160" s="629">
        <f t="shared" si="10"/>
        <v>0</v>
      </c>
      <c r="AF160" s="634">
        <f t="shared" si="11"/>
        <v>0</v>
      </c>
      <c r="AG160" s="43">
        <f t="shared" si="12"/>
        <v>0</v>
      </c>
      <c r="AH160" s="7">
        <f t="shared" si="13"/>
        <v>0</v>
      </c>
      <c r="AI160" s="7">
        <f t="shared" si="13"/>
        <v>0</v>
      </c>
      <c r="AJ160" s="7">
        <f t="shared" si="13"/>
        <v>0</v>
      </c>
      <c r="AK160" s="7">
        <f t="shared" si="13"/>
        <v>0</v>
      </c>
      <c r="AL160" s="7">
        <f t="shared" si="13"/>
        <v>0</v>
      </c>
      <c r="AM160" s="7">
        <f t="shared" si="13"/>
        <v>0</v>
      </c>
      <c r="AN160" s="7">
        <f t="shared" si="13"/>
        <v>0</v>
      </c>
      <c r="AO160" s="7">
        <f t="shared" si="13"/>
        <v>0</v>
      </c>
      <c r="AP160" s="7">
        <f t="shared" si="13"/>
        <v>0</v>
      </c>
      <c r="AQ160" s="7">
        <f t="shared" si="13"/>
        <v>0</v>
      </c>
      <c r="AR160" s="7">
        <f t="shared" si="14"/>
        <v>0</v>
      </c>
      <c r="AS160" s="7">
        <f t="shared" si="14"/>
        <v>0</v>
      </c>
      <c r="AT160" s="7">
        <f t="shared" si="14"/>
        <v>0</v>
      </c>
      <c r="AU160" s="7">
        <f t="shared" si="14"/>
        <v>0</v>
      </c>
      <c r="AV160" s="7">
        <f t="shared" si="14"/>
        <v>0</v>
      </c>
      <c r="AW160" s="7">
        <f t="shared" si="14"/>
        <v>0</v>
      </c>
      <c r="AX160" s="7">
        <f t="shared" si="14"/>
        <v>0</v>
      </c>
      <c r="AY160" s="7">
        <f t="shared" si="14"/>
        <v>0</v>
      </c>
      <c r="AZ160" s="7">
        <f t="shared" si="14"/>
        <v>0</v>
      </c>
      <c r="BA160" s="7">
        <f t="shared" si="14"/>
        <v>0</v>
      </c>
      <c r="BB160" s="7">
        <f t="shared" si="15"/>
        <v>0</v>
      </c>
      <c r="BC160" s="7">
        <f>IF(OR(ISERROR(+#REF!/($D160+$E160-$G160)*$G160+#REF!),LEFT(AA160,1)="x"),0,+#REF!/($D160+$E160-$G160)*$G160+#REF!)</f>
        <v>0</v>
      </c>
      <c r="BD160" s="7">
        <f>IF(OR(ISERROR(+#REF!/($D160+$E160-$G160)*$G160+#REF!),LEFT(AB160,1)="x"),0,+#REF!/($D160+$E160-$G160)*$G160+#REF!)</f>
        <v>0</v>
      </c>
      <c r="BE160" s="7" t="e">
        <f>IF(OR(ISERROR(+AC160/($D160+$E160-$G160)*$G160+AC160),LEFT(#REF!,1)="x"),0,+AC160/($D160+$E160-$G160)*$G160+AC160)</f>
        <v>#REF!</v>
      </c>
    </row>
    <row r="161" spans="1:57" hidden="1">
      <c r="A161" s="555"/>
      <c r="B161" s="623"/>
      <c r="C161" s="607"/>
      <c r="D161" s="609"/>
      <c r="E161" s="608"/>
      <c r="F161" s="609"/>
      <c r="G161" s="609"/>
      <c r="H161" s="603"/>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9"/>
        <v>0</v>
      </c>
      <c r="AE161" s="629">
        <f t="shared" si="10"/>
        <v>0</v>
      </c>
      <c r="AF161" s="634">
        <f t="shared" si="11"/>
        <v>0</v>
      </c>
      <c r="AG161" s="43">
        <f t="shared" si="12"/>
        <v>0</v>
      </c>
      <c r="AH161" s="7">
        <f t="shared" si="13"/>
        <v>0</v>
      </c>
      <c r="AI161" s="7">
        <f t="shared" si="13"/>
        <v>0</v>
      </c>
      <c r="AJ161" s="7">
        <f t="shared" si="13"/>
        <v>0</v>
      </c>
      <c r="AK161" s="7">
        <f t="shared" si="13"/>
        <v>0</v>
      </c>
      <c r="AL161" s="7">
        <f t="shared" si="13"/>
        <v>0</v>
      </c>
      <c r="AM161" s="7">
        <f t="shared" si="13"/>
        <v>0</v>
      </c>
      <c r="AN161" s="7">
        <f t="shared" si="13"/>
        <v>0</v>
      </c>
      <c r="AO161" s="7">
        <f t="shared" si="13"/>
        <v>0</v>
      </c>
      <c r="AP161" s="7">
        <f t="shared" si="13"/>
        <v>0</v>
      </c>
      <c r="AQ161" s="7">
        <f t="shared" si="13"/>
        <v>0</v>
      </c>
      <c r="AR161" s="7">
        <f t="shared" si="14"/>
        <v>0</v>
      </c>
      <c r="AS161" s="7">
        <f t="shared" si="14"/>
        <v>0</v>
      </c>
      <c r="AT161" s="7">
        <f t="shared" si="14"/>
        <v>0</v>
      </c>
      <c r="AU161" s="7">
        <f t="shared" si="14"/>
        <v>0</v>
      </c>
      <c r="AV161" s="7">
        <f t="shared" si="14"/>
        <v>0</v>
      </c>
      <c r="AW161" s="7">
        <f t="shared" si="14"/>
        <v>0</v>
      </c>
      <c r="AX161" s="7">
        <f t="shared" si="14"/>
        <v>0</v>
      </c>
      <c r="AY161" s="7">
        <f t="shared" si="14"/>
        <v>0</v>
      </c>
      <c r="AZ161" s="7">
        <f t="shared" si="14"/>
        <v>0</v>
      </c>
      <c r="BA161" s="7">
        <f t="shared" si="14"/>
        <v>0</v>
      </c>
      <c r="BB161" s="7">
        <f t="shared" si="15"/>
        <v>0</v>
      </c>
      <c r="BC161" s="7">
        <f>IF(OR(ISERROR(+#REF!/($D161+$E161-$G161)*$G161+#REF!),LEFT(AA161,1)="x"),0,+#REF!/($D161+$E161-$G161)*$G161+#REF!)</f>
        <v>0</v>
      </c>
      <c r="BD161" s="7">
        <f>IF(OR(ISERROR(+#REF!/($D161+$E161-$G161)*$G161+#REF!),LEFT(AB161,1)="x"),0,+#REF!/($D161+$E161-$G161)*$G161+#REF!)</f>
        <v>0</v>
      </c>
      <c r="BE161" s="7" t="e">
        <f>IF(OR(ISERROR(+AC161/($D161+$E161-$G161)*$G161+AC161),LEFT(#REF!,1)="x"),0,+AC161/($D161+$E161-$G161)*$G161+AC161)</f>
        <v>#REF!</v>
      </c>
    </row>
    <row r="162" spans="1:57" hidden="1">
      <c r="A162" s="555"/>
      <c r="B162" s="623"/>
      <c r="C162" s="607"/>
      <c r="D162" s="609"/>
      <c r="E162" s="608"/>
      <c r="F162" s="609"/>
      <c r="G162" s="609"/>
      <c r="H162" s="603"/>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9"/>
        <v>0</v>
      </c>
      <c r="AE162" s="629">
        <f t="shared" si="10"/>
        <v>0</v>
      </c>
      <c r="AF162" s="634">
        <f t="shared" si="11"/>
        <v>0</v>
      </c>
      <c r="AG162" s="43">
        <f t="shared" si="12"/>
        <v>0</v>
      </c>
      <c r="AH162" s="7">
        <f t="shared" si="13"/>
        <v>0</v>
      </c>
      <c r="AI162" s="7">
        <f t="shared" si="13"/>
        <v>0</v>
      </c>
      <c r="AJ162" s="7">
        <f t="shared" si="13"/>
        <v>0</v>
      </c>
      <c r="AK162" s="7">
        <f t="shared" si="13"/>
        <v>0</v>
      </c>
      <c r="AL162" s="7">
        <f t="shared" si="13"/>
        <v>0</v>
      </c>
      <c r="AM162" s="7">
        <f t="shared" si="13"/>
        <v>0</v>
      </c>
      <c r="AN162" s="7">
        <f t="shared" si="13"/>
        <v>0</v>
      </c>
      <c r="AO162" s="7">
        <f t="shared" si="13"/>
        <v>0</v>
      </c>
      <c r="AP162" s="7">
        <f t="shared" si="13"/>
        <v>0</v>
      </c>
      <c r="AQ162" s="7">
        <f t="shared" si="13"/>
        <v>0</v>
      </c>
      <c r="AR162" s="7">
        <f t="shared" si="14"/>
        <v>0</v>
      </c>
      <c r="AS162" s="7">
        <f t="shared" si="14"/>
        <v>0</v>
      </c>
      <c r="AT162" s="7">
        <f t="shared" si="14"/>
        <v>0</v>
      </c>
      <c r="AU162" s="7">
        <f t="shared" si="14"/>
        <v>0</v>
      </c>
      <c r="AV162" s="7">
        <f t="shared" si="14"/>
        <v>0</v>
      </c>
      <c r="AW162" s="7">
        <f t="shared" si="14"/>
        <v>0</v>
      </c>
      <c r="AX162" s="7">
        <f t="shared" si="14"/>
        <v>0</v>
      </c>
      <c r="AY162" s="7">
        <f t="shared" si="14"/>
        <v>0</v>
      </c>
      <c r="AZ162" s="7">
        <f t="shared" si="14"/>
        <v>0</v>
      </c>
      <c r="BA162" s="7">
        <f t="shared" si="14"/>
        <v>0</v>
      </c>
      <c r="BB162" s="7">
        <f t="shared" si="15"/>
        <v>0</v>
      </c>
      <c r="BC162" s="7">
        <f>IF(OR(ISERROR(+#REF!/($D162+$E162-$G162)*$G162+#REF!),LEFT(AA162,1)="x"),0,+#REF!/($D162+$E162-$G162)*$G162+#REF!)</f>
        <v>0</v>
      </c>
      <c r="BD162" s="7">
        <f>IF(OR(ISERROR(+#REF!/($D162+$E162-$G162)*$G162+#REF!),LEFT(AB162,1)="x"),0,+#REF!/($D162+$E162-$G162)*$G162+#REF!)</f>
        <v>0</v>
      </c>
      <c r="BE162" s="7" t="e">
        <f>IF(OR(ISERROR(+AC162/($D162+$E162-$G162)*$G162+AC162),LEFT(#REF!,1)="x"),0,+AC162/($D162+$E162-$G162)*$G162+AC162)</f>
        <v>#REF!</v>
      </c>
    </row>
    <row r="163" spans="1:57" hidden="1">
      <c r="A163" s="555"/>
      <c r="B163" s="623"/>
      <c r="C163" s="607"/>
      <c r="D163" s="609"/>
      <c r="E163" s="608"/>
      <c r="F163" s="609"/>
      <c r="G163" s="609"/>
      <c r="H163" s="603"/>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9"/>
        <v>0</v>
      </c>
      <c r="AE163" s="629">
        <f t="shared" si="10"/>
        <v>0</v>
      </c>
      <c r="AF163" s="634">
        <f t="shared" si="11"/>
        <v>0</v>
      </c>
      <c r="AG163" s="43">
        <f t="shared" si="12"/>
        <v>0</v>
      </c>
      <c r="AH163" s="7">
        <f t="shared" si="13"/>
        <v>0</v>
      </c>
      <c r="AI163" s="7">
        <f t="shared" si="13"/>
        <v>0</v>
      </c>
      <c r="AJ163" s="7">
        <f t="shared" si="13"/>
        <v>0</v>
      </c>
      <c r="AK163" s="7">
        <f t="shared" si="13"/>
        <v>0</v>
      </c>
      <c r="AL163" s="7">
        <f t="shared" si="13"/>
        <v>0</v>
      </c>
      <c r="AM163" s="7">
        <f t="shared" si="13"/>
        <v>0</v>
      </c>
      <c r="AN163" s="7">
        <f t="shared" si="13"/>
        <v>0</v>
      </c>
      <c r="AO163" s="7">
        <f t="shared" si="13"/>
        <v>0</v>
      </c>
      <c r="AP163" s="7">
        <f t="shared" si="13"/>
        <v>0</v>
      </c>
      <c r="AQ163" s="7">
        <f t="shared" si="13"/>
        <v>0</v>
      </c>
      <c r="AR163" s="7">
        <f t="shared" si="14"/>
        <v>0</v>
      </c>
      <c r="AS163" s="7">
        <f t="shared" si="14"/>
        <v>0</v>
      </c>
      <c r="AT163" s="7">
        <f t="shared" si="14"/>
        <v>0</v>
      </c>
      <c r="AU163" s="7">
        <f t="shared" si="14"/>
        <v>0</v>
      </c>
      <c r="AV163" s="7">
        <f t="shared" si="14"/>
        <v>0</v>
      </c>
      <c r="AW163" s="7">
        <f t="shared" si="14"/>
        <v>0</v>
      </c>
      <c r="AX163" s="7">
        <f t="shared" si="14"/>
        <v>0</v>
      </c>
      <c r="AY163" s="7">
        <f t="shared" si="14"/>
        <v>0</v>
      </c>
      <c r="AZ163" s="7">
        <f t="shared" si="14"/>
        <v>0</v>
      </c>
      <c r="BA163" s="7">
        <f t="shared" si="14"/>
        <v>0</v>
      </c>
      <c r="BB163" s="7">
        <f t="shared" si="15"/>
        <v>0</v>
      </c>
      <c r="BC163" s="7">
        <f>IF(OR(ISERROR(+#REF!/($D163+$E163-$G163)*$G163+#REF!),LEFT(AA163,1)="x"),0,+#REF!/($D163+$E163-$G163)*$G163+#REF!)</f>
        <v>0</v>
      </c>
      <c r="BD163" s="7">
        <f>IF(OR(ISERROR(+#REF!/($D163+$E163-$G163)*$G163+#REF!),LEFT(AB163,1)="x"),0,+#REF!/($D163+$E163-$G163)*$G163+#REF!)</f>
        <v>0</v>
      </c>
      <c r="BE163" s="7" t="e">
        <f>IF(OR(ISERROR(+AC163/($D163+$E163-$G163)*$G163+AC163),LEFT(#REF!,1)="x"),0,+AC163/($D163+$E163-$G163)*$G163+AC163)</f>
        <v>#REF!</v>
      </c>
    </row>
    <row r="164" spans="1:57" hidden="1">
      <c r="A164" s="555"/>
      <c r="B164" s="623"/>
      <c r="C164" s="607"/>
      <c r="D164" s="609"/>
      <c r="E164" s="608"/>
      <c r="F164" s="609"/>
      <c r="G164" s="609"/>
      <c r="H164" s="603"/>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9"/>
        <v>0</v>
      </c>
      <c r="AE164" s="629">
        <f t="shared" si="10"/>
        <v>0</v>
      </c>
      <c r="AF164" s="634">
        <f t="shared" si="11"/>
        <v>0</v>
      </c>
      <c r="AG164" s="43">
        <f t="shared" si="12"/>
        <v>0</v>
      </c>
      <c r="AH164" s="7">
        <f t="shared" si="13"/>
        <v>0</v>
      </c>
      <c r="AI164" s="7">
        <f t="shared" si="13"/>
        <v>0</v>
      </c>
      <c r="AJ164" s="7">
        <f t="shared" si="13"/>
        <v>0</v>
      </c>
      <c r="AK164" s="7">
        <f t="shared" si="13"/>
        <v>0</v>
      </c>
      <c r="AL164" s="7">
        <f t="shared" si="13"/>
        <v>0</v>
      </c>
      <c r="AM164" s="7">
        <f t="shared" si="13"/>
        <v>0</v>
      </c>
      <c r="AN164" s="7">
        <f t="shared" si="13"/>
        <v>0</v>
      </c>
      <c r="AO164" s="7">
        <f t="shared" si="13"/>
        <v>0</v>
      </c>
      <c r="AP164" s="7">
        <f t="shared" si="13"/>
        <v>0</v>
      </c>
      <c r="AQ164" s="7">
        <f t="shared" si="13"/>
        <v>0</v>
      </c>
      <c r="AR164" s="7">
        <f t="shared" si="14"/>
        <v>0</v>
      </c>
      <c r="AS164" s="7">
        <f t="shared" si="14"/>
        <v>0</v>
      </c>
      <c r="AT164" s="7">
        <f t="shared" si="14"/>
        <v>0</v>
      </c>
      <c r="AU164" s="7">
        <f t="shared" si="14"/>
        <v>0</v>
      </c>
      <c r="AV164" s="7">
        <f t="shared" si="14"/>
        <v>0</v>
      </c>
      <c r="AW164" s="7">
        <f t="shared" si="14"/>
        <v>0</v>
      </c>
      <c r="AX164" s="7">
        <f t="shared" si="14"/>
        <v>0</v>
      </c>
      <c r="AY164" s="7">
        <f t="shared" si="14"/>
        <v>0</v>
      </c>
      <c r="AZ164" s="7">
        <f t="shared" si="14"/>
        <v>0</v>
      </c>
      <c r="BA164" s="7">
        <f t="shared" si="14"/>
        <v>0</v>
      </c>
      <c r="BB164" s="7">
        <f t="shared" si="15"/>
        <v>0</v>
      </c>
      <c r="BC164" s="7">
        <f>IF(OR(ISERROR(+#REF!/($D164+$E164-$G164)*$G164+#REF!),LEFT(AA164,1)="x"),0,+#REF!/($D164+$E164-$G164)*$G164+#REF!)</f>
        <v>0</v>
      </c>
      <c r="BD164" s="7">
        <f>IF(OR(ISERROR(+#REF!/($D164+$E164-$G164)*$G164+#REF!),LEFT(AB164,1)="x"),0,+#REF!/($D164+$E164-$G164)*$G164+#REF!)</f>
        <v>0</v>
      </c>
      <c r="BE164" s="7" t="e">
        <f>IF(OR(ISERROR(+AC164/($D164+$E164-$G164)*$G164+AC164),LEFT(#REF!,1)="x"),0,+AC164/($D164+$E164-$G164)*$G164+AC164)</f>
        <v>#REF!</v>
      </c>
    </row>
    <row r="165" spans="1:57" hidden="1">
      <c r="A165" s="555"/>
      <c r="B165" s="623"/>
      <c r="C165" s="607"/>
      <c r="D165" s="609"/>
      <c r="E165" s="608"/>
      <c r="F165" s="609"/>
      <c r="G165" s="609"/>
      <c r="H165" s="603"/>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9"/>
        <v>0</v>
      </c>
      <c r="AE165" s="629">
        <f t="shared" si="10"/>
        <v>0</v>
      </c>
      <c r="AF165" s="634">
        <f t="shared" si="11"/>
        <v>0</v>
      </c>
      <c r="AG165" s="43">
        <f t="shared" si="12"/>
        <v>0</v>
      </c>
      <c r="AH165" s="7">
        <f t="shared" si="13"/>
        <v>0</v>
      </c>
      <c r="AI165" s="7">
        <f t="shared" si="13"/>
        <v>0</v>
      </c>
      <c r="AJ165" s="7">
        <f t="shared" si="13"/>
        <v>0</v>
      </c>
      <c r="AK165" s="7">
        <f t="shared" si="13"/>
        <v>0</v>
      </c>
      <c r="AL165" s="7">
        <f t="shared" si="13"/>
        <v>0</v>
      </c>
      <c r="AM165" s="7">
        <f t="shared" si="13"/>
        <v>0</v>
      </c>
      <c r="AN165" s="7">
        <f t="shared" si="13"/>
        <v>0</v>
      </c>
      <c r="AO165" s="7">
        <f t="shared" si="13"/>
        <v>0</v>
      </c>
      <c r="AP165" s="7">
        <f t="shared" si="13"/>
        <v>0</v>
      </c>
      <c r="AQ165" s="7">
        <f t="shared" si="13"/>
        <v>0</v>
      </c>
      <c r="AR165" s="7">
        <f t="shared" si="14"/>
        <v>0</v>
      </c>
      <c r="AS165" s="7">
        <f t="shared" si="14"/>
        <v>0</v>
      </c>
      <c r="AT165" s="7">
        <f t="shared" si="14"/>
        <v>0</v>
      </c>
      <c r="AU165" s="7">
        <f t="shared" si="14"/>
        <v>0</v>
      </c>
      <c r="AV165" s="7">
        <f t="shared" si="14"/>
        <v>0</v>
      </c>
      <c r="AW165" s="7">
        <f t="shared" si="14"/>
        <v>0</v>
      </c>
      <c r="AX165" s="7">
        <f t="shared" si="14"/>
        <v>0</v>
      </c>
      <c r="AY165" s="7">
        <f t="shared" si="14"/>
        <v>0</v>
      </c>
      <c r="AZ165" s="7">
        <f t="shared" si="14"/>
        <v>0</v>
      </c>
      <c r="BA165" s="7">
        <f t="shared" si="14"/>
        <v>0</v>
      </c>
      <c r="BB165" s="7">
        <f t="shared" si="15"/>
        <v>0</v>
      </c>
      <c r="BC165" s="7">
        <f>IF(OR(ISERROR(+#REF!/($D165+$E165-$G165)*$G165+#REF!),LEFT(AA165,1)="x"),0,+#REF!/($D165+$E165-$G165)*$G165+#REF!)</f>
        <v>0</v>
      </c>
      <c r="BD165" s="7">
        <f>IF(OR(ISERROR(+#REF!/($D165+$E165-$G165)*$G165+#REF!),LEFT(AB165,1)="x"),0,+#REF!/($D165+$E165-$G165)*$G165+#REF!)</f>
        <v>0</v>
      </c>
      <c r="BE165" s="7" t="e">
        <f>IF(OR(ISERROR(+AC165/($D165+$E165-$G165)*$G165+AC165),LEFT(#REF!,1)="x"),0,+AC165/($D165+$E165-$G165)*$G165+AC165)</f>
        <v>#REF!</v>
      </c>
    </row>
    <row r="166" spans="1:57" hidden="1">
      <c r="A166" s="555"/>
      <c r="B166" s="623"/>
      <c r="C166" s="607"/>
      <c r="D166" s="609"/>
      <c r="E166" s="608"/>
      <c r="F166" s="609"/>
      <c r="G166" s="609"/>
      <c r="H166" s="585"/>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9"/>
        <v>0</v>
      </c>
      <c r="AE166" s="629">
        <f t="shared" si="10"/>
        <v>0</v>
      </c>
      <c r="AF166" s="634">
        <f t="shared" si="11"/>
        <v>0</v>
      </c>
      <c r="AG166" s="43">
        <f t="shared" si="12"/>
        <v>0</v>
      </c>
      <c r="AH166" s="7">
        <f t="shared" ref="AH166:AV166" si="16">IF(OR(ISERROR(+H166/($D166+$E166-$G166)*$G166+H166),LEFT(F166,1)="x"),0,+H166/($D166+$E166-$G166)*$G166+H166)</f>
        <v>0</v>
      </c>
      <c r="AI166" s="7">
        <f t="shared" si="16"/>
        <v>0</v>
      </c>
      <c r="AJ166" s="7">
        <f t="shared" si="16"/>
        <v>0</v>
      </c>
      <c r="AK166" s="7">
        <f t="shared" si="16"/>
        <v>0</v>
      </c>
      <c r="AL166" s="7">
        <f t="shared" si="16"/>
        <v>0</v>
      </c>
      <c r="AM166" s="7">
        <f t="shared" si="16"/>
        <v>0</v>
      </c>
      <c r="AN166" s="7">
        <f t="shared" si="16"/>
        <v>0</v>
      </c>
      <c r="AO166" s="7">
        <f t="shared" si="16"/>
        <v>0</v>
      </c>
      <c r="AP166" s="7">
        <f t="shared" si="16"/>
        <v>0</v>
      </c>
      <c r="AQ166" s="7">
        <f t="shared" si="16"/>
        <v>0</v>
      </c>
      <c r="AR166" s="7">
        <f t="shared" si="16"/>
        <v>0</v>
      </c>
      <c r="AS166" s="7">
        <f t="shared" si="16"/>
        <v>0</v>
      </c>
      <c r="AT166" s="7">
        <f t="shared" si="16"/>
        <v>0</v>
      </c>
      <c r="AU166" s="7">
        <f t="shared" si="16"/>
        <v>0</v>
      </c>
      <c r="AV166" s="7">
        <f t="shared" si="16"/>
        <v>0</v>
      </c>
      <c r="AW166" s="7">
        <f t="shared" ref="AW166:AW201" si="17">IF(OR(ISERROR(+W166/($D166+$E166-$G166)*$G166+W166),LEFT(U166,1)="x"),0,+W166/($D166+$E166-$G166)*$G166+W166)</f>
        <v>0</v>
      </c>
      <c r="AX166" s="7">
        <f t="shared" ref="AX166:BB169" si="18">IF(OR(ISERROR(+X166/($D166+$E166-$G166)*$G166+X166),LEFT(V166,1)="x"),0,+X166/($D166+$E166-$G166)*$G166+X166)</f>
        <v>0</v>
      </c>
      <c r="AY166" s="7">
        <f t="shared" si="18"/>
        <v>0</v>
      </c>
      <c r="AZ166" s="7">
        <f t="shared" si="18"/>
        <v>0</v>
      </c>
      <c r="BA166" s="7">
        <f t="shared" si="18"/>
        <v>0</v>
      </c>
      <c r="BB166" s="7">
        <f t="shared" si="18"/>
        <v>0</v>
      </c>
      <c r="BC166" s="7">
        <f>IF(OR(ISERROR(+#REF!/($D166+$E166-$G166)*$G166+#REF!),LEFT(AA166,1)="x"),0,+#REF!/($D166+$E166-$G166)*$G166+#REF!)</f>
        <v>0</v>
      </c>
      <c r="BD166" s="7">
        <f>IF(OR(ISERROR(+#REF!/($D166+$E166-$G166)*$G166+#REF!),LEFT(AB166,1)="x"),0,+#REF!/($D166+$E166-$G166)*$G166+#REF!)</f>
        <v>0</v>
      </c>
      <c r="BE166" s="7" t="e">
        <f>IF(OR(ISERROR(+AC166/($D166+$E166-$G166)*$G166+AC166),LEFT(#REF!,1)="x"),0,+AC166/($D166+$E166-$G166)*$G166+AC166)</f>
        <v>#REF!</v>
      </c>
    </row>
    <row r="167" spans="1:57" hidden="1">
      <c r="A167" s="555"/>
      <c r="B167" s="623"/>
      <c r="C167" s="607"/>
      <c r="D167" s="609"/>
      <c r="E167" s="608"/>
      <c r="F167" s="609"/>
      <c r="G167" s="609"/>
      <c r="H167" s="585"/>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9"/>
        <v>0</v>
      </c>
      <c r="AE167" s="629">
        <f t="shared" si="10"/>
        <v>0</v>
      </c>
      <c r="AF167" s="634">
        <f t="shared" si="11"/>
        <v>0</v>
      </c>
      <c r="AG167" s="43">
        <f t="shared" si="12"/>
        <v>0</v>
      </c>
      <c r="AH167" s="7">
        <f t="shared" ref="AH167:AV197" si="19">IF(OR(ISERROR(+H167/($D167+$E167-$G167)*$G167+H167),LEFT(F167,1)="x"),0,+H167/($D167+$E167-$G167)*$G167+H167)</f>
        <v>0</v>
      </c>
      <c r="AI167" s="7">
        <f t="shared" si="19"/>
        <v>0</v>
      </c>
      <c r="AJ167" s="7">
        <f t="shared" si="19"/>
        <v>0</v>
      </c>
      <c r="AK167" s="7">
        <f t="shared" si="19"/>
        <v>0</v>
      </c>
      <c r="AL167" s="7">
        <f t="shared" si="19"/>
        <v>0</v>
      </c>
      <c r="AM167" s="7">
        <f t="shared" si="19"/>
        <v>0</v>
      </c>
      <c r="AN167" s="7">
        <f t="shared" si="19"/>
        <v>0</v>
      </c>
      <c r="AO167" s="7">
        <f t="shared" si="19"/>
        <v>0</v>
      </c>
      <c r="AP167" s="7">
        <f t="shared" si="19"/>
        <v>0</v>
      </c>
      <c r="AQ167" s="7">
        <f t="shared" si="19"/>
        <v>0</v>
      </c>
      <c r="AR167" s="7">
        <f t="shared" si="19"/>
        <v>0</v>
      </c>
      <c r="AS167" s="7">
        <f t="shared" si="19"/>
        <v>0</v>
      </c>
      <c r="AT167" s="7">
        <f t="shared" si="19"/>
        <v>0</v>
      </c>
      <c r="AU167" s="7">
        <f t="shared" si="19"/>
        <v>0</v>
      </c>
      <c r="AV167" s="7">
        <f t="shared" si="19"/>
        <v>0</v>
      </c>
      <c r="AW167" s="7">
        <f t="shared" si="17"/>
        <v>0</v>
      </c>
      <c r="AX167" s="7">
        <f t="shared" si="18"/>
        <v>0</v>
      </c>
      <c r="AY167" s="7">
        <f t="shared" si="18"/>
        <v>0</v>
      </c>
      <c r="AZ167" s="7">
        <f t="shared" si="18"/>
        <v>0</v>
      </c>
      <c r="BA167" s="7">
        <f t="shared" si="18"/>
        <v>0</v>
      </c>
      <c r="BB167" s="7">
        <f t="shared" si="18"/>
        <v>0</v>
      </c>
      <c r="BC167" s="7">
        <f>IF(OR(ISERROR(+#REF!/($D167+$E167-$G167)*$G167+#REF!),LEFT(AA167,1)="x"),0,+#REF!/($D167+$E167-$G167)*$G167+#REF!)</f>
        <v>0</v>
      </c>
      <c r="BD167" s="7">
        <f>IF(OR(ISERROR(+#REF!/($D167+$E167-$G167)*$G167+#REF!),LEFT(AB167,1)="x"),0,+#REF!/($D167+$E167-$G167)*$G167+#REF!)</f>
        <v>0</v>
      </c>
      <c r="BE167" s="7" t="e">
        <f>IF(OR(ISERROR(+AC167/($D167+$E167-$G167)*$G167+AC167),LEFT(#REF!,1)="x"),0,+AC167/($D167+$E167-$G167)*$G167+AC167)</f>
        <v>#REF!</v>
      </c>
    </row>
    <row r="168" spans="1:57" hidden="1">
      <c r="A168" s="555"/>
      <c r="B168" s="623"/>
      <c r="C168" s="607"/>
      <c r="D168" s="609"/>
      <c r="E168" s="608"/>
      <c r="F168" s="609"/>
      <c r="G168" s="609"/>
      <c r="H168" s="585"/>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9"/>
        <v>0</v>
      </c>
      <c r="AE168" s="629">
        <f t="shared" si="10"/>
        <v>0</v>
      </c>
      <c r="AF168" s="634">
        <f t="shared" si="11"/>
        <v>0</v>
      </c>
      <c r="AG168" s="43">
        <f t="shared" si="12"/>
        <v>0</v>
      </c>
      <c r="AH168" s="7">
        <f t="shared" si="19"/>
        <v>0</v>
      </c>
      <c r="AI168" s="7">
        <f t="shared" si="19"/>
        <v>0</v>
      </c>
      <c r="AJ168" s="7">
        <f t="shared" si="19"/>
        <v>0</v>
      </c>
      <c r="AK168" s="7">
        <f t="shared" si="19"/>
        <v>0</v>
      </c>
      <c r="AL168" s="7">
        <f t="shared" si="19"/>
        <v>0</v>
      </c>
      <c r="AM168" s="7">
        <f t="shared" si="19"/>
        <v>0</v>
      </c>
      <c r="AN168" s="7">
        <f t="shared" si="19"/>
        <v>0</v>
      </c>
      <c r="AO168" s="7">
        <f t="shared" si="19"/>
        <v>0</v>
      </c>
      <c r="AP168" s="7">
        <f t="shared" si="19"/>
        <v>0</v>
      </c>
      <c r="AQ168" s="7">
        <f t="shared" si="19"/>
        <v>0</v>
      </c>
      <c r="AR168" s="7">
        <f t="shared" si="19"/>
        <v>0</v>
      </c>
      <c r="AS168" s="7">
        <f t="shared" si="19"/>
        <v>0</v>
      </c>
      <c r="AT168" s="7">
        <f t="shared" si="19"/>
        <v>0</v>
      </c>
      <c r="AU168" s="7">
        <f t="shared" si="19"/>
        <v>0</v>
      </c>
      <c r="AV168" s="7">
        <f t="shared" si="19"/>
        <v>0</v>
      </c>
      <c r="AW168" s="7">
        <f t="shared" si="17"/>
        <v>0</v>
      </c>
      <c r="AX168" s="7">
        <f t="shared" si="18"/>
        <v>0</v>
      </c>
      <c r="AY168" s="7">
        <f t="shared" si="18"/>
        <v>0</v>
      </c>
      <c r="AZ168" s="7">
        <f t="shared" si="18"/>
        <v>0</v>
      </c>
      <c r="BA168" s="7">
        <f t="shared" si="18"/>
        <v>0</v>
      </c>
      <c r="BB168" s="7">
        <f t="shared" si="18"/>
        <v>0</v>
      </c>
      <c r="BC168" s="7">
        <f>IF(OR(ISERROR(+#REF!/($D168+$E168-$G168)*$G168+#REF!),LEFT(AA168,1)="x"),0,+#REF!/($D168+$E168-$G168)*$G168+#REF!)</f>
        <v>0</v>
      </c>
      <c r="BD168" s="7">
        <f>IF(OR(ISERROR(+#REF!/($D168+$E168-$G168)*$G168+#REF!),LEFT(AB168,1)="x"),0,+#REF!/($D168+$E168-$G168)*$G168+#REF!)</f>
        <v>0</v>
      </c>
      <c r="BE168" s="7" t="e">
        <f>IF(OR(ISERROR(+AC168/($D168+$E168-$G168)*$G168+AC168),LEFT(#REF!,1)="x"),0,+AC168/($D168+$E168-$G168)*$G168+AC168)</f>
        <v>#REF!</v>
      </c>
    </row>
    <row r="169" spans="1:57" hidden="1">
      <c r="A169" s="555"/>
      <c r="B169" s="623"/>
      <c r="C169" s="607"/>
      <c r="D169" s="609"/>
      <c r="E169" s="608"/>
      <c r="F169" s="609"/>
      <c r="G169" s="609"/>
      <c r="H169" s="585"/>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9"/>
        <v>0</v>
      </c>
      <c r="AE169" s="629">
        <f t="shared" si="10"/>
        <v>0</v>
      </c>
      <c r="AF169" s="634">
        <f t="shared" si="11"/>
        <v>0</v>
      </c>
      <c r="AG169" s="43">
        <f t="shared" si="12"/>
        <v>0</v>
      </c>
      <c r="AH169" s="7">
        <f t="shared" si="19"/>
        <v>0</v>
      </c>
      <c r="AI169" s="7">
        <f t="shared" si="19"/>
        <v>0</v>
      </c>
      <c r="AJ169" s="7">
        <f t="shared" si="19"/>
        <v>0</v>
      </c>
      <c r="AK169" s="7">
        <f t="shared" si="19"/>
        <v>0</v>
      </c>
      <c r="AL169" s="7">
        <f t="shared" si="19"/>
        <v>0</v>
      </c>
      <c r="AM169" s="7">
        <f t="shared" si="19"/>
        <v>0</v>
      </c>
      <c r="AN169" s="7">
        <f t="shared" si="19"/>
        <v>0</v>
      </c>
      <c r="AO169" s="7">
        <f t="shared" si="19"/>
        <v>0</v>
      </c>
      <c r="AP169" s="7">
        <f t="shared" si="19"/>
        <v>0</v>
      </c>
      <c r="AQ169" s="7">
        <f t="shared" si="19"/>
        <v>0</v>
      </c>
      <c r="AR169" s="7">
        <f t="shared" si="19"/>
        <v>0</v>
      </c>
      <c r="AS169" s="7">
        <f t="shared" si="19"/>
        <v>0</v>
      </c>
      <c r="AT169" s="7">
        <f t="shared" si="19"/>
        <v>0</v>
      </c>
      <c r="AU169" s="7">
        <f t="shared" si="19"/>
        <v>0</v>
      </c>
      <c r="AV169" s="7">
        <f t="shared" si="19"/>
        <v>0</v>
      </c>
      <c r="AW169" s="7">
        <f t="shared" si="17"/>
        <v>0</v>
      </c>
      <c r="AX169" s="7">
        <f t="shared" si="18"/>
        <v>0</v>
      </c>
      <c r="AY169" s="7">
        <f t="shared" si="18"/>
        <v>0</v>
      </c>
      <c r="AZ169" s="7">
        <f t="shared" si="18"/>
        <v>0</v>
      </c>
      <c r="BA169" s="7">
        <f t="shared" si="18"/>
        <v>0</v>
      </c>
      <c r="BB169" s="7">
        <f t="shared" si="18"/>
        <v>0</v>
      </c>
      <c r="BC169" s="7">
        <f>IF(OR(ISERROR(+#REF!/($D169+$E169-$G169)*$G169+#REF!),LEFT(AA169,1)="x"),0,+#REF!/($D169+$E169-$G169)*$G169+#REF!)</f>
        <v>0</v>
      </c>
      <c r="BD169" s="7">
        <f>IF(OR(ISERROR(+#REF!/($D169+$E169-$G169)*$G169+#REF!),LEFT(AB169,1)="x"),0,+#REF!/($D169+$E169-$G169)*$G169+#REF!)</f>
        <v>0</v>
      </c>
      <c r="BE169" s="7" t="e">
        <f>IF(OR(ISERROR(+AC169/($D169+$E169-$G169)*$G169+AC169),LEFT(#REF!,1)="x"),0,+AC169/($D169+$E169-$G169)*$G169+AC169)</f>
        <v>#REF!</v>
      </c>
    </row>
    <row r="170" spans="1:57" hidden="1">
      <c r="A170" s="555"/>
      <c r="B170" s="623"/>
      <c r="C170" s="607"/>
      <c r="D170" s="609"/>
      <c r="E170" s="608"/>
      <c r="F170" s="609"/>
      <c r="G170" s="609"/>
      <c r="H170" s="585"/>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9"/>
        <v>0</v>
      </c>
      <c r="AE170" s="629">
        <f t="shared" si="10"/>
        <v>0</v>
      </c>
      <c r="AF170" s="634">
        <f t="shared" si="11"/>
        <v>0</v>
      </c>
      <c r="AG170" s="43"/>
    </row>
    <row r="171" spans="1:57" hidden="1">
      <c r="A171" s="555"/>
      <c r="B171" s="623"/>
      <c r="C171" s="607"/>
      <c r="D171" s="609"/>
      <c r="E171" s="608"/>
      <c r="F171" s="609"/>
      <c r="G171" s="609"/>
      <c r="H171" s="585"/>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9"/>
        <v>0</v>
      </c>
      <c r="AE171" s="629">
        <f t="shared" si="10"/>
        <v>0</v>
      </c>
      <c r="AF171" s="634">
        <f t="shared" si="11"/>
        <v>0</v>
      </c>
      <c r="AG171" s="43"/>
    </row>
    <row r="172" spans="1:57" hidden="1">
      <c r="A172" s="555"/>
      <c r="B172" s="623"/>
      <c r="C172" s="607"/>
      <c r="D172" s="609"/>
      <c r="E172" s="608"/>
      <c r="F172" s="609"/>
      <c r="G172" s="609"/>
      <c r="H172" s="585"/>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9"/>
        <v>0</v>
      </c>
      <c r="AE172" s="629">
        <f t="shared" si="10"/>
        <v>0</v>
      </c>
      <c r="AF172" s="634">
        <f t="shared" si="11"/>
        <v>0</v>
      </c>
      <c r="AG172" s="43"/>
    </row>
    <row r="173" spans="1:57" hidden="1">
      <c r="A173" s="555"/>
      <c r="B173" s="623"/>
      <c r="C173" s="607"/>
      <c r="D173" s="609"/>
      <c r="E173" s="608"/>
      <c r="F173" s="609"/>
      <c r="G173" s="609"/>
      <c r="H173" s="585"/>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9"/>
        <v>0</v>
      </c>
      <c r="AE173" s="629">
        <f t="shared" si="10"/>
        <v>0</v>
      </c>
      <c r="AF173" s="634">
        <f t="shared" si="11"/>
        <v>0</v>
      </c>
      <c r="AG173" s="43"/>
    </row>
    <row r="174" spans="1:57" hidden="1">
      <c r="A174" s="555"/>
      <c r="B174" s="623"/>
      <c r="C174" s="607"/>
      <c r="D174" s="609"/>
      <c r="E174" s="608"/>
      <c r="F174" s="609"/>
      <c r="G174" s="609"/>
      <c r="H174" s="585"/>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9"/>
        <v>0</v>
      </c>
      <c r="AE174" s="629">
        <f t="shared" si="10"/>
        <v>0</v>
      </c>
      <c r="AF174" s="634">
        <f t="shared" si="11"/>
        <v>0</v>
      </c>
      <c r="AG174" s="43"/>
    </row>
    <row r="175" spans="1:57" hidden="1">
      <c r="A175" s="555"/>
      <c r="B175" s="623"/>
      <c r="C175" s="607"/>
      <c r="D175" s="609"/>
      <c r="E175" s="608"/>
      <c r="F175" s="609"/>
      <c r="G175" s="609"/>
      <c r="H175" s="585"/>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9"/>
        <v>0</v>
      </c>
      <c r="AE175" s="629">
        <f t="shared" si="10"/>
        <v>0</v>
      </c>
      <c r="AF175" s="634">
        <f t="shared" si="11"/>
        <v>0</v>
      </c>
      <c r="AG175" s="43"/>
    </row>
    <row r="176" spans="1:57" hidden="1">
      <c r="A176" s="555"/>
      <c r="B176" s="623"/>
      <c r="C176" s="607"/>
      <c r="D176" s="609"/>
      <c r="E176" s="608"/>
      <c r="F176" s="609"/>
      <c r="G176" s="609"/>
      <c r="H176" s="585"/>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9"/>
        <v>0</v>
      </c>
      <c r="AE176" s="629">
        <f t="shared" si="10"/>
        <v>0</v>
      </c>
      <c r="AF176" s="634">
        <f t="shared" si="11"/>
        <v>0</v>
      </c>
      <c r="AG176" s="43"/>
    </row>
    <row r="177" spans="1:57" hidden="1">
      <c r="A177" s="555"/>
      <c r="B177" s="623"/>
      <c r="C177" s="607"/>
      <c r="D177" s="609"/>
      <c r="E177" s="608"/>
      <c r="F177" s="609"/>
      <c r="G177" s="609"/>
      <c r="H177" s="585"/>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9"/>
        <v>0</v>
      </c>
      <c r="AE177" s="629">
        <f t="shared" si="10"/>
        <v>0</v>
      </c>
      <c r="AF177" s="634">
        <f t="shared" si="11"/>
        <v>0</v>
      </c>
      <c r="AG177" s="43"/>
    </row>
    <row r="178" spans="1:57" hidden="1">
      <c r="A178" s="555"/>
      <c r="B178" s="623"/>
      <c r="C178" s="607"/>
      <c r="D178" s="609"/>
      <c r="E178" s="608"/>
      <c r="F178" s="609"/>
      <c r="G178" s="609"/>
      <c r="H178" s="585"/>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9"/>
        <v>0</v>
      </c>
      <c r="AE178" s="629">
        <f t="shared" si="10"/>
        <v>0</v>
      </c>
      <c r="AF178" s="634">
        <f t="shared" si="11"/>
        <v>0</v>
      </c>
      <c r="AG178" s="43"/>
    </row>
    <row r="179" spans="1:57" hidden="1">
      <c r="A179" s="555"/>
      <c r="B179" s="623"/>
      <c r="C179" s="607"/>
      <c r="D179" s="609"/>
      <c r="E179" s="608"/>
      <c r="F179" s="609"/>
      <c r="G179" s="609"/>
      <c r="H179" s="585"/>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9"/>
        <v>0</v>
      </c>
      <c r="AE179" s="629">
        <f t="shared" si="10"/>
        <v>0</v>
      </c>
      <c r="AF179" s="634">
        <f t="shared" si="11"/>
        <v>0</v>
      </c>
      <c r="AG179" s="43"/>
    </row>
    <row r="180" spans="1:57" hidden="1">
      <c r="A180" s="555"/>
      <c r="B180" s="623"/>
      <c r="C180" s="607"/>
      <c r="D180" s="609"/>
      <c r="E180" s="608"/>
      <c r="F180" s="609"/>
      <c r="G180" s="609"/>
      <c r="H180" s="585"/>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9"/>
        <v>0</v>
      </c>
      <c r="AE180" s="629">
        <f t="shared" si="10"/>
        <v>0</v>
      </c>
      <c r="AF180" s="634">
        <f t="shared" si="11"/>
        <v>0</v>
      </c>
      <c r="AG180" s="43">
        <f>IF(AF180=0,0,"ERROR HERE")</f>
        <v>0</v>
      </c>
      <c r="AH180" s="7">
        <f t="shared" si="19"/>
        <v>0</v>
      </c>
      <c r="AI180" s="7">
        <f t="shared" si="19"/>
        <v>0</v>
      </c>
      <c r="AJ180" s="7">
        <f t="shared" si="19"/>
        <v>0</v>
      </c>
      <c r="AK180" s="7">
        <f t="shared" si="19"/>
        <v>0</v>
      </c>
      <c r="AL180" s="7">
        <f t="shared" si="19"/>
        <v>0</v>
      </c>
      <c r="AM180" s="7">
        <f t="shared" si="19"/>
        <v>0</v>
      </c>
      <c r="AN180" s="7">
        <f t="shared" si="19"/>
        <v>0</v>
      </c>
      <c r="AO180" s="7">
        <f t="shared" si="19"/>
        <v>0</v>
      </c>
      <c r="AP180" s="7">
        <f t="shared" si="19"/>
        <v>0</v>
      </c>
      <c r="AQ180" s="7">
        <f t="shared" si="19"/>
        <v>0</v>
      </c>
      <c r="AR180" s="7">
        <f t="shared" si="19"/>
        <v>0</v>
      </c>
      <c r="AS180" s="7">
        <f t="shared" si="19"/>
        <v>0</v>
      </c>
      <c r="AT180" s="7">
        <f t="shared" si="19"/>
        <v>0</v>
      </c>
      <c r="AU180" s="7">
        <f t="shared" si="19"/>
        <v>0</v>
      </c>
      <c r="AV180" s="7">
        <f t="shared" si="19"/>
        <v>0</v>
      </c>
      <c r="AW180" s="7">
        <f t="shared" si="17"/>
        <v>0</v>
      </c>
      <c r="AX180" s="7">
        <f t="shared" ref="AX180:BB181" si="20">IF(OR(ISERROR(+X180/($D180+$E180-$G180)*$G180+X180),LEFT(V180,1)="x"),0,+X180/($D180+$E180-$G180)*$G180+X180)</f>
        <v>0</v>
      </c>
      <c r="AY180" s="7">
        <f t="shared" si="20"/>
        <v>0</v>
      </c>
      <c r="AZ180" s="7">
        <f t="shared" si="20"/>
        <v>0</v>
      </c>
      <c r="BA180" s="7">
        <f t="shared" si="20"/>
        <v>0</v>
      </c>
      <c r="BB180" s="7">
        <f t="shared" si="20"/>
        <v>0</v>
      </c>
      <c r="BC180" s="7">
        <f>IF(OR(ISERROR(+#REF!/($D180+$E180-$G180)*$G180+#REF!),LEFT(AA180,1)="x"),0,+#REF!/($D180+$E180-$G180)*$G180+#REF!)</f>
        <v>0</v>
      </c>
      <c r="BD180" s="7">
        <f>IF(OR(ISERROR(+#REF!/($D180+$E180-$G180)*$G180+#REF!),LEFT(AB180,1)="x"),0,+#REF!/($D180+$E180-$G180)*$G180+#REF!)</f>
        <v>0</v>
      </c>
      <c r="BE180" s="7" t="e">
        <f>IF(OR(ISERROR(+AC180/($D180+$E180-$G180)*$G180+AC180),LEFT(#REF!,1)="x"),0,+AC180/($D180+$E180-$G180)*$G180+AC180)</f>
        <v>#REF!</v>
      </c>
    </row>
    <row r="181" spans="1:57" hidden="1">
      <c r="A181" s="555"/>
      <c r="B181" s="623"/>
      <c r="C181" s="607"/>
      <c r="D181" s="609"/>
      <c r="E181" s="608"/>
      <c r="F181" s="609"/>
      <c r="G181" s="609"/>
      <c r="H181" s="585"/>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9"/>
        <v>0</v>
      </c>
      <c r="AE181" s="629">
        <f t="shared" si="10"/>
        <v>0</v>
      </c>
      <c r="AF181" s="634">
        <f t="shared" si="11"/>
        <v>0</v>
      </c>
      <c r="AG181" s="43">
        <f>IF(AF181=0,0,"ERROR HERE")</f>
        <v>0</v>
      </c>
      <c r="AH181" s="7">
        <f t="shared" si="19"/>
        <v>0</v>
      </c>
      <c r="AI181" s="7">
        <f t="shared" si="19"/>
        <v>0</v>
      </c>
      <c r="AJ181" s="7">
        <f t="shared" si="19"/>
        <v>0</v>
      </c>
      <c r="AK181" s="7">
        <f t="shared" si="19"/>
        <v>0</v>
      </c>
      <c r="AL181" s="7">
        <f t="shared" si="19"/>
        <v>0</v>
      </c>
      <c r="AM181" s="7">
        <f t="shared" si="19"/>
        <v>0</v>
      </c>
      <c r="AN181" s="7">
        <f t="shared" si="19"/>
        <v>0</v>
      </c>
      <c r="AO181" s="7">
        <f t="shared" si="19"/>
        <v>0</v>
      </c>
      <c r="AP181" s="7">
        <f t="shared" si="19"/>
        <v>0</v>
      </c>
      <c r="AQ181" s="7">
        <f t="shared" si="19"/>
        <v>0</v>
      </c>
      <c r="AR181" s="7">
        <f t="shared" si="19"/>
        <v>0</v>
      </c>
      <c r="AS181" s="7">
        <f t="shared" si="19"/>
        <v>0</v>
      </c>
      <c r="AT181" s="7">
        <f t="shared" si="19"/>
        <v>0</v>
      </c>
      <c r="AU181" s="7">
        <f t="shared" si="19"/>
        <v>0</v>
      </c>
      <c r="AV181" s="7">
        <f t="shared" si="19"/>
        <v>0</v>
      </c>
      <c r="AW181" s="7">
        <f t="shared" si="17"/>
        <v>0</v>
      </c>
      <c r="AX181" s="7">
        <f t="shared" si="20"/>
        <v>0</v>
      </c>
      <c r="AY181" s="7">
        <f t="shared" si="20"/>
        <v>0</v>
      </c>
      <c r="AZ181" s="7">
        <f t="shared" si="20"/>
        <v>0</v>
      </c>
      <c r="BA181" s="7">
        <f t="shared" si="20"/>
        <v>0</v>
      </c>
      <c r="BB181" s="7">
        <f t="shared" si="20"/>
        <v>0</v>
      </c>
      <c r="BC181" s="7">
        <f>IF(OR(ISERROR(+#REF!/($D181+$E181-$G181)*$G181+#REF!),LEFT(AA181,1)="x"),0,+#REF!/($D181+$E181-$G181)*$G181+#REF!)</f>
        <v>0</v>
      </c>
      <c r="BD181" s="7">
        <f>IF(OR(ISERROR(+#REF!/($D181+$E181-$G181)*$G181+#REF!),LEFT(AB181,1)="x"),0,+#REF!/($D181+$E181-$G181)*$G181+#REF!)</f>
        <v>0</v>
      </c>
      <c r="BE181" s="7" t="e">
        <f>IF(OR(ISERROR(+AC181/($D181+$E181-$G181)*$G181+AC181),LEFT(#REF!,1)="x"),0,+AC181/($D181+$E181-$G181)*$G181+AC181)</f>
        <v>#REF!</v>
      </c>
    </row>
    <row r="182" spans="1:57" hidden="1">
      <c r="A182" s="555"/>
      <c r="B182" s="623"/>
      <c r="C182" s="607"/>
      <c r="D182" s="609"/>
      <c r="E182" s="608"/>
      <c r="F182" s="609"/>
      <c r="G182" s="609"/>
      <c r="H182" s="585"/>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9"/>
        <v>0</v>
      </c>
      <c r="AE182" s="629">
        <f t="shared" si="10"/>
        <v>0</v>
      </c>
      <c r="AF182" s="634">
        <f t="shared" si="11"/>
        <v>0</v>
      </c>
      <c r="AG182" s="43"/>
    </row>
    <row r="183" spans="1:57" hidden="1">
      <c r="A183" s="555"/>
      <c r="B183" s="623"/>
      <c r="C183" s="607"/>
      <c r="D183" s="609"/>
      <c r="E183" s="608"/>
      <c r="F183" s="609"/>
      <c r="G183" s="609"/>
      <c r="H183" s="585"/>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9"/>
        <v>0</v>
      </c>
      <c r="AE183" s="629">
        <f t="shared" si="10"/>
        <v>0</v>
      </c>
      <c r="AF183" s="634">
        <f t="shared" si="11"/>
        <v>0</v>
      </c>
      <c r="AG183" s="43"/>
    </row>
    <row r="184" spans="1:57" hidden="1">
      <c r="A184" s="555"/>
      <c r="B184" s="623"/>
      <c r="C184" s="607"/>
      <c r="D184" s="609"/>
      <c r="E184" s="608"/>
      <c r="F184" s="609"/>
      <c r="G184" s="609"/>
      <c r="H184" s="585"/>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9"/>
        <v>0</v>
      </c>
      <c r="AE184" s="629">
        <f t="shared" si="10"/>
        <v>0</v>
      </c>
      <c r="AF184" s="634">
        <f t="shared" si="11"/>
        <v>0</v>
      </c>
      <c r="AG184" s="43"/>
    </row>
    <row r="185" spans="1:57" hidden="1">
      <c r="A185" s="555"/>
      <c r="B185" s="623"/>
      <c r="C185" s="607"/>
      <c r="D185" s="609"/>
      <c r="E185" s="608"/>
      <c r="F185" s="609"/>
      <c r="G185" s="609"/>
      <c r="H185" s="585"/>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9"/>
        <v>0</v>
      </c>
      <c r="AE185" s="629">
        <f t="shared" si="10"/>
        <v>0</v>
      </c>
      <c r="AF185" s="634">
        <f t="shared" si="11"/>
        <v>0</v>
      </c>
      <c r="AG185" s="43"/>
    </row>
    <row r="186" spans="1:57" hidden="1">
      <c r="A186" s="555"/>
      <c r="B186" s="623"/>
      <c r="C186" s="607"/>
      <c r="D186" s="609"/>
      <c r="E186" s="608"/>
      <c r="F186" s="609"/>
      <c r="G186" s="609"/>
      <c r="H186" s="585"/>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9"/>
        <v>0</v>
      </c>
      <c r="AE186" s="629">
        <f t="shared" si="10"/>
        <v>0</v>
      </c>
      <c r="AF186" s="634">
        <f t="shared" si="11"/>
        <v>0</v>
      </c>
      <c r="AG186" s="43">
        <f t="shared" ref="AG186:AG196" si="21">IF(AF186=0,0,"ERROR HERE")</f>
        <v>0</v>
      </c>
      <c r="AH186" s="7">
        <f t="shared" si="19"/>
        <v>0</v>
      </c>
      <c r="AI186" s="7">
        <f t="shared" si="19"/>
        <v>0</v>
      </c>
      <c r="AJ186" s="7">
        <f t="shared" si="19"/>
        <v>0</v>
      </c>
      <c r="AK186" s="7">
        <f t="shared" si="19"/>
        <v>0</v>
      </c>
      <c r="AL186" s="7">
        <f t="shared" si="19"/>
        <v>0</v>
      </c>
      <c r="AM186" s="7">
        <f t="shared" si="19"/>
        <v>0</v>
      </c>
      <c r="AN186" s="7">
        <f t="shared" si="19"/>
        <v>0</v>
      </c>
      <c r="AO186" s="7">
        <f t="shared" si="19"/>
        <v>0</v>
      </c>
      <c r="AP186" s="7">
        <f t="shared" si="19"/>
        <v>0</v>
      </c>
      <c r="AQ186" s="7">
        <f t="shared" si="19"/>
        <v>0</v>
      </c>
      <c r="AR186" s="7">
        <f t="shared" si="19"/>
        <v>0</v>
      </c>
      <c r="AS186" s="7">
        <f t="shared" si="19"/>
        <v>0</v>
      </c>
      <c r="AT186" s="7">
        <f t="shared" si="19"/>
        <v>0</v>
      </c>
      <c r="AU186" s="7">
        <f t="shared" si="19"/>
        <v>0</v>
      </c>
      <c r="AV186" s="7">
        <f t="shared" si="19"/>
        <v>0</v>
      </c>
      <c r="AW186" s="7">
        <f t="shared" si="17"/>
        <v>0</v>
      </c>
      <c r="AX186" s="7">
        <f t="shared" ref="AX186:AX201" si="22">IF(OR(ISERROR(+X186/($D186+$E186-$G186)*$G186+X186),LEFT(V186,1)="x"),0,+X186/($D186+$E186-$G186)*$G186+X186)</f>
        <v>0</v>
      </c>
      <c r="AY186" s="7">
        <f t="shared" ref="AY186:AY201" si="23">IF(OR(ISERROR(+Y186/($D186+$E186-$G186)*$G186+Y186),LEFT(W186,1)="x"),0,+Y186/($D186+$E186-$G186)*$G186+Y186)</f>
        <v>0</v>
      </c>
      <c r="AZ186" s="7">
        <f t="shared" ref="AZ186:AZ201" si="24">IF(OR(ISERROR(+Z186/($D186+$E186-$G186)*$G186+Z186),LEFT(X186,1)="x"),0,+Z186/($D186+$E186-$G186)*$G186+Z186)</f>
        <v>0</v>
      </c>
      <c r="BA186" s="7">
        <f t="shared" ref="BA186:BA201" si="25">IF(OR(ISERROR(+AA186/($D186+$E186-$G186)*$G186+AA186),LEFT(Y186,1)="x"),0,+AA186/($D186+$E186-$G186)*$G186+AA186)</f>
        <v>0</v>
      </c>
      <c r="BB186" s="7">
        <f t="shared" ref="BB186:BB201" si="26">IF(OR(ISERROR(+AB186/($D186+$E186-$G186)*$G186+AB186),LEFT(Z186,1)="x"),0,+AB186/($D186+$E186-$G186)*$G186+AB186)</f>
        <v>0</v>
      </c>
      <c r="BC186" s="7">
        <f>IF(OR(ISERROR(+#REF!/($D186+$E186-$G186)*$G186+#REF!),LEFT(AA186,1)="x"),0,+#REF!/($D186+$E186-$G186)*$G186+#REF!)</f>
        <v>0</v>
      </c>
      <c r="BD186" s="7">
        <f>IF(OR(ISERROR(+#REF!/($D186+$E186-$G186)*$G186+#REF!),LEFT(AB186,1)="x"),0,+#REF!/($D186+$E186-$G186)*$G186+#REF!)</f>
        <v>0</v>
      </c>
      <c r="BE186" s="7" t="e">
        <f>IF(OR(ISERROR(+AC186/($D186+$E186-$G186)*$G186+AC186),LEFT(#REF!,1)="x"),0,+AC186/($D186+$E186-$G186)*$G186+AC186)</f>
        <v>#REF!</v>
      </c>
    </row>
    <row r="187" spans="1:57" hidden="1">
      <c r="A187" s="555"/>
      <c r="B187" s="623"/>
      <c r="C187" s="607"/>
      <c r="D187" s="609"/>
      <c r="E187" s="608"/>
      <c r="F187" s="609"/>
      <c r="G187" s="609"/>
      <c r="H187" s="585"/>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9"/>
        <v>0</v>
      </c>
      <c r="AE187" s="629">
        <f t="shared" si="10"/>
        <v>0</v>
      </c>
      <c r="AF187" s="634">
        <f t="shared" si="11"/>
        <v>0</v>
      </c>
      <c r="AG187" s="43">
        <f t="shared" si="21"/>
        <v>0</v>
      </c>
      <c r="AH187" s="7">
        <f t="shared" si="19"/>
        <v>0</v>
      </c>
      <c r="AI187" s="7">
        <f t="shared" si="19"/>
        <v>0</v>
      </c>
      <c r="AJ187" s="7">
        <f t="shared" si="19"/>
        <v>0</v>
      </c>
      <c r="AK187" s="7">
        <f t="shared" si="19"/>
        <v>0</v>
      </c>
      <c r="AL187" s="7">
        <f t="shared" si="19"/>
        <v>0</v>
      </c>
      <c r="AM187" s="7">
        <f t="shared" si="19"/>
        <v>0</v>
      </c>
      <c r="AN187" s="7">
        <f t="shared" si="19"/>
        <v>0</v>
      </c>
      <c r="AO187" s="7">
        <f t="shared" si="19"/>
        <v>0</v>
      </c>
      <c r="AP187" s="7">
        <f t="shared" si="19"/>
        <v>0</v>
      </c>
      <c r="AQ187" s="7">
        <f t="shared" si="19"/>
        <v>0</v>
      </c>
      <c r="AR187" s="7">
        <f t="shared" si="19"/>
        <v>0</v>
      </c>
      <c r="AS187" s="7">
        <f t="shared" si="19"/>
        <v>0</v>
      </c>
      <c r="AT187" s="7">
        <f t="shared" si="19"/>
        <v>0</v>
      </c>
      <c r="AU187" s="7">
        <f t="shared" si="19"/>
        <v>0</v>
      </c>
      <c r="AV187" s="7">
        <f t="shared" si="19"/>
        <v>0</v>
      </c>
      <c r="AW187" s="7">
        <f t="shared" si="17"/>
        <v>0</v>
      </c>
      <c r="AX187" s="7">
        <f t="shared" si="22"/>
        <v>0</v>
      </c>
      <c r="AY187" s="7">
        <f t="shared" si="23"/>
        <v>0</v>
      </c>
      <c r="AZ187" s="7">
        <f t="shared" si="24"/>
        <v>0</v>
      </c>
      <c r="BA187" s="7">
        <f t="shared" si="25"/>
        <v>0</v>
      </c>
      <c r="BB187" s="7">
        <f t="shared" si="26"/>
        <v>0</v>
      </c>
      <c r="BC187" s="7">
        <f>IF(OR(ISERROR(+#REF!/($D187+$E187-$G187)*$G187+#REF!),LEFT(AA187,1)="x"),0,+#REF!/($D187+$E187-$G187)*$G187+#REF!)</f>
        <v>0</v>
      </c>
      <c r="BD187" s="7">
        <f>IF(OR(ISERROR(+#REF!/($D187+$E187-$G187)*$G187+#REF!),LEFT(AB187,1)="x"),0,+#REF!/($D187+$E187-$G187)*$G187+#REF!)</f>
        <v>0</v>
      </c>
      <c r="BE187" s="7" t="e">
        <f>IF(OR(ISERROR(+AC187/($D187+$E187-$G187)*$G187+AC187),LEFT(#REF!,1)="x"),0,+AC187/($D187+$E187-$G187)*$G187+AC187)</f>
        <v>#REF!</v>
      </c>
    </row>
    <row r="188" spans="1:57" hidden="1">
      <c r="A188" s="555"/>
      <c r="B188" s="623"/>
      <c r="C188" s="607"/>
      <c r="D188" s="609"/>
      <c r="E188" s="608"/>
      <c r="F188" s="609"/>
      <c r="G188" s="609"/>
      <c r="H188" s="585"/>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9"/>
        <v>0</v>
      </c>
      <c r="AE188" s="629">
        <f t="shared" si="10"/>
        <v>0</v>
      </c>
      <c r="AF188" s="634">
        <f t="shared" si="11"/>
        <v>0</v>
      </c>
      <c r="AG188" s="43">
        <f t="shared" si="21"/>
        <v>0</v>
      </c>
      <c r="AH188" s="7">
        <f t="shared" si="19"/>
        <v>0</v>
      </c>
      <c r="AI188" s="7">
        <f t="shared" si="19"/>
        <v>0</v>
      </c>
      <c r="AJ188" s="7">
        <f t="shared" si="19"/>
        <v>0</v>
      </c>
      <c r="AK188" s="7">
        <f t="shared" si="19"/>
        <v>0</v>
      </c>
      <c r="AL188" s="7">
        <f t="shared" si="19"/>
        <v>0</v>
      </c>
      <c r="AM188" s="7">
        <f t="shared" si="19"/>
        <v>0</v>
      </c>
      <c r="AN188" s="7">
        <f t="shared" si="19"/>
        <v>0</v>
      </c>
      <c r="AO188" s="7">
        <f t="shared" si="19"/>
        <v>0</v>
      </c>
      <c r="AP188" s="7">
        <f t="shared" si="19"/>
        <v>0</v>
      </c>
      <c r="AQ188" s="7">
        <f t="shared" si="19"/>
        <v>0</v>
      </c>
      <c r="AR188" s="7">
        <f t="shared" si="19"/>
        <v>0</v>
      </c>
      <c r="AS188" s="7">
        <f t="shared" si="19"/>
        <v>0</v>
      </c>
      <c r="AT188" s="7">
        <f t="shared" si="19"/>
        <v>0</v>
      </c>
      <c r="AU188" s="7">
        <f t="shared" si="19"/>
        <v>0</v>
      </c>
      <c r="AV188" s="7">
        <f t="shared" si="19"/>
        <v>0</v>
      </c>
      <c r="AW188" s="7">
        <f t="shared" si="17"/>
        <v>0</v>
      </c>
      <c r="AX188" s="7">
        <f t="shared" si="22"/>
        <v>0</v>
      </c>
      <c r="AY188" s="7">
        <f t="shared" si="23"/>
        <v>0</v>
      </c>
      <c r="AZ188" s="7">
        <f t="shared" si="24"/>
        <v>0</v>
      </c>
      <c r="BA188" s="7">
        <f t="shared" si="25"/>
        <v>0</v>
      </c>
      <c r="BB188" s="7">
        <f t="shared" si="26"/>
        <v>0</v>
      </c>
      <c r="BC188" s="7">
        <f>IF(OR(ISERROR(+#REF!/($D188+$E188-$G188)*$G188+#REF!),LEFT(AA188,1)="x"),0,+#REF!/($D188+$E188-$G188)*$G188+#REF!)</f>
        <v>0</v>
      </c>
      <c r="BD188" s="7">
        <f>IF(OR(ISERROR(+#REF!/($D188+$E188-$G188)*$G188+#REF!),LEFT(AB188,1)="x"),0,+#REF!/($D188+$E188-$G188)*$G188+#REF!)</f>
        <v>0</v>
      </c>
      <c r="BE188" s="7" t="e">
        <f>IF(OR(ISERROR(+AC188/($D188+$E188-$G188)*$G188+AC188),LEFT(#REF!,1)="x"),0,+AC188/($D188+$E188-$G188)*$G188+AC188)</f>
        <v>#REF!</v>
      </c>
    </row>
    <row r="189" spans="1:57" hidden="1">
      <c r="A189" s="555"/>
      <c r="B189" s="623"/>
      <c r="C189" s="607"/>
      <c r="D189" s="609"/>
      <c r="E189" s="608"/>
      <c r="F189" s="609"/>
      <c r="G189" s="609"/>
      <c r="H189" s="585"/>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9"/>
        <v>0</v>
      </c>
      <c r="AE189" s="629">
        <f t="shared" si="10"/>
        <v>0</v>
      </c>
      <c r="AF189" s="634">
        <f t="shared" si="11"/>
        <v>0</v>
      </c>
      <c r="AG189" s="43">
        <f t="shared" si="21"/>
        <v>0</v>
      </c>
      <c r="AH189" s="7">
        <f t="shared" si="19"/>
        <v>0</v>
      </c>
      <c r="AI189" s="7">
        <f t="shared" si="19"/>
        <v>0</v>
      </c>
      <c r="AJ189" s="7">
        <f t="shared" si="19"/>
        <v>0</v>
      </c>
      <c r="AK189" s="7">
        <f t="shared" si="19"/>
        <v>0</v>
      </c>
      <c r="AL189" s="7">
        <f t="shared" si="19"/>
        <v>0</v>
      </c>
      <c r="AM189" s="7">
        <f t="shared" si="19"/>
        <v>0</v>
      </c>
      <c r="AN189" s="7">
        <f t="shared" si="19"/>
        <v>0</v>
      </c>
      <c r="AO189" s="7">
        <f t="shared" si="19"/>
        <v>0</v>
      </c>
      <c r="AP189" s="7">
        <f t="shared" si="19"/>
        <v>0</v>
      </c>
      <c r="AQ189" s="7">
        <f t="shared" si="19"/>
        <v>0</v>
      </c>
      <c r="AR189" s="7">
        <f t="shared" si="19"/>
        <v>0</v>
      </c>
      <c r="AS189" s="7">
        <f t="shared" si="19"/>
        <v>0</v>
      </c>
      <c r="AT189" s="7">
        <f t="shared" si="19"/>
        <v>0</v>
      </c>
      <c r="AU189" s="7">
        <f t="shared" si="19"/>
        <v>0</v>
      </c>
      <c r="AV189" s="7">
        <f t="shared" si="19"/>
        <v>0</v>
      </c>
      <c r="AW189" s="7">
        <f t="shared" si="17"/>
        <v>0</v>
      </c>
      <c r="AX189" s="7">
        <f t="shared" si="22"/>
        <v>0</v>
      </c>
      <c r="AY189" s="7">
        <f t="shared" si="23"/>
        <v>0</v>
      </c>
      <c r="AZ189" s="7">
        <f t="shared" si="24"/>
        <v>0</v>
      </c>
      <c r="BA189" s="7">
        <f t="shared" si="25"/>
        <v>0</v>
      </c>
      <c r="BB189" s="7">
        <f t="shared" si="26"/>
        <v>0</v>
      </c>
      <c r="BC189" s="7">
        <f>IF(OR(ISERROR(+#REF!/($D189+$E189-$G189)*$G189+#REF!),LEFT(AA189,1)="x"),0,+#REF!/($D189+$E189-$G189)*$G189+#REF!)</f>
        <v>0</v>
      </c>
      <c r="BD189" s="7">
        <f>IF(OR(ISERROR(+#REF!/($D189+$E189-$G189)*$G189+#REF!),LEFT(AB189,1)="x"),0,+#REF!/($D189+$E189-$G189)*$G189+#REF!)</f>
        <v>0</v>
      </c>
      <c r="BE189" s="7" t="e">
        <f>IF(OR(ISERROR(+AC189/($D189+$E189-$G189)*$G189+AC189),LEFT(#REF!,1)="x"),0,+AC189/($D189+$E189-$G189)*$G189+AC189)</f>
        <v>#REF!</v>
      </c>
    </row>
    <row r="190" spans="1:57" hidden="1">
      <c r="A190" s="555"/>
      <c r="B190" s="623"/>
      <c r="C190" s="607"/>
      <c r="D190" s="609"/>
      <c r="E190" s="608"/>
      <c r="F190" s="609"/>
      <c r="G190" s="609"/>
      <c r="H190" s="585"/>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9"/>
        <v>0</v>
      </c>
      <c r="AE190" s="629">
        <f t="shared" si="10"/>
        <v>0</v>
      </c>
      <c r="AF190" s="634">
        <f t="shared" si="11"/>
        <v>0</v>
      </c>
      <c r="AG190" s="43">
        <f t="shared" si="21"/>
        <v>0</v>
      </c>
      <c r="AH190" s="7">
        <f t="shared" si="19"/>
        <v>0</v>
      </c>
      <c r="AI190" s="7">
        <f t="shared" si="19"/>
        <v>0</v>
      </c>
      <c r="AJ190" s="7">
        <f t="shared" si="19"/>
        <v>0</v>
      </c>
      <c r="AK190" s="7">
        <f t="shared" si="19"/>
        <v>0</v>
      </c>
      <c r="AL190" s="7">
        <f t="shared" si="19"/>
        <v>0</v>
      </c>
      <c r="AM190" s="7">
        <f t="shared" si="19"/>
        <v>0</v>
      </c>
      <c r="AN190" s="7">
        <f t="shared" si="19"/>
        <v>0</v>
      </c>
      <c r="AO190" s="7">
        <f t="shared" si="19"/>
        <v>0</v>
      </c>
      <c r="AP190" s="7">
        <f t="shared" si="19"/>
        <v>0</v>
      </c>
      <c r="AQ190" s="7">
        <f t="shared" si="19"/>
        <v>0</v>
      </c>
      <c r="AR190" s="7">
        <f t="shared" si="19"/>
        <v>0</v>
      </c>
      <c r="AS190" s="7">
        <f t="shared" si="19"/>
        <v>0</v>
      </c>
      <c r="AT190" s="7">
        <f t="shared" si="19"/>
        <v>0</v>
      </c>
      <c r="AU190" s="7">
        <f t="shared" si="19"/>
        <v>0</v>
      </c>
      <c r="AV190" s="7">
        <f t="shared" si="19"/>
        <v>0</v>
      </c>
      <c r="AW190" s="7">
        <f t="shared" si="17"/>
        <v>0</v>
      </c>
      <c r="AX190" s="7">
        <f t="shared" si="22"/>
        <v>0</v>
      </c>
      <c r="AY190" s="7">
        <f t="shared" si="23"/>
        <v>0</v>
      </c>
      <c r="AZ190" s="7">
        <f t="shared" si="24"/>
        <v>0</v>
      </c>
      <c r="BA190" s="7">
        <f t="shared" si="25"/>
        <v>0</v>
      </c>
      <c r="BB190" s="7">
        <f t="shared" si="26"/>
        <v>0</v>
      </c>
      <c r="BC190" s="7">
        <f>IF(OR(ISERROR(+#REF!/($D190+$E190-$G190)*$G190+#REF!),LEFT(AA190,1)="x"),0,+#REF!/($D190+$E190-$G190)*$G190+#REF!)</f>
        <v>0</v>
      </c>
      <c r="BD190" s="7">
        <f>IF(OR(ISERROR(+#REF!/($D190+$E190-$G190)*$G190+#REF!),LEFT(AB190,1)="x"),0,+#REF!/($D190+$E190-$G190)*$G190+#REF!)</f>
        <v>0</v>
      </c>
      <c r="BE190" s="7" t="e">
        <f>IF(OR(ISERROR(+AC190/($D190+$E190-$G190)*$G190+AC190),LEFT(#REF!,1)="x"),0,+AC190/($D190+$E190-$G190)*$G190+AC190)</f>
        <v>#REF!</v>
      </c>
    </row>
    <row r="191" spans="1:57" hidden="1">
      <c r="A191" s="555"/>
      <c r="B191" s="623"/>
      <c r="C191" s="607"/>
      <c r="D191" s="609"/>
      <c r="E191" s="608"/>
      <c r="F191" s="609"/>
      <c r="G191" s="609"/>
      <c r="H191" s="585"/>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9"/>
        <v>0</v>
      </c>
      <c r="AE191" s="629">
        <f t="shared" si="10"/>
        <v>0</v>
      </c>
      <c r="AF191" s="634">
        <f t="shared" si="11"/>
        <v>0</v>
      </c>
      <c r="AG191" s="43">
        <f t="shared" si="21"/>
        <v>0</v>
      </c>
      <c r="AH191" s="7">
        <f t="shared" si="19"/>
        <v>0</v>
      </c>
      <c r="AI191" s="7">
        <f t="shared" si="19"/>
        <v>0</v>
      </c>
      <c r="AJ191" s="7">
        <f t="shared" si="19"/>
        <v>0</v>
      </c>
      <c r="AK191" s="7">
        <f t="shared" si="19"/>
        <v>0</v>
      </c>
      <c r="AL191" s="7">
        <f t="shared" si="19"/>
        <v>0</v>
      </c>
      <c r="AM191" s="7">
        <f t="shared" si="19"/>
        <v>0</v>
      </c>
      <c r="AN191" s="7">
        <f t="shared" si="19"/>
        <v>0</v>
      </c>
      <c r="AO191" s="7">
        <f t="shared" si="19"/>
        <v>0</v>
      </c>
      <c r="AP191" s="7">
        <f t="shared" si="19"/>
        <v>0</v>
      </c>
      <c r="AQ191" s="7">
        <f t="shared" si="19"/>
        <v>0</v>
      </c>
      <c r="AR191" s="7">
        <f t="shared" si="19"/>
        <v>0</v>
      </c>
      <c r="AS191" s="7">
        <f t="shared" si="19"/>
        <v>0</v>
      </c>
      <c r="AT191" s="7">
        <f t="shared" si="19"/>
        <v>0</v>
      </c>
      <c r="AU191" s="7">
        <f t="shared" si="19"/>
        <v>0</v>
      </c>
      <c r="AV191" s="7">
        <f t="shared" si="19"/>
        <v>0</v>
      </c>
      <c r="AW191" s="7">
        <f t="shared" si="17"/>
        <v>0</v>
      </c>
      <c r="AX191" s="7">
        <f t="shared" si="22"/>
        <v>0</v>
      </c>
      <c r="AY191" s="7">
        <f t="shared" si="23"/>
        <v>0</v>
      </c>
      <c r="AZ191" s="7">
        <f t="shared" si="24"/>
        <v>0</v>
      </c>
      <c r="BA191" s="7">
        <f t="shared" si="25"/>
        <v>0</v>
      </c>
      <c r="BB191" s="7">
        <f t="shared" si="26"/>
        <v>0</v>
      </c>
      <c r="BC191" s="7">
        <f>IF(OR(ISERROR(+#REF!/($D191+$E191-$G191)*$G191+#REF!),LEFT(AA191,1)="x"),0,+#REF!/($D191+$E191-$G191)*$G191+#REF!)</f>
        <v>0</v>
      </c>
      <c r="BD191" s="7">
        <f>IF(OR(ISERROR(+#REF!/($D191+$E191-$G191)*$G191+#REF!),LEFT(AB191,1)="x"),0,+#REF!/($D191+$E191-$G191)*$G191+#REF!)</f>
        <v>0</v>
      </c>
      <c r="BE191" s="7" t="e">
        <f>IF(OR(ISERROR(+AC191/($D191+$E191-$G191)*$G191+AC191),LEFT(#REF!,1)="x"),0,+AC191/($D191+$E191-$G191)*$G191+AC191)</f>
        <v>#REF!</v>
      </c>
    </row>
    <row r="192" spans="1:57" hidden="1">
      <c r="A192" s="555"/>
      <c r="B192" s="623"/>
      <c r="C192" s="607"/>
      <c r="D192" s="609"/>
      <c r="E192" s="608"/>
      <c r="F192" s="609"/>
      <c r="G192" s="609"/>
      <c r="H192" s="585"/>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9"/>
        <v>0</v>
      </c>
      <c r="AE192" s="629">
        <f t="shared" si="10"/>
        <v>0</v>
      </c>
      <c r="AF192" s="634">
        <f t="shared" si="11"/>
        <v>0</v>
      </c>
      <c r="AG192" s="43">
        <f t="shared" si="21"/>
        <v>0</v>
      </c>
      <c r="AH192" s="7">
        <f t="shared" si="19"/>
        <v>0</v>
      </c>
      <c r="AI192" s="7">
        <f t="shared" si="19"/>
        <v>0</v>
      </c>
      <c r="AJ192" s="7">
        <f t="shared" si="19"/>
        <v>0</v>
      </c>
      <c r="AK192" s="7">
        <f t="shared" si="19"/>
        <v>0</v>
      </c>
      <c r="AL192" s="7">
        <f t="shared" si="19"/>
        <v>0</v>
      </c>
      <c r="AM192" s="7">
        <f t="shared" si="19"/>
        <v>0</v>
      </c>
      <c r="AN192" s="7">
        <f t="shared" si="19"/>
        <v>0</v>
      </c>
      <c r="AO192" s="7">
        <f t="shared" si="19"/>
        <v>0</v>
      </c>
      <c r="AP192" s="7">
        <f t="shared" si="19"/>
        <v>0</v>
      </c>
      <c r="AQ192" s="7">
        <f t="shared" si="19"/>
        <v>0</v>
      </c>
      <c r="AR192" s="7">
        <f t="shared" si="19"/>
        <v>0</v>
      </c>
      <c r="AS192" s="7">
        <f t="shared" si="19"/>
        <v>0</v>
      </c>
      <c r="AT192" s="7">
        <f t="shared" si="19"/>
        <v>0</v>
      </c>
      <c r="AU192" s="7">
        <f t="shared" si="19"/>
        <v>0</v>
      </c>
      <c r="AV192" s="7">
        <f t="shared" si="19"/>
        <v>0</v>
      </c>
      <c r="AW192" s="7">
        <f t="shared" si="17"/>
        <v>0</v>
      </c>
      <c r="AX192" s="7">
        <f t="shared" si="22"/>
        <v>0</v>
      </c>
      <c r="AY192" s="7">
        <f t="shared" si="23"/>
        <v>0</v>
      </c>
      <c r="AZ192" s="7">
        <f t="shared" si="24"/>
        <v>0</v>
      </c>
      <c r="BA192" s="7">
        <f t="shared" si="25"/>
        <v>0</v>
      </c>
      <c r="BB192" s="7">
        <f t="shared" si="26"/>
        <v>0</v>
      </c>
      <c r="BC192" s="7">
        <f>IF(OR(ISERROR(+#REF!/($D192+$E192-$G192)*$G192+#REF!),LEFT(AA192,1)="x"),0,+#REF!/($D192+$E192-$G192)*$G192+#REF!)</f>
        <v>0</v>
      </c>
      <c r="BD192" s="7">
        <f>IF(OR(ISERROR(+#REF!/($D192+$E192-$G192)*$G192+#REF!),LEFT(AB192,1)="x"),0,+#REF!/($D192+$E192-$G192)*$G192+#REF!)</f>
        <v>0</v>
      </c>
      <c r="BE192" s="7" t="e">
        <f>IF(OR(ISERROR(+AC192/($D192+$E192-$G192)*$G192+AC192),LEFT(#REF!,1)="x"),0,+AC192/($D192+$E192-$G192)*$G192+AC192)</f>
        <v>#REF!</v>
      </c>
    </row>
    <row r="193" spans="1:57" hidden="1">
      <c r="A193" s="555"/>
      <c r="B193" s="623"/>
      <c r="C193" s="607"/>
      <c r="D193" s="609"/>
      <c r="E193" s="608"/>
      <c r="F193" s="609"/>
      <c r="G193" s="60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9"/>
        <v>0</v>
      </c>
      <c r="AE193" s="629">
        <f t="shared" si="10"/>
        <v>0</v>
      </c>
      <c r="AF193" s="634">
        <f t="shared" si="11"/>
        <v>0</v>
      </c>
      <c r="AG193" s="43">
        <f t="shared" si="21"/>
        <v>0</v>
      </c>
      <c r="AH193" s="7">
        <f t="shared" si="19"/>
        <v>0</v>
      </c>
      <c r="AI193" s="7">
        <f t="shared" si="19"/>
        <v>0</v>
      </c>
      <c r="AJ193" s="7">
        <f t="shared" si="19"/>
        <v>0</v>
      </c>
      <c r="AK193" s="7">
        <f t="shared" si="19"/>
        <v>0</v>
      </c>
      <c r="AL193" s="7">
        <f t="shared" si="19"/>
        <v>0</v>
      </c>
      <c r="AM193" s="7">
        <f t="shared" si="19"/>
        <v>0</v>
      </c>
      <c r="AN193" s="7">
        <f t="shared" si="19"/>
        <v>0</v>
      </c>
      <c r="AO193" s="7">
        <f t="shared" si="19"/>
        <v>0</v>
      </c>
      <c r="AP193" s="7">
        <f t="shared" si="19"/>
        <v>0</v>
      </c>
      <c r="AQ193" s="7">
        <f t="shared" si="19"/>
        <v>0</v>
      </c>
      <c r="AR193" s="7">
        <f t="shared" si="19"/>
        <v>0</v>
      </c>
      <c r="AS193" s="7">
        <f t="shared" si="19"/>
        <v>0</v>
      </c>
      <c r="AT193" s="7">
        <f t="shared" si="19"/>
        <v>0</v>
      </c>
      <c r="AU193" s="7">
        <f t="shared" si="19"/>
        <v>0</v>
      </c>
      <c r="AV193" s="7">
        <f t="shared" si="19"/>
        <v>0</v>
      </c>
      <c r="AW193" s="7">
        <f t="shared" si="17"/>
        <v>0</v>
      </c>
      <c r="AX193" s="7">
        <f t="shared" si="22"/>
        <v>0</v>
      </c>
      <c r="AY193" s="7">
        <f t="shared" si="23"/>
        <v>0</v>
      </c>
      <c r="AZ193" s="7">
        <f t="shared" si="24"/>
        <v>0</v>
      </c>
      <c r="BA193" s="7">
        <f t="shared" si="25"/>
        <v>0</v>
      </c>
      <c r="BB193" s="7">
        <f t="shared" si="26"/>
        <v>0</v>
      </c>
      <c r="BC193" s="7">
        <f>IF(OR(ISERROR(+#REF!/($D193+$E193-$G193)*$G193+#REF!),LEFT(AA193,1)="x"),0,+#REF!/($D193+$E193-$G193)*$G193+#REF!)</f>
        <v>0</v>
      </c>
      <c r="BD193" s="7">
        <f>IF(OR(ISERROR(+#REF!/($D193+$E193-$G193)*$G193+#REF!),LEFT(AB193,1)="x"),0,+#REF!/($D193+$E193-$G193)*$G193+#REF!)</f>
        <v>0</v>
      </c>
      <c r="BE193" s="7" t="e">
        <f>IF(OR(ISERROR(+AC193/($D193+$E193-$G193)*$G193+AC193),LEFT(#REF!,1)="x"),0,+AC193/($D193+$E193-$G193)*$G193+AC193)</f>
        <v>#REF!</v>
      </c>
    </row>
    <row r="194" spans="1:57" hidden="1">
      <c r="A194" s="555"/>
      <c r="B194" s="623"/>
      <c r="C194" s="607"/>
      <c r="D194" s="609"/>
      <c r="E194" s="608"/>
      <c r="F194" s="609"/>
      <c r="G194" s="60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9"/>
        <v>0</v>
      </c>
      <c r="AE194" s="629">
        <f t="shared" si="10"/>
        <v>0</v>
      </c>
      <c r="AF194" s="634">
        <f t="shared" si="11"/>
        <v>0</v>
      </c>
      <c r="AG194" s="43">
        <f t="shared" si="21"/>
        <v>0</v>
      </c>
      <c r="AH194" s="7">
        <f t="shared" si="19"/>
        <v>0</v>
      </c>
      <c r="AI194" s="7">
        <f t="shared" si="19"/>
        <v>0</v>
      </c>
      <c r="AJ194" s="7">
        <f t="shared" si="19"/>
        <v>0</v>
      </c>
      <c r="AK194" s="7">
        <f t="shared" si="19"/>
        <v>0</v>
      </c>
      <c r="AL194" s="7">
        <f t="shared" si="19"/>
        <v>0</v>
      </c>
      <c r="AM194" s="7">
        <f t="shared" si="19"/>
        <v>0</v>
      </c>
      <c r="AN194" s="7">
        <f t="shared" si="19"/>
        <v>0</v>
      </c>
      <c r="AO194" s="7">
        <f t="shared" si="19"/>
        <v>0</v>
      </c>
      <c r="AP194" s="7">
        <f t="shared" si="19"/>
        <v>0</v>
      </c>
      <c r="AQ194" s="7">
        <f t="shared" si="19"/>
        <v>0</v>
      </c>
      <c r="AR194" s="7">
        <f t="shared" si="19"/>
        <v>0</v>
      </c>
      <c r="AS194" s="7">
        <f t="shared" si="19"/>
        <v>0</v>
      </c>
      <c r="AT194" s="7">
        <f t="shared" si="19"/>
        <v>0</v>
      </c>
      <c r="AU194" s="7">
        <f t="shared" si="19"/>
        <v>0</v>
      </c>
      <c r="AV194" s="7">
        <f t="shared" si="19"/>
        <v>0</v>
      </c>
      <c r="AW194" s="7">
        <f t="shared" si="17"/>
        <v>0</v>
      </c>
      <c r="AX194" s="7">
        <f t="shared" si="22"/>
        <v>0</v>
      </c>
      <c r="AY194" s="7">
        <f t="shared" si="23"/>
        <v>0</v>
      </c>
      <c r="AZ194" s="7">
        <f t="shared" si="24"/>
        <v>0</v>
      </c>
      <c r="BA194" s="7">
        <f t="shared" si="25"/>
        <v>0</v>
      </c>
      <c r="BB194" s="7">
        <f t="shared" si="26"/>
        <v>0</v>
      </c>
      <c r="BC194" s="7">
        <f>IF(OR(ISERROR(+#REF!/($D194+$E194-$G194)*$G194+#REF!),LEFT(AA194,1)="x"),0,+#REF!/($D194+$E194-$G194)*$G194+#REF!)</f>
        <v>0</v>
      </c>
      <c r="BD194" s="7">
        <f>IF(OR(ISERROR(+#REF!/($D194+$E194-$G194)*$G194+#REF!),LEFT(AB194,1)="x"),0,+#REF!/($D194+$E194-$G194)*$G194+#REF!)</f>
        <v>0</v>
      </c>
      <c r="BE194" s="7" t="e">
        <f>IF(OR(ISERROR(+AC194/($D194+$E194-$G194)*$G194+AC194),LEFT(#REF!,1)="x"),0,+AC194/($D194+$E194-$G194)*$G194+AC194)</f>
        <v>#REF!</v>
      </c>
    </row>
    <row r="195" spans="1:57" hidden="1">
      <c r="A195" s="555"/>
      <c r="B195" s="623"/>
      <c r="C195" s="607"/>
      <c r="D195" s="609"/>
      <c r="E195" s="608"/>
      <c r="F195" s="609"/>
      <c r="G195" s="60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9"/>
        <v>0</v>
      </c>
      <c r="AE195" s="629">
        <f t="shared" si="10"/>
        <v>0</v>
      </c>
      <c r="AF195" s="634">
        <f t="shared" si="11"/>
        <v>0</v>
      </c>
      <c r="AG195" s="43">
        <f t="shared" si="21"/>
        <v>0</v>
      </c>
      <c r="AH195" s="7">
        <f t="shared" si="19"/>
        <v>0</v>
      </c>
      <c r="AI195" s="7">
        <f t="shared" si="19"/>
        <v>0</v>
      </c>
      <c r="AJ195" s="7">
        <f t="shared" si="19"/>
        <v>0</v>
      </c>
      <c r="AK195" s="7">
        <f t="shared" si="19"/>
        <v>0</v>
      </c>
      <c r="AL195" s="7">
        <f t="shared" si="19"/>
        <v>0</v>
      </c>
      <c r="AM195" s="7">
        <f t="shared" si="19"/>
        <v>0</v>
      </c>
      <c r="AN195" s="7">
        <f t="shared" si="19"/>
        <v>0</v>
      </c>
      <c r="AO195" s="7">
        <f t="shared" si="19"/>
        <v>0</v>
      </c>
      <c r="AP195" s="7">
        <f t="shared" si="19"/>
        <v>0</v>
      </c>
      <c r="AQ195" s="7">
        <f t="shared" si="19"/>
        <v>0</v>
      </c>
      <c r="AR195" s="7">
        <f t="shared" si="19"/>
        <v>0</v>
      </c>
      <c r="AS195" s="7">
        <f t="shared" si="19"/>
        <v>0</v>
      </c>
      <c r="AT195" s="7">
        <f t="shared" si="19"/>
        <v>0</v>
      </c>
      <c r="AU195" s="7">
        <f t="shared" si="19"/>
        <v>0</v>
      </c>
      <c r="AV195" s="7">
        <f t="shared" si="19"/>
        <v>0</v>
      </c>
      <c r="AW195" s="7">
        <f t="shared" si="17"/>
        <v>0</v>
      </c>
      <c r="AX195" s="7">
        <f t="shared" si="22"/>
        <v>0</v>
      </c>
      <c r="AY195" s="7">
        <f t="shared" si="23"/>
        <v>0</v>
      </c>
      <c r="AZ195" s="7">
        <f t="shared" si="24"/>
        <v>0</v>
      </c>
      <c r="BA195" s="7">
        <f t="shared" si="25"/>
        <v>0</v>
      </c>
      <c r="BB195" s="7">
        <f t="shared" si="26"/>
        <v>0</v>
      </c>
      <c r="BC195" s="7">
        <f>IF(OR(ISERROR(+#REF!/($D195+$E195-$G195)*$G195+#REF!),LEFT(AA195,1)="x"),0,+#REF!/($D195+$E195-$G195)*$G195+#REF!)</f>
        <v>0</v>
      </c>
      <c r="BD195" s="7">
        <f>IF(OR(ISERROR(+#REF!/($D195+$E195-$G195)*$G195+#REF!),LEFT(AB195,1)="x"),0,+#REF!/($D195+$E195-$G195)*$G195+#REF!)</f>
        <v>0</v>
      </c>
      <c r="BE195" s="7" t="e">
        <f>IF(OR(ISERROR(+AC195/($D195+$E195-$G195)*$G195+AC195),LEFT(#REF!,1)="x"),0,+AC195/($D195+$E195-$G195)*$G195+AC195)</f>
        <v>#REF!</v>
      </c>
    </row>
    <row r="196" spans="1:57" ht="13.5" hidden="1" thickBot="1">
      <c r="A196" s="556"/>
      <c r="B196" s="624"/>
      <c r="C196" s="611"/>
      <c r="D196" s="610"/>
      <c r="E196" s="612"/>
      <c r="F196" s="610"/>
      <c r="G196" s="610"/>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9"/>
        <v>0</v>
      </c>
      <c r="AE196" s="629">
        <f t="shared" si="10"/>
        <v>0</v>
      </c>
      <c r="AF196" s="634">
        <f t="shared" si="11"/>
        <v>0</v>
      </c>
      <c r="AG196" s="43">
        <f t="shared" si="21"/>
        <v>0</v>
      </c>
      <c r="AH196" s="7">
        <f t="shared" si="19"/>
        <v>0</v>
      </c>
      <c r="AI196" s="7">
        <f t="shared" si="19"/>
        <v>0</v>
      </c>
      <c r="AJ196" s="7">
        <f t="shared" si="19"/>
        <v>0</v>
      </c>
      <c r="AK196" s="7">
        <f t="shared" si="19"/>
        <v>0</v>
      </c>
      <c r="AL196" s="7">
        <f t="shared" si="19"/>
        <v>0</v>
      </c>
      <c r="AM196" s="7">
        <f t="shared" si="19"/>
        <v>0</v>
      </c>
      <c r="AN196" s="7">
        <f t="shared" si="19"/>
        <v>0</v>
      </c>
      <c r="AO196" s="7">
        <f t="shared" si="19"/>
        <v>0</v>
      </c>
      <c r="AP196" s="7">
        <f t="shared" si="19"/>
        <v>0</v>
      </c>
      <c r="AQ196" s="7">
        <f t="shared" si="19"/>
        <v>0</v>
      </c>
      <c r="AR196" s="7">
        <f t="shared" si="19"/>
        <v>0</v>
      </c>
      <c r="AS196" s="7">
        <f t="shared" si="19"/>
        <v>0</v>
      </c>
      <c r="AT196" s="7">
        <f t="shared" si="19"/>
        <v>0</v>
      </c>
      <c r="AU196" s="7">
        <f t="shared" si="19"/>
        <v>0</v>
      </c>
      <c r="AV196" s="7">
        <f t="shared" si="19"/>
        <v>0</v>
      </c>
      <c r="AW196" s="7">
        <f t="shared" si="17"/>
        <v>0</v>
      </c>
      <c r="AX196" s="7">
        <f t="shared" si="22"/>
        <v>0</v>
      </c>
      <c r="AY196" s="7">
        <f t="shared" si="23"/>
        <v>0</v>
      </c>
      <c r="AZ196" s="7">
        <f t="shared" si="24"/>
        <v>0</v>
      </c>
      <c r="BA196" s="7">
        <f t="shared" si="25"/>
        <v>0</v>
      </c>
      <c r="BB196" s="7">
        <f t="shared" si="26"/>
        <v>0</v>
      </c>
      <c r="BC196" s="7">
        <f>IF(OR(ISERROR(+#REF!/($D196+$E196-$G196)*$G196+#REF!),LEFT(AA196,1)="x"),0,+#REF!/($D196+$E196-$G196)*$G196+#REF!)</f>
        <v>0</v>
      </c>
      <c r="BD196" s="7">
        <f>IF(OR(ISERROR(+#REF!/($D196+$E196-$G196)*$G196+#REF!),LEFT(AB196,1)="x"),0,+#REF!/($D196+$E196-$G196)*$G196+#REF!)</f>
        <v>0</v>
      </c>
      <c r="BE196" s="7" t="e">
        <f>IF(OR(ISERROR(+AC196/($D196+$E196-$G196)*$G196+AC196),LEFT(#REF!,1)="x"),0,+AC196/($D196+$E196-$G196)*$G196+AC196)</f>
        <v>#REF!</v>
      </c>
    </row>
    <row r="197" spans="1:57" ht="14.25">
      <c r="A197" s="99" t="s">
        <v>20</v>
      </c>
      <c r="B197" s="100"/>
      <c r="C197" s="97" t="s">
        <v>26</v>
      </c>
      <c r="D197" s="92">
        <f>SUM(D80:D196)</f>
        <v>51755.5</v>
      </c>
      <c r="E197" s="92">
        <f>SUM(E80:E196)</f>
        <v>774</v>
      </c>
      <c r="F197" s="208">
        <f>SUM(F80:F196)</f>
        <v>0</v>
      </c>
      <c r="G197" s="92">
        <f t="shared" ref="G197:AA197" si="27">SUM(G80:G196)</f>
        <v>0</v>
      </c>
      <c r="H197" s="92">
        <f t="shared" si="27"/>
        <v>225</v>
      </c>
      <c r="I197" s="92">
        <f t="shared" si="27"/>
        <v>164</v>
      </c>
      <c r="J197" s="92">
        <f t="shared" si="27"/>
        <v>65</v>
      </c>
      <c r="K197" s="92">
        <f t="shared" si="27"/>
        <v>0</v>
      </c>
      <c r="L197" s="92">
        <f t="shared" si="27"/>
        <v>1612</v>
      </c>
      <c r="M197" s="92">
        <f t="shared" si="27"/>
        <v>0</v>
      </c>
      <c r="N197" s="92">
        <f t="shared" si="27"/>
        <v>50000</v>
      </c>
      <c r="O197" s="92">
        <f t="shared" si="27"/>
        <v>0</v>
      </c>
      <c r="P197" s="92">
        <f t="shared" si="27"/>
        <v>20</v>
      </c>
      <c r="Q197" s="92">
        <f t="shared" si="27"/>
        <v>0</v>
      </c>
      <c r="R197" s="92">
        <f t="shared" si="27"/>
        <v>65</v>
      </c>
      <c r="S197" s="92">
        <f t="shared" si="27"/>
        <v>55</v>
      </c>
      <c r="T197" s="92">
        <f t="shared" si="27"/>
        <v>85</v>
      </c>
      <c r="U197" s="92">
        <f t="shared" si="27"/>
        <v>138</v>
      </c>
      <c r="V197" s="92">
        <f t="shared" si="27"/>
        <v>5.5</v>
      </c>
      <c r="W197" s="92">
        <f t="shared" si="27"/>
        <v>95</v>
      </c>
      <c r="X197" s="92">
        <f t="shared" si="27"/>
        <v>0</v>
      </c>
      <c r="Y197" s="92">
        <f t="shared" si="27"/>
        <v>0</v>
      </c>
      <c r="Z197" s="92">
        <f t="shared" si="27"/>
        <v>0</v>
      </c>
      <c r="AA197" s="92">
        <f t="shared" si="27"/>
        <v>0</v>
      </c>
      <c r="AB197" s="92">
        <f>SUM(AB80:AB196)</f>
        <v>0</v>
      </c>
      <c r="AC197" s="208">
        <f>SUM(AC80:AC196)</f>
        <v>0</v>
      </c>
      <c r="AH197" s="7">
        <f t="shared" si="19"/>
        <v>225</v>
      </c>
      <c r="AI197" s="7">
        <f t="shared" si="19"/>
        <v>164</v>
      </c>
      <c r="AJ197" s="7">
        <f t="shared" si="19"/>
        <v>65</v>
      </c>
      <c r="AK197" s="7">
        <f t="shared" si="19"/>
        <v>0</v>
      </c>
      <c r="AL197" s="7">
        <f t="shared" si="19"/>
        <v>1612</v>
      </c>
      <c r="AM197" s="7">
        <f t="shared" si="19"/>
        <v>0</v>
      </c>
      <c r="AN197" s="7">
        <f t="shared" si="19"/>
        <v>50000</v>
      </c>
      <c r="AO197" s="7">
        <f t="shared" si="19"/>
        <v>0</v>
      </c>
      <c r="AP197" s="7">
        <f t="shared" si="19"/>
        <v>20</v>
      </c>
      <c r="AQ197" s="7">
        <f t="shared" si="19"/>
        <v>0</v>
      </c>
      <c r="AR197" s="7">
        <f t="shared" si="19"/>
        <v>65</v>
      </c>
      <c r="AS197" s="7">
        <f t="shared" si="19"/>
        <v>55</v>
      </c>
      <c r="AT197" s="7">
        <f t="shared" si="19"/>
        <v>85</v>
      </c>
      <c r="AU197" s="7">
        <f t="shared" si="19"/>
        <v>138</v>
      </c>
      <c r="AV197" s="7">
        <f t="shared" si="19"/>
        <v>5.5</v>
      </c>
      <c r="AW197" s="7">
        <f t="shared" si="17"/>
        <v>95</v>
      </c>
      <c r="AX197" s="7">
        <f t="shared" si="22"/>
        <v>0</v>
      </c>
      <c r="AY197" s="7">
        <f t="shared" si="23"/>
        <v>0</v>
      </c>
      <c r="AZ197" s="7">
        <f t="shared" si="24"/>
        <v>0</v>
      </c>
      <c r="BA197" s="7">
        <f t="shared" si="25"/>
        <v>0</v>
      </c>
      <c r="BB197" s="7">
        <f t="shared" si="26"/>
        <v>0</v>
      </c>
      <c r="BC197" s="7">
        <f>IF(OR(ISERROR(+#REF!/($D197+$E197-$G197)*$G197+#REF!),LEFT(AA197,1)="x"),0,+#REF!/($D197+$E197-$G197)*$G197+#REF!)</f>
        <v>0</v>
      </c>
      <c r="BD197" s="7">
        <f>IF(OR(ISERROR(+AC197/($D197+$E197-$G197)*$G197+AC197),LEFT(Z197,1)="x"),0,+AC197/($D197+$E197-$G197)*$G197+AC197)</f>
        <v>0</v>
      </c>
    </row>
    <row r="198" spans="1:57" ht="13.5" thickBot="1">
      <c r="A198" s="50"/>
      <c r="B198" s="51"/>
      <c r="C198" s="39" t="s">
        <v>27</v>
      </c>
      <c r="D198" s="643">
        <f>SUM(D79:D196)</f>
        <v>132396.32</v>
      </c>
      <c r="E198" s="643">
        <f>SUM(E79:E196)</f>
        <v>660</v>
      </c>
      <c r="F198" s="644">
        <f>SUM(F79:F196)</f>
        <v>0</v>
      </c>
      <c r="G198" s="643">
        <f t="shared" ref="G198:AA198" si="28">SUM(G79:G196)</f>
        <v>0</v>
      </c>
      <c r="H198" s="643">
        <f t="shared" si="28"/>
        <v>1575</v>
      </c>
      <c r="I198" s="643">
        <f t="shared" si="28"/>
        <v>1148</v>
      </c>
      <c r="J198" s="643">
        <f t="shared" si="28"/>
        <v>305</v>
      </c>
      <c r="K198" s="643">
        <f t="shared" si="28"/>
        <v>0</v>
      </c>
      <c r="L198" s="643">
        <f t="shared" si="28"/>
        <v>14380</v>
      </c>
      <c r="M198" s="643">
        <f t="shared" si="28"/>
        <v>264.02999999999997</v>
      </c>
      <c r="N198" s="643">
        <f t="shared" si="28"/>
        <v>50000</v>
      </c>
      <c r="O198" s="643">
        <f t="shared" si="28"/>
        <v>0</v>
      </c>
      <c r="P198" s="643">
        <f t="shared" si="28"/>
        <v>140</v>
      </c>
      <c r="Q198" s="643">
        <f t="shared" si="28"/>
        <v>0</v>
      </c>
      <c r="R198" s="643">
        <f t="shared" si="28"/>
        <v>455</v>
      </c>
      <c r="S198" s="643">
        <f t="shared" si="28"/>
        <v>385</v>
      </c>
      <c r="T198" s="643">
        <f t="shared" si="28"/>
        <v>595</v>
      </c>
      <c r="U198" s="643">
        <f t="shared" si="28"/>
        <v>966</v>
      </c>
      <c r="V198" s="643">
        <f t="shared" si="28"/>
        <v>43.8</v>
      </c>
      <c r="W198" s="643">
        <f t="shared" si="28"/>
        <v>665</v>
      </c>
      <c r="X198" s="643">
        <f t="shared" si="28"/>
        <v>50555.39</v>
      </c>
      <c r="Y198" s="643">
        <f t="shared" si="28"/>
        <v>10781.1</v>
      </c>
      <c r="Z198" s="643">
        <f t="shared" si="28"/>
        <v>0</v>
      </c>
      <c r="AA198" s="643">
        <f t="shared" si="28"/>
        <v>0</v>
      </c>
      <c r="AB198" s="643">
        <f>SUM(AB79:AB196)</f>
        <v>785</v>
      </c>
      <c r="AC198" s="645">
        <f>SUM(AC79:AC196)</f>
        <v>13</v>
      </c>
      <c r="AG198" s="57"/>
      <c r="AH198" s="7">
        <f t="shared" ref="AH198:AV201" si="29">IF(OR(ISERROR(+H198/($D198+$E198-$G198)*$G198+H198),LEFT(F198,1)="x"),0,+H198/($D198+$E198-$G198)*$G198+H198)</f>
        <v>1575</v>
      </c>
      <c r="AI198" s="7">
        <f t="shared" si="29"/>
        <v>1148</v>
      </c>
      <c r="AJ198" s="7">
        <f t="shared" si="29"/>
        <v>305</v>
      </c>
      <c r="AK198" s="7">
        <f t="shared" si="29"/>
        <v>0</v>
      </c>
      <c r="AL198" s="7">
        <f t="shared" si="29"/>
        <v>14380</v>
      </c>
      <c r="AM198" s="7">
        <f t="shared" si="29"/>
        <v>264.02999999999997</v>
      </c>
      <c r="AN198" s="7">
        <f t="shared" si="29"/>
        <v>50000</v>
      </c>
      <c r="AO198" s="7">
        <f t="shared" si="29"/>
        <v>0</v>
      </c>
      <c r="AP198" s="7">
        <f t="shared" si="29"/>
        <v>140</v>
      </c>
      <c r="AQ198" s="7">
        <f t="shared" si="29"/>
        <v>0</v>
      </c>
      <c r="AR198" s="7">
        <f t="shared" si="29"/>
        <v>455</v>
      </c>
      <c r="AS198" s="7">
        <f t="shared" si="29"/>
        <v>385</v>
      </c>
      <c r="AT198" s="7">
        <f t="shared" si="29"/>
        <v>595</v>
      </c>
      <c r="AU198" s="7">
        <f t="shared" si="29"/>
        <v>966</v>
      </c>
      <c r="AV198" s="7">
        <f t="shared" si="29"/>
        <v>43.8</v>
      </c>
      <c r="AW198" s="7">
        <f t="shared" si="17"/>
        <v>665</v>
      </c>
      <c r="AX198" s="7">
        <f t="shared" si="22"/>
        <v>50555.39</v>
      </c>
      <c r="AY198" s="7">
        <f t="shared" si="23"/>
        <v>10781.1</v>
      </c>
      <c r="AZ198" s="7">
        <f t="shared" si="24"/>
        <v>0</v>
      </c>
      <c r="BA198" s="7">
        <f t="shared" si="25"/>
        <v>0</v>
      </c>
      <c r="BB198" s="7">
        <f t="shared" si="26"/>
        <v>785</v>
      </c>
      <c r="BC198" s="7">
        <f>IF(OR(ISERROR(+#REF!/($D198+$E198-$G198)*$G198+#REF!),LEFT(AA198,1)="x"),0,+#REF!/($D198+$E198-$G198)*$G198+#REF!)</f>
        <v>0</v>
      </c>
      <c r="BD198" s="7">
        <f>IF(OR(ISERROR(+AC198/($D198+$E198-$G198)*$G198+AC198),LEFT(Z198,1)="x"),0,+AC198/($D198+$E198-$G198)*$G198+AC198)</f>
        <v>13</v>
      </c>
    </row>
    <row r="199" spans="1:5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H199" s="7">
        <f t="shared" si="29"/>
        <v>0</v>
      </c>
      <c r="AI199" s="7">
        <f t="shared" si="29"/>
        <v>0</v>
      </c>
      <c r="AJ199" s="7">
        <f t="shared" si="29"/>
        <v>0</v>
      </c>
      <c r="AK199" s="7">
        <f t="shared" si="29"/>
        <v>0</v>
      </c>
      <c r="AL199" s="7">
        <f t="shared" si="29"/>
        <v>0</v>
      </c>
      <c r="AM199" s="7">
        <f t="shared" si="29"/>
        <v>0</v>
      </c>
      <c r="AN199" s="7">
        <f t="shared" si="29"/>
        <v>0</v>
      </c>
      <c r="AO199" s="7">
        <f t="shared" si="29"/>
        <v>0</v>
      </c>
      <c r="AP199" s="7">
        <f t="shared" si="29"/>
        <v>0</v>
      </c>
      <c r="AQ199" s="7">
        <f t="shared" si="29"/>
        <v>0</v>
      </c>
      <c r="AR199" s="7">
        <f t="shared" si="29"/>
        <v>0</v>
      </c>
      <c r="AS199" s="7">
        <f t="shared" si="29"/>
        <v>0</v>
      </c>
      <c r="AT199" s="7">
        <f t="shared" si="29"/>
        <v>0</v>
      </c>
      <c r="AU199" s="7">
        <f t="shared" si="29"/>
        <v>0</v>
      </c>
      <c r="AV199" s="7">
        <f t="shared" si="29"/>
        <v>0</v>
      </c>
      <c r="AW199" s="7">
        <f t="shared" si="17"/>
        <v>0</v>
      </c>
      <c r="AX199" s="7">
        <f t="shared" si="22"/>
        <v>0</v>
      </c>
      <c r="AY199" s="7">
        <f t="shared" si="23"/>
        <v>0</v>
      </c>
      <c r="AZ199" s="7">
        <f t="shared" si="24"/>
        <v>0</v>
      </c>
      <c r="BA199" s="7">
        <f t="shared" si="25"/>
        <v>0</v>
      </c>
      <c r="BB199" s="7">
        <f t="shared" si="26"/>
        <v>0</v>
      </c>
      <c r="BC199" s="7">
        <f>IF(OR(ISERROR(+#REF!/($D199+$E199-$G199)*$G199+#REF!),LEFT(AA199,1)="x"),0,+#REF!/($D199+$E199-$G199)*$G199+#REF!)</f>
        <v>0</v>
      </c>
      <c r="BD199" s="7">
        <f>IF(OR(ISERROR(+AC199/($D199+$E199-$G199)*$G199+AC199),LEFT(Z199,1)="x"),0,+AC199/($D199+$E199-$G199)*$G199+AC199)</f>
        <v>0</v>
      </c>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H200" s="7">
        <f t="shared" si="29"/>
        <v>0</v>
      </c>
      <c r="AI200" s="7">
        <f t="shared" si="29"/>
        <v>0</v>
      </c>
      <c r="AJ200" s="7">
        <f t="shared" si="29"/>
        <v>0</v>
      </c>
      <c r="AK200" s="7">
        <f t="shared" si="29"/>
        <v>0</v>
      </c>
      <c r="AL200" s="7">
        <f t="shared" si="29"/>
        <v>0</v>
      </c>
      <c r="AM200" s="7">
        <f t="shared" si="29"/>
        <v>0</v>
      </c>
      <c r="AN200" s="7">
        <f t="shared" si="29"/>
        <v>0</v>
      </c>
      <c r="AO200" s="7">
        <f t="shared" si="29"/>
        <v>0</v>
      </c>
      <c r="AP200" s="7">
        <f t="shared" si="29"/>
        <v>0</v>
      </c>
      <c r="AQ200" s="7">
        <f t="shared" si="29"/>
        <v>0</v>
      </c>
      <c r="AR200" s="7">
        <f t="shared" si="29"/>
        <v>0</v>
      </c>
      <c r="AS200" s="7">
        <f t="shared" si="29"/>
        <v>0</v>
      </c>
      <c r="AT200" s="7">
        <f t="shared" si="29"/>
        <v>0</v>
      </c>
      <c r="AU200" s="7">
        <f t="shared" si="29"/>
        <v>0</v>
      </c>
      <c r="AV200" s="7">
        <f t="shared" si="29"/>
        <v>0</v>
      </c>
      <c r="AW200" s="7">
        <f t="shared" si="17"/>
        <v>0</v>
      </c>
      <c r="AX200" s="7">
        <f t="shared" si="22"/>
        <v>0</v>
      </c>
      <c r="AY200" s="7">
        <f t="shared" si="23"/>
        <v>0</v>
      </c>
      <c r="AZ200" s="7">
        <f t="shared" si="24"/>
        <v>0</v>
      </c>
      <c r="BA200" s="7">
        <f t="shared" si="25"/>
        <v>0</v>
      </c>
      <c r="BB200" s="7">
        <f t="shared" si="26"/>
        <v>0</v>
      </c>
      <c r="BC200" s="7">
        <f>IF(OR(ISERROR(+#REF!/($D200+$E200-$G200)*$G200+#REF!),LEFT(AA200,1)="x"),0,+#REF!/($D200+$E200-$G200)*$G200+#REF!)</f>
        <v>0</v>
      </c>
      <c r="BD200" s="7">
        <f>IF(OR(ISERROR(+AC200/($D200+$E200-$G200)*$G200+AC200),LEFT(Z200,1)="x"),0,+AC200/($D200+$E200-$G200)*$G200+AC200)</f>
        <v>0</v>
      </c>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H201" s="7">
        <f t="shared" si="29"/>
        <v>0</v>
      </c>
      <c r="AI201" s="7">
        <f t="shared" si="29"/>
        <v>0</v>
      </c>
      <c r="AJ201" s="7">
        <f t="shared" si="29"/>
        <v>0</v>
      </c>
      <c r="AK201" s="7">
        <f t="shared" si="29"/>
        <v>0</v>
      </c>
      <c r="AL201" s="7">
        <f t="shared" si="29"/>
        <v>0</v>
      </c>
      <c r="AM201" s="7">
        <f t="shared" si="29"/>
        <v>0</v>
      </c>
      <c r="AN201" s="7">
        <f t="shared" si="29"/>
        <v>0</v>
      </c>
      <c r="AO201" s="7">
        <f t="shared" si="29"/>
        <v>0</v>
      </c>
      <c r="AP201" s="7">
        <f t="shared" si="29"/>
        <v>0</v>
      </c>
      <c r="AQ201" s="7">
        <f t="shared" si="29"/>
        <v>0</v>
      </c>
      <c r="AR201" s="7">
        <f t="shared" si="29"/>
        <v>0</v>
      </c>
      <c r="AS201" s="7">
        <f t="shared" si="29"/>
        <v>0</v>
      </c>
      <c r="AT201" s="7">
        <f t="shared" si="29"/>
        <v>0</v>
      </c>
      <c r="AU201" s="7">
        <f t="shared" si="29"/>
        <v>0</v>
      </c>
      <c r="AV201" s="7">
        <f t="shared" si="29"/>
        <v>0</v>
      </c>
      <c r="AW201" s="7">
        <f t="shared" si="17"/>
        <v>0</v>
      </c>
      <c r="AX201" s="7">
        <f t="shared" si="22"/>
        <v>0</v>
      </c>
      <c r="AY201" s="7">
        <f t="shared" si="23"/>
        <v>0</v>
      </c>
      <c r="AZ201" s="7">
        <f t="shared" si="24"/>
        <v>0</v>
      </c>
      <c r="BA201" s="7">
        <f t="shared" si="25"/>
        <v>0</v>
      </c>
      <c r="BB201" s="7">
        <f t="shared" si="26"/>
        <v>0</v>
      </c>
      <c r="BC201" s="7">
        <f>IF(OR(ISERROR(+#REF!/($D201+$E201-$G201)*$G201+#REF!),LEFT(AA201,1)="x"),0,+#REF!/($D201+$E201-$G201)*$G201+#REF!)</f>
        <v>0</v>
      </c>
      <c r="BD201" s="7">
        <f>IF(OR(ISERROR(+AC201/($D201+$E201-$G201)*$G201+AC201),LEFT(Z201,1)="x"),0,+AC201/($D201+$E201-$G201)*$G201+AC201)</f>
        <v>0</v>
      </c>
    </row>
    <row r="202" spans="1:57" ht="15.75">
      <c r="A202" s="52" t="s">
        <v>226</v>
      </c>
      <c r="B202" s="52"/>
      <c r="C202" s="52"/>
      <c r="D202" s="19">
        <f>E202-H202</f>
        <v>0</v>
      </c>
      <c r="E202" s="53">
        <f>D197+E197+F197</f>
        <v>52529.5</v>
      </c>
      <c r="F202" s="53" t="s">
        <v>20</v>
      </c>
      <c r="G202" s="17"/>
      <c r="H202" s="53">
        <f>SUM(G197:AC197)</f>
        <v>52529.5</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
      <c r="A203" s="17"/>
      <c r="B203" s="17"/>
      <c r="C203" s="17"/>
      <c r="D203" s="54">
        <f>IF(D202=0,0,"Error - check totals do not balance, please see column AF - at the right side of the expenditure table for corrections to be made")</f>
        <v>0</v>
      </c>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ht="15">
      <c r="A205" s="17"/>
      <c r="B205" s="17"/>
      <c r="C205" s="17"/>
      <c r="D205" s="54"/>
      <c r="E205" s="5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32">
      <c r="A209" s="161" t="s">
        <v>166</v>
      </c>
      <c r="B209" s="17"/>
      <c r="C209" s="134"/>
      <c r="D209" s="134"/>
      <c r="E209" s="639">
        <f>'Nov 17'!K10+L54+M54+N54+O54-D198</f>
        <v>36134.380000000005</v>
      </c>
      <c r="F209" s="639">
        <f>'Nov 17'!K11+P54+X198-O54</f>
        <v>87026.819999999992</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32">
      <c r="A210" s="161"/>
      <c r="B210" s="17"/>
      <c r="C210" s="640"/>
      <c r="D210" s="640"/>
      <c r="E210" s="637"/>
      <c r="F210" s="6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32">
      <c r="A211" s="161" t="s">
        <v>63</v>
      </c>
      <c r="B211" s="17"/>
      <c r="C211" s="642"/>
      <c r="D211" s="642"/>
      <c r="E211" s="637" t="s">
        <v>20</v>
      </c>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32">
      <c r="B212" s="162" t="s">
        <v>187</v>
      </c>
      <c r="C212" s="642"/>
      <c r="D212" s="642"/>
      <c r="E212" s="637" t="s">
        <v>20</v>
      </c>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32">
      <c r="A213" s="17"/>
      <c r="B213" s="162" t="s">
        <v>164</v>
      </c>
      <c r="C213" s="642"/>
      <c r="D213" s="642"/>
      <c r="E213" s="637" t="s">
        <v>20</v>
      </c>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32">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32">
      <c r="A215" s="17"/>
      <c r="B215" s="17"/>
      <c r="C215" s="642"/>
      <c r="D215" s="642"/>
      <c r="E215" s="637"/>
      <c r="F215" s="6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32" ht="13.5" thickBot="1">
      <c r="A216" s="56" t="s">
        <v>165</v>
      </c>
      <c r="B216" s="56"/>
      <c r="C216" s="17"/>
      <c r="D216" s="17"/>
      <c r="E216" s="641">
        <f>E209+SUM(E211:E215)</f>
        <v>36134.380000000005</v>
      </c>
      <c r="F216" s="641">
        <f>F209+SUM(F211:F215)</f>
        <v>87026.819999999992</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32" ht="13.5" thickTop="1">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32" s="17" customFormat="1">
      <c r="A218" s="56"/>
      <c r="E218" s="53"/>
      <c r="AD218" s="346"/>
      <c r="AE218" s="346"/>
      <c r="AF218" s="636"/>
    </row>
    <row r="219" spans="1:3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32" hidden="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32" ht="12" hidden="1"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32" hidden="1">
      <c r="A222" s="17"/>
      <c r="B222" s="216"/>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32"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32"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5" hidden="1">
      <c r="B246" s="213"/>
      <c r="C246" s="18"/>
      <c r="D246" s="18"/>
      <c r="E246" s="18"/>
      <c r="F246" s="215"/>
      <c r="G246" s="18"/>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2.6" hidden="1" customHeight="1">
      <c r="B247" s="213" t="s">
        <v>196</v>
      </c>
      <c r="C247" s="214"/>
      <c r="D247" s="214">
        <f>$C$58+$C$59-D249</f>
        <v>0</v>
      </c>
      <c r="E247" s="18"/>
      <c r="F247" s="215" t="s">
        <v>197</v>
      </c>
      <c r="G247" s="18"/>
      <c r="H247" s="18"/>
      <c r="I247" s="18"/>
      <c r="J247" s="18"/>
      <c r="K247" s="18"/>
      <c r="L247" s="18"/>
      <c r="M247" s="18"/>
      <c r="N247" s="17"/>
      <c r="O247" s="17"/>
      <c r="P247" s="17"/>
      <c r="Q247" s="17"/>
      <c r="R247" s="17"/>
      <c r="S247" s="17"/>
      <c r="T247" s="17"/>
      <c r="U247" s="17"/>
      <c r="V247" s="17"/>
      <c r="W247" s="17"/>
      <c r="X247" s="17"/>
      <c r="Y247" s="17"/>
      <c r="Z247" s="17"/>
      <c r="AA247" s="17"/>
      <c r="AB247" s="17"/>
      <c r="AC247" s="17"/>
    </row>
    <row r="248" spans="1:29" ht="14.25" hidden="1" customHeight="1">
      <c r="B248" s="216" t="s">
        <v>64</v>
      </c>
      <c r="C248" s="18">
        <f>($C$58+$C$59-663)/113.8*13.8</f>
        <v>-80.398945518453431</v>
      </c>
      <c r="D248" s="18"/>
      <c r="E248" s="7"/>
      <c r="F248" s="393" t="s">
        <v>397</v>
      </c>
      <c r="G248" s="18"/>
      <c r="H248" s="18"/>
      <c r="I248" s="18"/>
      <c r="J248" s="18"/>
      <c r="K248" s="18"/>
      <c r="L248" s="18"/>
      <c r="M248" s="18"/>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8"/>
      <c r="I249" s="18"/>
      <c r="J249" s="18"/>
      <c r="K249" s="18"/>
      <c r="L249" s="18"/>
      <c r="M249" s="18"/>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8"/>
      <c r="I250" s="18"/>
      <c r="J250" s="18"/>
      <c r="K250" s="18"/>
      <c r="L250" s="18"/>
      <c r="M250" s="18"/>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8"/>
      <c r="I251" s="18"/>
      <c r="J251" s="18"/>
      <c r="K251" s="18"/>
      <c r="L251" s="18"/>
      <c r="M251" s="18"/>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8"/>
      <c r="I252" s="18"/>
      <c r="J252" s="18"/>
      <c r="K252" s="18"/>
      <c r="L252" s="18"/>
      <c r="M252" s="18"/>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8"/>
      <c r="I253" s="18"/>
      <c r="J253" s="18"/>
      <c r="K253" s="18"/>
      <c r="L253" s="18"/>
      <c r="M253" s="18"/>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8"/>
      <c r="I254" s="18"/>
      <c r="J254" s="18"/>
      <c r="K254" s="18"/>
      <c r="L254" s="18"/>
      <c r="M254" s="18"/>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8"/>
      <c r="I255" s="18"/>
      <c r="J255" s="18"/>
      <c r="K255" s="18"/>
      <c r="L255" s="18"/>
      <c r="M255" s="18"/>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8"/>
      <c r="I256" s="18"/>
      <c r="J256" s="18"/>
      <c r="K256" s="18"/>
      <c r="L256" s="18"/>
      <c r="M256" s="18"/>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8"/>
      <c r="I257" s="18"/>
      <c r="J257" s="18"/>
      <c r="K257" s="18"/>
      <c r="L257" s="18"/>
      <c r="M257" s="18"/>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8"/>
      <c r="I258" s="18"/>
      <c r="J258" s="18"/>
      <c r="K258" s="18"/>
      <c r="L258" s="18"/>
      <c r="M258" s="18"/>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8"/>
      <c r="I259" s="18"/>
      <c r="J259" s="18"/>
      <c r="K259" s="18"/>
      <c r="L259" s="18"/>
      <c r="M259" s="18"/>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8"/>
      <c r="I260" s="18"/>
      <c r="J260" s="18"/>
      <c r="K260" s="18"/>
      <c r="L260" s="18"/>
      <c r="M260" s="18"/>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c r="H261" s="18"/>
      <c r="I261" s="18"/>
      <c r="J261" s="18"/>
      <c r="K261" s="18"/>
      <c r="L261" s="18"/>
      <c r="M261" s="18"/>
      <c r="N261" s="17"/>
      <c r="O261" s="17"/>
      <c r="P261" s="17"/>
      <c r="Q261" s="17"/>
      <c r="R261" s="17"/>
      <c r="S261" s="17"/>
      <c r="T261" s="17"/>
      <c r="U261" s="17"/>
      <c r="V261" s="17"/>
      <c r="W261" s="17"/>
      <c r="X261" s="17"/>
      <c r="Y261" s="17"/>
      <c r="Z261" s="17"/>
      <c r="AA261" s="17"/>
      <c r="AB261" s="17"/>
      <c r="AC261" s="17"/>
    </row>
    <row r="262" spans="1:29" ht="15" hidden="1">
      <c r="B262" s="216"/>
      <c r="C262" s="214">
        <v>0</v>
      </c>
      <c r="D262" s="214">
        <f>MAX(C261:C262)</f>
        <v>0</v>
      </c>
      <c r="E262" s="220"/>
      <c r="H262" s="18"/>
      <c r="I262" s="18"/>
      <c r="J262" s="18"/>
      <c r="K262" s="18"/>
      <c r="L262" s="18"/>
      <c r="M262" s="18"/>
      <c r="N262" s="17"/>
      <c r="O262" s="17"/>
      <c r="P262" s="17"/>
      <c r="Q262" s="17"/>
      <c r="R262" s="17"/>
      <c r="S262" s="17"/>
      <c r="T262" s="17"/>
      <c r="U262" s="17"/>
      <c r="V262" s="17"/>
      <c r="W262" s="17"/>
      <c r="X262" s="17"/>
      <c r="Y262" s="17"/>
      <c r="Z262" s="17"/>
      <c r="AA262" s="17"/>
      <c r="AB262" s="17"/>
      <c r="AC262" s="17"/>
    </row>
    <row r="263" spans="1:29" ht="15" hidden="1">
      <c r="B263" s="216" t="s">
        <v>203</v>
      </c>
      <c r="C263" s="329">
        <v>0</v>
      </c>
      <c r="D263" s="329">
        <v>0</v>
      </c>
      <c r="E263" s="220"/>
    </row>
    <row r="264" spans="1:29" ht="15" hidden="1">
      <c r="B264" s="330" t="s">
        <v>204</v>
      </c>
      <c r="C264" s="20"/>
      <c r="E264" s="219">
        <f>D263+D262+D260+D258+D256</f>
        <v>0</v>
      </c>
    </row>
    <row r="265" spans="1:29" ht="15.75" hidden="1" thickBot="1">
      <c r="B265" s="330" t="s">
        <v>69</v>
      </c>
      <c r="C265" s="20"/>
      <c r="E265" s="331">
        <f>E254+E264</f>
        <v>0</v>
      </c>
    </row>
    <row r="266" spans="1:29" ht="13.5" hidden="1" thickTop="1"/>
    <row r="267" spans="1:29" hidden="1"/>
    <row r="268" spans="1:29" ht="15" hidden="1">
      <c r="A268" s="211" t="s">
        <v>318</v>
      </c>
      <c r="B268" s="17"/>
      <c r="D268" s="212"/>
      <c r="E268" s="17"/>
      <c r="F268" s="17"/>
    </row>
    <row r="269" spans="1:29" hidden="1">
      <c r="B269" s="18"/>
      <c r="C269" s="18"/>
      <c r="D269" s="18"/>
      <c r="E269" s="18"/>
      <c r="F269" s="18"/>
    </row>
    <row r="270" spans="1:29" ht="15" hidden="1">
      <c r="B270" s="213" t="s">
        <v>196</v>
      </c>
      <c r="C270" s="214"/>
      <c r="D270" s="214">
        <f>$C$58+$C$59-D272</f>
        <v>0</v>
      </c>
      <c r="E270" s="18"/>
      <c r="F270" s="215" t="s">
        <v>197</v>
      </c>
    </row>
    <row r="271" spans="1:29" hidden="1">
      <c r="B271" s="216" t="s">
        <v>64</v>
      </c>
      <c r="C271" s="18">
        <f>($C$58+$C$59-641)/113.8*13.8</f>
        <v>-77.7311072056239</v>
      </c>
      <c r="D271" s="18"/>
      <c r="E271" s="7"/>
      <c r="F271" s="393" t="s">
        <v>324</v>
      </c>
    </row>
    <row r="272" spans="1:29" hidden="1">
      <c r="B272" s="216"/>
      <c r="C272" s="214">
        <v>0</v>
      </c>
      <c r="D272" s="214">
        <f>MAX(C271:C272)</f>
        <v>0</v>
      </c>
      <c r="E272" s="7"/>
      <c r="F272" s="216"/>
    </row>
    <row r="273" spans="2:6" hidden="1">
      <c r="B273" s="216" t="s">
        <v>65</v>
      </c>
      <c r="C273" s="18">
        <f>IF((D248&lt;3454.17), ((D248-645)*0.12),((3539.58-645)*0.12))</f>
        <v>-77.399999999999991</v>
      </c>
      <c r="D273" s="18"/>
      <c r="E273" s="7"/>
      <c r="F273" s="393" t="s">
        <v>323</v>
      </c>
    </row>
    <row r="274" spans="2:6" hidden="1">
      <c r="B274" s="216"/>
      <c r="C274" s="214">
        <v>0</v>
      </c>
      <c r="D274" s="214">
        <f>MAX(C273:C274)</f>
        <v>0</v>
      </c>
      <c r="E274" s="7"/>
      <c r="F274" s="216"/>
    </row>
    <row r="275" spans="2:6" hidden="1">
      <c r="B275" s="216" t="s">
        <v>120</v>
      </c>
      <c r="C275" s="18">
        <f>(D248-3454.17)*0.02</f>
        <v>-69.083399999999997</v>
      </c>
      <c r="D275" s="18"/>
      <c r="E275" s="7"/>
      <c r="F275" s="393" t="s">
        <v>322</v>
      </c>
    </row>
    <row r="276" spans="2:6" hidden="1">
      <c r="B276" s="217"/>
      <c r="C276" s="214">
        <v>0</v>
      </c>
      <c r="D276" s="214">
        <f>MAX(C275:C276)</f>
        <v>0</v>
      </c>
      <c r="E276" s="7"/>
      <c r="F276" s="216"/>
    </row>
    <row r="277" spans="2:6" ht="15" hidden="1">
      <c r="B277" s="218" t="s">
        <v>198</v>
      </c>
      <c r="C277" s="71"/>
      <c r="D277" s="71"/>
      <c r="E277" s="219">
        <f>D276+D274+D272</f>
        <v>0</v>
      </c>
      <c r="F277" s="216"/>
    </row>
    <row r="278" spans="2:6" ht="15" hidden="1">
      <c r="D278" s="18"/>
      <c r="E278" s="220"/>
      <c r="F278" s="327" t="s">
        <v>210</v>
      </c>
    </row>
    <row r="279" spans="2:6" ht="15" hidden="1">
      <c r="B279" s="217" t="s">
        <v>199</v>
      </c>
      <c r="C279" s="328">
        <f>IF((D248&lt;12500),0,((D248-12500)*0.45))</f>
        <v>0</v>
      </c>
      <c r="D279" s="214">
        <f>C279</f>
        <v>0</v>
      </c>
      <c r="E279" s="220"/>
      <c r="F279" s="216"/>
    </row>
    <row r="280" spans="2:6" ht="15" hidden="1">
      <c r="B280" s="217" t="s">
        <v>200</v>
      </c>
      <c r="C280" s="20">
        <f>IF((D248&lt;12500),(((D248-8333.33)*0.4)+(786.67*0.4)),(((12500-8333.33)*0.4)+(786.67*0.4)))</f>
        <v>-3018.6640000000002</v>
      </c>
      <c r="D280" s="18"/>
      <c r="E280" s="220"/>
      <c r="F280" s="327" t="s">
        <v>209</v>
      </c>
    </row>
    <row r="281" spans="2:6" ht="15" hidden="1">
      <c r="B281" s="217"/>
      <c r="C281" s="214">
        <v>0</v>
      </c>
      <c r="D281" s="214">
        <f>MAX(C280:C281)</f>
        <v>0</v>
      </c>
      <c r="E281" s="220"/>
      <c r="F281" s="217"/>
    </row>
    <row r="282" spans="2:6" ht="15" hidden="1">
      <c r="B282" s="216" t="s">
        <v>201</v>
      </c>
      <c r="C282" s="20">
        <f>IF((D248&lt;8333.33),((D248-3454.17)*0.4),((8333.33-3454.17)*0.4))</f>
        <v>-1381.6680000000001</v>
      </c>
      <c r="D282" s="18"/>
      <c r="E282" s="220"/>
      <c r="F282" s="393" t="s">
        <v>321</v>
      </c>
    </row>
    <row r="283" spans="2:6" ht="15" hidden="1">
      <c r="B283" s="216"/>
      <c r="C283" s="214">
        <v>0</v>
      </c>
      <c r="D283" s="214">
        <f>MAX(C282:C283)</f>
        <v>0</v>
      </c>
      <c r="E283" s="220"/>
      <c r="F283" s="393" t="s">
        <v>320</v>
      </c>
    </row>
    <row r="284" spans="2:6" ht="15" hidden="1">
      <c r="B284" s="216" t="s">
        <v>202</v>
      </c>
      <c r="C284" s="20">
        <f>IF((D248&lt;3454.17),((D248-786.67)*0.2),(2667.5*0.2))</f>
        <v>-157.334</v>
      </c>
      <c r="D284" s="18"/>
      <c r="E284" s="221"/>
      <c r="F284" s="393" t="s">
        <v>319</v>
      </c>
    </row>
    <row r="285" spans="2:6" ht="15" hidden="1">
      <c r="B285" s="216"/>
      <c r="C285" s="214">
        <v>0</v>
      </c>
      <c r="D285" s="214">
        <f>MAX(C284:C285)</f>
        <v>0</v>
      </c>
      <c r="E285" s="220"/>
    </row>
    <row r="286" spans="2:6" ht="15" hidden="1">
      <c r="B286" s="216" t="s">
        <v>203</v>
      </c>
      <c r="C286" s="329">
        <v>0</v>
      </c>
      <c r="D286" s="329">
        <v>0</v>
      </c>
      <c r="E286" s="220"/>
    </row>
    <row r="287" spans="2:6" ht="15" hidden="1">
      <c r="B287" s="330" t="s">
        <v>204</v>
      </c>
      <c r="C287" s="20"/>
      <c r="E287" s="219">
        <f>D286+D285+D283+D281+D279</f>
        <v>0</v>
      </c>
    </row>
    <row r="288" spans="2:6"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sheetData>
  <sheetProtection password="CE8E" sheet="1" objects="1" scenarios="1"/>
  <phoneticPr fontId="0" type="noConversion"/>
  <conditionalFormatting sqref="G79 G96:G196">
    <cfRule type="expression" dxfId="221" priority="39" stopIfTrue="1">
      <formula>$E$12&gt;0</formula>
    </cfRule>
  </conditionalFormatting>
  <conditionalFormatting sqref="G79 G96:G196">
    <cfRule type="expression" dxfId="220" priority="40" stopIfTrue="1">
      <formula>$E$12&gt;0</formula>
    </cfRule>
    <cfRule type="expression" priority="41" stopIfTrue="1">
      <formula>$E$12 &gt;0</formula>
    </cfRule>
  </conditionalFormatting>
  <conditionalFormatting sqref="G79 G96:G196">
    <cfRule type="expression" dxfId="219" priority="38" stopIfTrue="1">
      <formula>"e12&gt;0"</formula>
    </cfRule>
  </conditionalFormatting>
  <conditionalFormatting sqref="G94:G95">
    <cfRule type="expression" dxfId="218" priority="35" stopIfTrue="1">
      <formula>$E$12&gt;0</formula>
    </cfRule>
  </conditionalFormatting>
  <conditionalFormatting sqref="G94:G95">
    <cfRule type="expression" dxfId="217" priority="36" stopIfTrue="1">
      <formula>$E$12&gt;0</formula>
    </cfRule>
    <cfRule type="expression" priority="37" stopIfTrue="1">
      <formula>$E$12 &gt;0</formula>
    </cfRule>
  </conditionalFormatting>
  <conditionalFormatting sqref="G94:G95">
    <cfRule type="expression" dxfId="216" priority="34" stopIfTrue="1">
      <formula>"e12&gt;0"</formula>
    </cfRule>
  </conditionalFormatting>
  <conditionalFormatting sqref="G93">
    <cfRule type="expression" dxfId="215" priority="31" stopIfTrue="1">
      <formula>$E$12&gt;0</formula>
    </cfRule>
  </conditionalFormatting>
  <conditionalFormatting sqref="G93">
    <cfRule type="expression" dxfId="214" priority="32" stopIfTrue="1">
      <formula>$E$12&gt;0</formula>
    </cfRule>
    <cfRule type="expression" priority="33" stopIfTrue="1">
      <formula>$E$12 &gt;0</formula>
    </cfRule>
  </conditionalFormatting>
  <conditionalFormatting sqref="G93">
    <cfRule type="expression" dxfId="213" priority="30" stopIfTrue="1">
      <formula>"e12&gt;0"</formula>
    </cfRule>
  </conditionalFormatting>
  <conditionalFormatting sqref="G91">
    <cfRule type="expression" dxfId="212" priority="28" stopIfTrue="1">
      <formula>$E$12&gt;0</formula>
    </cfRule>
    <cfRule type="expression" priority="29" stopIfTrue="1">
      <formula>$E$12 &gt;0</formula>
    </cfRule>
  </conditionalFormatting>
  <conditionalFormatting sqref="G91">
    <cfRule type="expression" dxfId="211" priority="27" stopIfTrue="1">
      <formula>$E$12&gt;0</formula>
    </cfRule>
  </conditionalFormatting>
  <conditionalFormatting sqref="G91">
    <cfRule type="expression" dxfId="210" priority="26" stopIfTrue="1">
      <formula>"e12&gt;0"</formula>
    </cfRule>
  </conditionalFormatting>
  <conditionalFormatting sqref="G90">
    <cfRule type="expression" dxfId="209" priority="24" stopIfTrue="1">
      <formula>$E$12&gt;0</formula>
    </cfRule>
    <cfRule type="expression" priority="25" stopIfTrue="1">
      <formula>$E$12 &gt;0</formula>
    </cfRule>
  </conditionalFormatting>
  <conditionalFormatting sqref="G90">
    <cfRule type="expression" dxfId="208" priority="23" stopIfTrue="1">
      <formula>$E$12&gt;0</formula>
    </cfRule>
  </conditionalFormatting>
  <conditionalFormatting sqref="G90">
    <cfRule type="expression" dxfId="207" priority="22" stopIfTrue="1">
      <formula>"e12&gt;0"</formula>
    </cfRule>
  </conditionalFormatting>
  <conditionalFormatting sqref="G80:G82 G87:G88">
    <cfRule type="expression" dxfId="206" priority="15">
      <formula>$E$12&gt;0</formula>
    </cfRule>
  </conditionalFormatting>
  <conditionalFormatting sqref="G80:G82 G87:G88">
    <cfRule type="expression" dxfId="205" priority="16">
      <formula>$E$12&gt;0</formula>
    </cfRule>
  </conditionalFormatting>
  <conditionalFormatting sqref="G80:G82 G87:G88">
    <cfRule type="expression" dxfId="204" priority="17">
      <formula>"e12&gt;0"</formula>
    </cfRule>
  </conditionalFormatting>
  <conditionalFormatting sqref="G80:G82 G87:G88">
    <cfRule type="expression" dxfId="203" priority="18">
      <formula>$E$12&gt;0</formula>
    </cfRule>
  </conditionalFormatting>
  <conditionalFormatting sqref="G80:G82 G87:G88">
    <cfRule type="expression" dxfId="202" priority="19">
      <formula>$E$12</formula>
    </cfRule>
  </conditionalFormatting>
  <conditionalFormatting sqref="G80:G82 G87:G88">
    <cfRule type="expression" dxfId="201" priority="20">
      <formula>$E$12</formula>
    </cfRule>
  </conditionalFormatting>
  <conditionalFormatting sqref="G80:G82 G87:G88">
    <cfRule type="expression" dxfId="200" priority="21">
      <formula>"e12&gt;0"</formula>
    </cfRule>
  </conditionalFormatting>
  <conditionalFormatting sqref="G89">
    <cfRule type="expression" dxfId="199" priority="12">
      <formula>$E$12&gt;0</formula>
    </cfRule>
  </conditionalFormatting>
  <conditionalFormatting sqref="G89">
    <cfRule type="expression" dxfId="198" priority="13">
      <formula>$E$12&gt;0</formula>
    </cfRule>
  </conditionalFormatting>
  <conditionalFormatting sqref="G89">
    <cfRule type="expression" dxfId="197" priority="14">
      <formula>"e12&gt;0"</formula>
    </cfRule>
  </conditionalFormatting>
  <conditionalFormatting sqref="G83:G86">
    <cfRule type="expression" dxfId="196" priority="5">
      <formula>$E$12&gt;0</formula>
    </cfRule>
  </conditionalFormatting>
  <conditionalFormatting sqref="G83:G86">
    <cfRule type="expression" dxfId="195" priority="6">
      <formula>$E$12&gt;0</formula>
    </cfRule>
  </conditionalFormatting>
  <conditionalFormatting sqref="G83:G86">
    <cfRule type="expression" dxfId="194" priority="7">
      <formula>"e12&gt;0"</formula>
    </cfRule>
  </conditionalFormatting>
  <conditionalFormatting sqref="G83:G86">
    <cfRule type="expression" dxfId="193" priority="8">
      <formula>$E$12&gt;0</formula>
    </cfRule>
  </conditionalFormatting>
  <conditionalFormatting sqref="G83:G86">
    <cfRule type="expression" dxfId="192" priority="9">
      <formula>$E$12</formula>
    </cfRule>
  </conditionalFormatting>
  <conditionalFormatting sqref="G83:G86">
    <cfRule type="expression" dxfId="191" priority="10">
      <formula>$E$12</formula>
    </cfRule>
  </conditionalFormatting>
  <conditionalFormatting sqref="G83:G86">
    <cfRule type="expression" dxfId="190" priority="11">
      <formula>"e12&gt;0"</formula>
    </cfRule>
  </conditionalFormatting>
  <conditionalFormatting sqref="G92">
    <cfRule type="expression" dxfId="189" priority="2" stopIfTrue="1">
      <formula>$E$12&gt;0</formula>
    </cfRule>
  </conditionalFormatting>
  <conditionalFormatting sqref="G92">
    <cfRule type="expression" dxfId="188" priority="3" stopIfTrue="1">
      <formula>$E$12&gt;0</formula>
    </cfRule>
    <cfRule type="expression" priority="4" stopIfTrue="1">
      <formula>$E$12 &gt;0</formula>
    </cfRule>
  </conditionalFormatting>
  <conditionalFormatting sqref="G92">
    <cfRule type="expression" dxfId="187" priority="1" stopIfTrue="1">
      <formula>"e12&gt;0"</formula>
    </cfRule>
  </conditionalFormatting>
  <pageMargins left="0.74803149606299213" right="0.74803149606299213" top="0.98425196850393704" bottom="0.98425196850393704" header="0.51181102362204722" footer="0.51181102362204722"/>
  <pageSetup paperSize="9" scale="47" fitToHeight="4" orientation="landscape" horizontalDpi="300" verticalDpi="300" r:id="rId1"/>
  <headerFooter alignWithMargins="0">
    <oddFooter>&amp;C&amp;"Bodoni Bd BT,Bold Italic"&amp;9Page &amp;P of &amp;N</oddFooter>
  </headerFooter>
  <ignoredErrors>
    <ignoredError sqref="E216:F216 D41:E52 B41 E9 E11:E1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4356" r:id="rId4" name="Check Box 20">
              <controlPr defaultSize="0" autoFill="0" autoLine="0" autoPict="0">
                <anchor moveWithCells="1">
                  <from>
                    <xdr:col>6</xdr:col>
                    <xdr:colOff>47625</xdr:colOff>
                    <xdr:row>214</xdr:row>
                    <xdr:rowOff>152400</xdr:rowOff>
                  </from>
                  <to>
                    <xdr:col>7</xdr:col>
                    <xdr:colOff>542925</xdr:colOff>
                    <xdr:row>216</xdr:row>
                    <xdr:rowOff>19050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BE294"/>
  <sheetViews>
    <sheetView showZeros="0" topLeftCell="A5" zoomScale="70" zoomScaleNormal="70" workbookViewId="0">
      <pane xSplit="7" topLeftCell="H1" activePane="topRight" state="frozen"/>
      <selection activeCell="L49" sqref="L49"/>
      <selection pane="topRight" activeCell="M18" sqref="M18"/>
    </sheetView>
  </sheetViews>
  <sheetFormatPr defaultColWidth="0" defaultRowHeight="12.75"/>
  <cols>
    <col min="1" max="1" width="10.7109375" style="7" customWidth="1"/>
    <col min="2" max="2" width="25.7109375" style="7" customWidth="1"/>
    <col min="3" max="3" width="17.7109375" style="7" customWidth="1"/>
    <col min="4" max="5" width="13.7109375" style="20" customWidth="1"/>
    <col min="6" max="6" width="16.7109375" style="20" customWidth="1"/>
    <col min="7"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0" width="13.5703125" style="629" hidden="1" customWidth="1"/>
    <col min="31" max="31" width="10.42578125" style="629" hidden="1" customWidth="1"/>
    <col min="32" max="32" width="12.7109375" style="634" customWidth="1"/>
    <col min="33" max="33" width="17.140625" style="7" hidden="1" customWidth="1"/>
    <col min="34" max="16384" width="0" style="7" hidden="1"/>
  </cols>
  <sheetData>
    <row r="1" spans="1:29" ht="13.5" thickBot="1">
      <c r="A1" s="7">
        <v>0</v>
      </c>
    </row>
    <row r="2" spans="1:29" ht="29.45" customHeight="1" thickBot="1">
      <c r="A2" s="81" t="str">
        <f>'Nov 17'!A2</f>
        <v>Design-spectrum Limited</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86" t="s">
        <v>84</v>
      </c>
      <c r="B4" s="87"/>
      <c r="C4" s="85">
        <f>'May 18'!C4+31</f>
        <v>43257</v>
      </c>
      <c r="F4" s="21"/>
      <c r="G4" s="21"/>
      <c r="H4" s="21"/>
      <c r="I4" s="21"/>
      <c r="J4" s="21"/>
      <c r="K4" s="21"/>
      <c r="L4" s="21"/>
      <c r="M4" s="21"/>
      <c r="N4" s="21"/>
      <c r="O4" s="21"/>
      <c r="P4" s="21"/>
      <c r="Q4" s="22"/>
      <c r="R4" s="22"/>
      <c r="S4" s="22"/>
      <c r="T4" s="22"/>
      <c r="U4" s="22"/>
      <c r="V4" s="22"/>
      <c r="W4" s="22"/>
      <c r="X4" s="22"/>
      <c r="Y4" s="22"/>
      <c r="Z4" s="22"/>
      <c r="AA4" s="22"/>
      <c r="AB4" s="22"/>
      <c r="AC4" s="22"/>
    </row>
    <row r="6" spans="1:29" ht="13.5" thickBot="1"/>
    <row r="7" spans="1:29" ht="21" thickBot="1">
      <c r="A7" s="101" t="s">
        <v>0</v>
      </c>
      <c r="B7" s="102"/>
      <c r="C7" s="102"/>
      <c r="D7" s="102"/>
      <c r="E7" s="102"/>
      <c r="F7" s="102"/>
      <c r="G7" s="103"/>
      <c r="H7" s="23"/>
      <c r="I7" s="101" t="s">
        <v>211</v>
      </c>
      <c r="J7" s="102"/>
      <c r="K7" s="102"/>
      <c r="L7" s="103"/>
      <c r="M7" s="7"/>
    </row>
    <row r="8" spans="1:29" ht="13.5" thickBot="1">
      <c r="A8" s="24"/>
      <c r="B8" s="24"/>
      <c r="C8" s="24"/>
      <c r="D8" s="5"/>
      <c r="E8" s="5"/>
      <c r="F8" s="5"/>
      <c r="G8" s="5"/>
      <c r="H8" s="5"/>
      <c r="I8" s="5"/>
      <c r="J8" s="5"/>
      <c r="K8" s="5"/>
      <c r="L8" s="5"/>
      <c r="M8" s="5"/>
    </row>
    <row r="9" spans="1:29" ht="15.75" thickBot="1">
      <c r="A9" s="25" t="s">
        <v>2</v>
      </c>
      <c r="B9" s="24"/>
      <c r="C9" s="24"/>
      <c r="D9" s="26"/>
      <c r="E9" s="334" t="str">
        <f>'May 18'!E9</f>
        <v>n</v>
      </c>
      <c r="F9" s="5">
        <f>IF(E9="Both","enter sales invoices manually at row 30 onwards",0)</f>
        <v>0</v>
      </c>
      <c r="G9" s="5"/>
      <c r="H9" s="5"/>
      <c r="I9" s="5"/>
      <c r="J9" s="5"/>
      <c r="K9" s="5"/>
      <c r="L9" s="5"/>
      <c r="M9" s="5"/>
    </row>
    <row r="10" spans="1:29" ht="15.75" thickBot="1">
      <c r="A10" s="24"/>
      <c r="B10" s="24"/>
      <c r="C10" s="24"/>
      <c r="E10" s="27"/>
      <c r="F10" s="5"/>
      <c r="G10" s="5"/>
      <c r="H10" s="5"/>
      <c r="I10" s="5"/>
      <c r="J10" s="5"/>
      <c r="K10" s="5"/>
      <c r="L10" s="5"/>
      <c r="M10" s="5"/>
    </row>
    <row r="11" spans="1:29" ht="15.75" thickBot="1">
      <c r="A11" s="25" t="s">
        <v>4</v>
      </c>
      <c r="B11" s="24"/>
      <c r="C11" s="24"/>
      <c r="E11" s="334" t="str">
        <f>'May 18'!E11</f>
        <v>y</v>
      </c>
      <c r="F11" s="5"/>
      <c r="G11" s="5"/>
      <c r="H11" s="5"/>
      <c r="I11" s="5"/>
      <c r="J11" s="5"/>
      <c r="K11" s="65" t="s">
        <v>20</v>
      </c>
      <c r="L11" s="65"/>
      <c r="M11" s="5"/>
      <c r="N11" s="5"/>
      <c r="O11" s="14" t="s">
        <v>20</v>
      </c>
    </row>
    <row r="12" spans="1:29" ht="15.75" thickBot="1">
      <c r="A12" s="25" t="s">
        <v>306</v>
      </c>
      <c r="B12" s="24"/>
      <c r="C12" s="24"/>
      <c r="E12" s="335">
        <f>'May 18'!E12</f>
        <v>0.16500000000000001</v>
      </c>
      <c r="F12" s="5"/>
      <c r="G12" s="5"/>
      <c r="H12" s="5"/>
      <c r="I12" s="5"/>
      <c r="J12" s="5"/>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2"/>
      <c r="C16" s="33" t="s">
        <v>77</v>
      </c>
      <c r="D16" s="346">
        <f>'May 18'!D54</f>
        <v>0</v>
      </c>
      <c r="E16" s="346">
        <f>'May 18'!E54</f>
        <v>55000</v>
      </c>
      <c r="F16" s="346">
        <f>'May 18'!F54</f>
        <v>66000</v>
      </c>
      <c r="G16" s="259">
        <f>'May 18'!G54</f>
        <v>11000</v>
      </c>
      <c r="H16" s="34"/>
      <c r="I16" s="153" t="s">
        <v>20</v>
      </c>
      <c r="J16" s="152" t="s">
        <v>77</v>
      </c>
      <c r="K16" s="154"/>
      <c r="L16" s="486">
        <f>'May 18'!L54</f>
        <v>89100</v>
      </c>
      <c r="M16" s="263">
        <f>'May 18'!M54</f>
        <v>66.53</v>
      </c>
      <c r="N16" s="263">
        <f>'May 18'!N54</f>
        <v>0</v>
      </c>
      <c r="O16" s="263">
        <f>'May 18'!O54</f>
        <v>50488.86</v>
      </c>
      <c r="P16" s="257">
        <f>'May 18'!P54</f>
        <v>-51.399999999999991</v>
      </c>
      <c r="Q16" s="17"/>
    </row>
    <row r="17" spans="1:16">
      <c r="A17" s="555"/>
      <c r="B17" s="548" t="s">
        <v>490</v>
      </c>
      <c r="C17" s="2"/>
      <c r="D17" s="346">
        <f>IF(E$9="y",F17-G17,0)</f>
        <v>0</v>
      </c>
      <c r="E17" s="346">
        <f>IF(E$9="n",F17-G17,0)</f>
        <v>20900</v>
      </c>
      <c r="F17" s="558">
        <v>25080</v>
      </c>
      <c r="G17" s="551">
        <f>IF(($E$11="n"),0,IF((LEFT(C17,1)="v"),F17,IF((LEFT(C17,1)="z"),0,F17*1/6)))</f>
        <v>4180</v>
      </c>
      <c r="H17" s="34"/>
      <c r="I17" s="560"/>
      <c r="J17" s="743" t="s">
        <v>494</v>
      </c>
      <c r="K17" s="567"/>
      <c r="L17" s="585"/>
      <c r="M17" s="562"/>
      <c r="N17" s="562"/>
      <c r="O17" s="562">
        <v>50555.39</v>
      </c>
      <c r="P17" s="563"/>
    </row>
    <row r="18" spans="1:16" ht="51">
      <c r="A18" s="555"/>
      <c r="B18" s="1"/>
      <c r="C18" s="2"/>
      <c r="D18" s="346">
        <f t="shared" ref="D18:D52" si="0">IF(E$9="y",F18-G18,0)</f>
        <v>0</v>
      </c>
      <c r="E18" s="346">
        <f t="shared" ref="E18:E52" si="1">IF(E$9="n",F18-G18,0)</f>
        <v>0</v>
      </c>
      <c r="F18" s="558"/>
      <c r="G18" s="551">
        <f t="shared" ref="G18:G52" si="2">IF(($E$11="n"),0,IF((LEFT(C18,1)="v"),F18,IF((LEFT(C18,1)="z"),0,F18*1/6)))</f>
        <v>0</v>
      </c>
      <c r="H18" s="34"/>
      <c r="I18" s="560"/>
      <c r="J18" s="744" t="s">
        <v>495</v>
      </c>
      <c r="K18" s="567"/>
      <c r="L18" s="585"/>
      <c r="M18" s="562">
        <v>128.56</v>
      </c>
      <c r="N18" s="562"/>
      <c r="O18" s="562"/>
      <c r="P18" s="745">
        <v>-128.56</v>
      </c>
    </row>
    <row r="19" spans="1:16">
      <c r="A19" s="555"/>
      <c r="B19" s="1"/>
      <c r="C19" s="2"/>
      <c r="D19" s="346">
        <f t="shared" si="0"/>
        <v>0</v>
      </c>
      <c r="E19" s="346">
        <f t="shared" si="1"/>
        <v>0</v>
      </c>
      <c r="F19" s="558"/>
      <c r="G19" s="551">
        <f t="shared" si="2"/>
        <v>0</v>
      </c>
      <c r="H19" s="34"/>
      <c r="I19" s="560"/>
      <c r="J19" s="743" t="s">
        <v>477</v>
      </c>
      <c r="K19" s="567"/>
      <c r="L19" s="585">
        <v>25080</v>
      </c>
      <c r="M19" s="562"/>
      <c r="N19" s="562"/>
      <c r="O19" s="562"/>
      <c r="P19" s="563"/>
    </row>
    <row r="20" spans="1:16">
      <c r="A20" s="555"/>
      <c r="B20" s="1"/>
      <c r="C20" s="2"/>
      <c r="D20" s="346">
        <f t="shared" si="0"/>
        <v>0</v>
      </c>
      <c r="E20" s="346">
        <f t="shared" si="1"/>
        <v>0</v>
      </c>
      <c r="F20" s="558"/>
      <c r="G20" s="551">
        <f t="shared" si="2"/>
        <v>0</v>
      </c>
      <c r="H20" s="34"/>
      <c r="I20" s="560"/>
      <c r="J20" s="565"/>
      <c r="K20" s="567"/>
      <c r="L20" s="585"/>
      <c r="M20" s="562"/>
      <c r="N20" s="562"/>
      <c r="O20" s="562"/>
      <c r="P20" s="563">
        <v>2.5</v>
      </c>
    </row>
    <row r="21" spans="1:16">
      <c r="A21" s="555"/>
      <c r="B21" s="1"/>
      <c r="C21" s="2"/>
      <c r="D21" s="346">
        <f t="shared" si="0"/>
        <v>0</v>
      </c>
      <c r="E21" s="346">
        <f t="shared" si="1"/>
        <v>0</v>
      </c>
      <c r="F21" s="558"/>
      <c r="G21" s="551">
        <f t="shared" si="2"/>
        <v>0</v>
      </c>
      <c r="H21" s="34"/>
      <c r="I21" s="560"/>
      <c r="J21" s="565"/>
      <c r="K21" s="567"/>
      <c r="L21" s="585"/>
      <c r="M21" s="562"/>
      <c r="N21" s="562"/>
      <c r="O21" s="562"/>
      <c r="P21" s="563"/>
    </row>
    <row r="22" spans="1:16">
      <c r="A22" s="555"/>
      <c r="B22" s="1"/>
      <c r="C22" s="2"/>
      <c r="D22" s="346">
        <f t="shared" si="0"/>
        <v>0</v>
      </c>
      <c r="E22" s="346">
        <f t="shared" si="1"/>
        <v>0</v>
      </c>
      <c r="F22" s="558"/>
      <c r="G22" s="551">
        <f t="shared" si="2"/>
        <v>0</v>
      </c>
      <c r="H22" s="34"/>
      <c r="I22" s="560"/>
      <c r="J22" s="565"/>
      <c r="K22" s="567"/>
      <c r="L22" s="585"/>
      <c r="M22" s="562"/>
      <c r="N22" s="562"/>
      <c r="O22" s="562"/>
      <c r="P22" s="563"/>
    </row>
    <row r="23" spans="1:16">
      <c r="A23" s="555"/>
      <c r="B23" s="1"/>
      <c r="C23" s="2"/>
      <c r="D23" s="346">
        <f t="shared" si="0"/>
        <v>0</v>
      </c>
      <c r="E23" s="346">
        <f t="shared" si="1"/>
        <v>0</v>
      </c>
      <c r="F23" s="558"/>
      <c r="G23" s="551">
        <f t="shared" si="2"/>
        <v>0</v>
      </c>
      <c r="H23" s="34"/>
      <c r="I23" s="560"/>
      <c r="J23" s="565"/>
      <c r="K23" s="567"/>
      <c r="L23" s="585"/>
      <c r="M23" s="562"/>
      <c r="N23" s="562"/>
      <c r="O23" s="562"/>
      <c r="P23" s="563"/>
    </row>
    <row r="24" spans="1:16">
      <c r="A24" s="555"/>
      <c r="B24" s="1"/>
      <c r="C24" s="2"/>
      <c r="D24" s="346">
        <f t="shared" si="0"/>
        <v>0</v>
      </c>
      <c r="E24" s="346">
        <f t="shared" si="1"/>
        <v>0</v>
      </c>
      <c r="F24" s="558"/>
      <c r="G24" s="551">
        <f t="shared" si="2"/>
        <v>0</v>
      </c>
      <c r="H24" s="34"/>
      <c r="I24" s="560"/>
      <c r="J24" s="565"/>
      <c r="K24" s="567"/>
      <c r="L24" s="585"/>
      <c r="M24" s="562"/>
      <c r="N24" s="562"/>
      <c r="O24" s="562"/>
      <c r="P24" s="563"/>
    </row>
    <row r="25" spans="1:16">
      <c r="A25" s="555"/>
      <c r="B25" s="1"/>
      <c r="C25" s="2"/>
      <c r="D25" s="346">
        <f t="shared" si="0"/>
        <v>0</v>
      </c>
      <c r="E25" s="346">
        <f t="shared" si="1"/>
        <v>0</v>
      </c>
      <c r="F25" s="558"/>
      <c r="G25" s="551">
        <f t="shared" si="2"/>
        <v>0</v>
      </c>
      <c r="H25" s="34"/>
      <c r="I25" s="560"/>
      <c r="J25" s="565"/>
      <c r="K25" s="567"/>
      <c r="L25" s="585"/>
      <c r="M25" s="562"/>
      <c r="N25" s="562"/>
      <c r="O25" s="562"/>
      <c r="P25" s="563"/>
    </row>
    <row r="26" spans="1:16">
      <c r="A26" s="555"/>
      <c r="B26" s="1"/>
      <c r="C26" s="2"/>
      <c r="D26" s="346">
        <f t="shared" si="0"/>
        <v>0</v>
      </c>
      <c r="E26" s="346">
        <f t="shared" si="1"/>
        <v>0</v>
      </c>
      <c r="F26" s="558"/>
      <c r="G26" s="551">
        <f t="shared" si="2"/>
        <v>0</v>
      </c>
      <c r="H26" s="34"/>
      <c r="I26" s="560"/>
      <c r="J26" s="565"/>
      <c r="K26" s="567"/>
      <c r="L26" s="585"/>
      <c r="M26" s="562"/>
      <c r="N26" s="562"/>
      <c r="O26" s="562"/>
      <c r="P26" s="563"/>
    </row>
    <row r="27" spans="1:16">
      <c r="A27" s="555"/>
      <c r="B27" s="1"/>
      <c r="C27" s="2"/>
      <c r="D27" s="346">
        <f t="shared" si="0"/>
        <v>0</v>
      </c>
      <c r="E27" s="346">
        <f t="shared" si="1"/>
        <v>0</v>
      </c>
      <c r="F27" s="558"/>
      <c r="G27" s="551">
        <f t="shared" si="2"/>
        <v>0</v>
      </c>
      <c r="H27" s="34"/>
      <c r="I27" s="560"/>
      <c r="J27" s="565"/>
      <c r="K27" s="567"/>
      <c r="L27" s="585"/>
      <c r="M27" s="562"/>
      <c r="N27" s="562"/>
      <c r="O27" s="562"/>
      <c r="P27" s="563"/>
    </row>
    <row r="28" spans="1:16">
      <c r="A28" s="555"/>
      <c r="B28" s="1"/>
      <c r="C28" s="2"/>
      <c r="D28" s="346">
        <f t="shared" si="0"/>
        <v>0</v>
      </c>
      <c r="E28" s="346">
        <f t="shared" si="1"/>
        <v>0</v>
      </c>
      <c r="F28" s="558"/>
      <c r="G28" s="551">
        <f t="shared" si="2"/>
        <v>0</v>
      </c>
      <c r="H28" s="34"/>
      <c r="I28" s="560"/>
      <c r="J28" s="565"/>
      <c r="K28" s="567"/>
      <c r="L28" s="585"/>
      <c r="M28" s="562"/>
      <c r="N28" s="562"/>
      <c r="O28" s="562"/>
      <c r="P28" s="563"/>
    </row>
    <row r="29" spans="1:16">
      <c r="A29" s="555"/>
      <c r="B29" s="1"/>
      <c r="C29" s="2"/>
      <c r="D29" s="346">
        <f t="shared" si="0"/>
        <v>0</v>
      </c>
      <c r="E29" s="346">
        <f t="shared" si="1"/>
        <v>0</v>
      </c>
      <c r="F29" s="558"/>
      <c r="G29" s="551">
        <f t="shared" si="2"/>
        <v>0</v>
      </c>
      <c r="H29" s="34"/>
      <c r="I29" s="560"/>
      <c r="J29" s="565"/>
      <c r="K29" s="567"/>
      <c r="L29" s="585"/>
      <c r="M29" s="562"/>
      <c r="N29" s="562"/>
      <c r="O29" s="562"/>
      <c r="P29" s="563"/>
    </row>
    <row r="30" spans="1:16">
      <c r="A30" s="555"/>
      <c r="B30" s="1"/>
      <c r="C30" s="2"/>
      <c r="D30" s="346">
        <f t="shared" si="0"/>
        <v>0</v>
      </c>
      <c r="E30" s="346">
        <f t="shared" si="1"/>
        <v>0</v>
      </c>
      <c r="F30" s="558"/>
      <c r="G30" s="551">
        <f t="shared" si="2"/>
        <v>0</v>
      </c>
      <c r="H30" s="34"/>
      <c r="I30" s="560"/>
      <c r="J30" s="565"/>
      <c r="K30" s="567"/>
      <c r="L30" s="585"/>
      <c r="M30" s="562"/>
      <c r="N30" s="562"/>
      <c r="O30" s="562"/>
      <c r="P30" s="563"/>
    </row>
    <row r="31" spans="1:16">
      <c r="A31" s="555"/>
      <c r="B31" s="1"/>
      <c r="C31" s="2"/>
      <c r="D31" s="346">
        <f t="shared" si="0"/>
        <v>0</v>
      </c>
      <c r="E31" s="346">
        <f t="shared" si="1"/>
        <v>0</v>
      </c>
      <c r="F31" s="558"/>
      <c r="G31" s="551">
        <f t="shared" si="2"/>
        <v>0</v>
      </c>
      <c r="H31" s="34"/>
      <c r="I31" s="560"/>
      <c r="J31" s="565"/>
      <c r="K31" s="567"/>
      <c r="L31" s="585"/>
      <c r="M31" s="562"/>
      <c r="N31" s="562"/>
      <c r="O31" s="562"/>
      <c r="P31" s="563"/>
    </row>
    <row r="32" spans="1:16">
      <c r="A32" s="555"/>
      <c r="B32" s="1"/>
      <c r="C32" s="2"/>
      <c r="D32" s="346">
        <f t="shared" si="0"/>
        <v>0</v>
      </c>
      <c r="E32" s="346">
        <f t="shared" si="1"/>
        <v>0</v>
      </c>
      <c r="F32" s="558"/>
      <c r="G32" s="551">
        <f t="shared" si="2"/>
        <v>0</v>
      </c>
      <c r="H32" s="34"/>
      <c r="I32" s="560"/>
      <c r="J32" s="565"/>
      <c r="K32" s="567"/>
      <c r="L32" s="585"/>
      <c r="M32" s="562"/>
      <c r="N32" s="562"/>
      <c r="O32" s="562"/>
      <c r="P32" s="563"/>
    </row>
    <row r="33" spans="1:16">
      <c r="A33" s="555"/>
      <c r="B33" s="1"/>
      <c r="C33" s="2"/>
      <c r="D33" s="346">
        <f t="shared" si="0"/>
        <v>0</v>
      </c>
      <c r="E33" s="346">
        <f t="shared" si="1"/>
        <v>0</v>
      </c>
      <c r="F33" s="558"/>
      <c r="G33" s="551">
        <f t="shared" si="2"/>
        <v>0</v>
      </c>
      <c r="H33" s="34"/>
      <c r="I33" s="560"/>
      <c r="J33" s="565"/>
      <c r="K33" s="567"/>
      <c r="L33" s="585"/>
      <c r="M33" s="562"/>
      <c r="N33" s="562"/>
      <c r="O33" s="562"/>
      <c r="P33" s="563"/>
    </row>
    <row r="34" spans="1:16">
      <c r="A34" s="555"/>
      <c r="B34" s="1"/>
      <c r="C34" s="2"/>
      <c r="D34" s="346">
        <f t="shared" si="0"/>
        <v>0</v>
      </c>
      <c r="E34" s="346">
        <f t="shared" si="1"/>
        <v>0</v>
      </c>
      <c r="F34" s="558"/>
      <c r="G34" s="551">
        <f t="shared" si="2"/>
        <v>0</v>
      </c>
      <c r="H34" s="34"/>
      <c r="I34" s="560"/>
      <c r="J34" s="565"/>
      <c r="K34" s="567"/>
      <c r="L34" s="585"/>
      <c r="M34" s="562"/>
      <c r="N34" s="562"/>
      <c r="O34" s="562"/>
      <c r="P34" s="563"/>
    </row>
    <row r="35" spans="1:16">
      <c r="A35" s="555"/>
      <c r="B35" s="1"/>
      <c r="C35" s="2"/>
      <c r="D35" s="346">
        <f t="shared" si="0"/>
        <v>0</v>
      </c>
      <c r="E35" s="346">
        <f t="shared" si="1"/>
        <v>0</v>
      </c>
      <c r="F35" s="558"/>
      <c r="G35" s="551">
        <f t="shared" si="2"/>
        <v>0</v>
      </c>
      <c r="H35" s="34"/>
      <c r="I35" s="560"/>
      <c r="J35" s="565"/>
      <c r="K35" s="567"/>
      <c r="L35" s="585"/>
      <c r="M35" s="562"/>
      <c r="N35" s="562"/>
      <c r="O35" s="562"/>
      <c r="P35" s="563"/>
    </row>
    <row r="36" spans="1:16">
      <c r="A36" s="555"/>
      <c r="B36" s="1"/>
      <c r="C36" s="2"/>
      <c r="D36" s="346">
        <f t="shared" si="0"/>
        <v>0</v>
      </c>
      <c r="E36" s="346">
        <f t="shared" si="1"/>
        <v>0</v>
      </c>
      <c r="F36" s="558"/>
      <c r="G36" s="551">
        <f t="shared" si="2"/>
        <v>0</v>
      </c>
      <c r="H36" s="34"/>
      <c r="I36" s="560"/>
      <c r="J36" s="565"/>
      <c r="K36" s="567"/>
      <c r="L36" s="585"/>
      <c r="M36" s="562"/>
      <c r="N36" s="562"/>
      <c r="O36" s="562"/>
      <c r="P36" s="563"/>
    </row>
    <row r="37" spans="1:16">
      <c r="A37" s="555"/>
      <c r="B37" s="1"/>
      <c r="C37" s="2"/>
      <c r="D37" s="346">
        <f t="shared" si="0"/>
        <v>0</v>
      </c>
      <c r="E37" s="346">
        <f t="shared" si="1"/>
        <v>0</v>
      </c>
      <c r="F37" s="558"/>
      <c r="G37" s="551">
        <f t="shared" si="2"/>
        <v>0</v>
      </c>
      <c r="H37" s="34"/>
      <c r="I37" s="560"/>
      <c r="J37" s="565"/>
      <c r="K37" s="567"/>
      <c r="L37" s="585"/>
      <c r="M37" s="562"/>
      <c r="N37" s="562"/>
      <c r="O37" s="562"/>
      <c r="P37" s="563"/>
    </row>
    <row r="38" spans="1:16">
      <c r="A38" s="555"/>
      <c r="B38" s="1"/>
      <c r="C38" s="2"/>
      <c r="D38" s="346">
        <f t="shared" si="0"/>
        <v>0</v>
      </c>
      <c r="E38" s="346">
        <f t="shared" si="1"/>
        <v>0</v>
      </c>
      <c r="F38" s="558"/>
      <c r="G38" s="551">
        <f t="shared" si="2"/>
        <v>0</v>
      </c>
      <c r="H38" s="34"/>
      <c r="I38" s="560"/>
      <c r="J38" s="565"/>
      <c r="K38" s="567"/>
      <c r="L38" s="585"/>
      <c r="M38" s="562"/>
      <c r="N38" s="562"/>
      <c r="O38" s="562"/>
      <c r="P38" s="563"/>
    </row>
    <row r="39" spans="1:16" hidden="1">
      <c r="A39" s="555"/>
      <c r="B39" s="1"/>
      <c r="C39" s="2"/>
      <c r="D39" s="346">
        <f t="shared" si="0"/>
        <v>0</v>
      </c>
      <c r="E39" s="346">
        <f t="shared" si="1"/>
        <v>0</v>
      </c>
      <c r="F39" s="558"/>
      <c r="G39" s="551">
        <f t="shared" si="2"/>
        <v>0</v>
      </c>
      <c r="H39" s="34"/>
      <c r="I39" s="560"/>
      <c r="J39" s="565"/>
      <c r="K39" s="567"/>
      <c r="L39" s="585"/>
      <c r="M39" s="562"/>
      <c r="N39" s="562"/>
      <c r="O39" s="562"/>
      <c r="P39" s="563"/>
    </row>
    <row r="40" spans="1:16" hidden="1">
      <c r="A40" s="555"/>
      <c r="B40" s="1"/>
      <c r="C40" s="2"/>
      <c r="D40" s="346">
        <f t="shared" si="0"/>
        <v>0</v>
      </c>
      <c r="E40" s="346">
        <f t="shared" si="1"/>
        <v>0</v>
      </c>
      <c r="F40" s="558"/>
      <c r="G40" s="551">
        <f t="shared" si="2"/>
        <v>0</v>
      </c>
      <c r="H40" s="34"/>
      <c r="I40" s="560"/>
      <c r="J40" s="565"/>
      <c r="K40" s="567"/>
      <c r="L40" s="585"/>
      <c r="M40" s="562"/>
      <c r="N40" s="562"/>
      <c r="O40" s="562"/>
      <c r="P40" s="563"/>
    </row>
    <row r="41" spans="1:16" hidden="1">
      <c r="A41" s="555"/>
      <c r="B41" s="549">
        <f>IF(E9="Both","Enter manual values here",0)</f>
        <v>0</v>
      </c>
      <c r="C41" s="2"/>
      <c r="D41" s="552">
        <f t="shared" si="0"/>
        <v>0</v>
      </c>
      <c r="E41" s="552">
        <f t="shared" si="1"/>
        <v>0</v>
      </c>
      <c r="F41" s="558"/>
      <c r="G41" s="551">
        <f t="shared" si="2"/>
        <v>0</v>
      </c>
      <c r="H41" s="34"/>
      <c r="I41" s="560"/>
      <c r="J41" s="565"/>
      <c r="K41" s="567"/>
      <c r="L41" s="585"/>
      <c r="M41" s="562"/>
      <c r="N41" s="562"/>
      <c r="O41" s="562"/>
      <c r="P41" s="563"/>
    </row>
    <row r="42" spans="1:16" hidden="1">
      <c r="A42" s="555"/>
      <c r="B42" s="1"/>
      <c r="C42" s="2"/>
      <c r="D42" s="552">
        <f t="shared" si="0"/>
        <v>0</v>
      </c>
      <c r="E42" s="552">
        <f t="shared" si="1"/>
        <v>0</v>
      </c>
      <c r="F42" s="558"/>
      <c r="G42" s="551">
        <f t="shared" si="2"/>
        <v>0</v>
      </c>
      <c r="H42" s="34"/>
      <c r="I42" s="560"/>
      <c r="J42" s="565"/>
      <c r="K42" s="567"/>
      <c r="L42" s="585"/>
      <c r="M42" s="562"/>
      <c r="N42" s="562"/>
      <c r="O42" s="562"/>
      <c r="P42" s="563"/>
    </row>
    <row r="43" spans="1:16" hidden="1">
      <c r="A43" s="555"/>
      <c r="B43" s="1"/>
      <c r="C43" s="2"/>
      <c r="D43" s="552">
        <f t="shared" si="0"/>
        <v>0</v>
      </c>
      <c r="E43" s="552">
        <f t="shared" si="1"/>
        <v>0</v>
      </c>
      <c r="F43" s="558"/>
      <c r="G43" s="551">
        <f t="shared" si="2"/>
        <v>0</v>
      </c>
      <c r="H43" s="34"/>
      <c r="I43" s="560"/>
      <c r="J43" s="565"/>
      <c r="K43" s="567"/>
      <c r="L43" s="585"/>
      <c r="M43" s="562"/>
      <c r="N43" s="562"/>
      <c r="O43" s="562"/>
      <c r="P43" s="563"/>
    </row>
    <row r="44" spans="1:16" hidden="1">
      <c r="A44" s="555"/>
      <c r="B44" s="1"/>
      <c r="C44" s="2"/>
      <c r="D44" s="552">
        <f t="shared" si="0"/>
        <v>0</v>
      </c>
      <c r="E44" s="552">
        <f t="shared" si="1"/>
        <v>0</v>
      </c>
      <c r="F44" s="558"/>
      <c r="G44" s="551">
        <f t="shared" si="2"/>
        <v>0</v>
      </c>
      <c r="H44" s="34"/>
      <c r="I44" s="560"/>
      <c r="J44" s="565"/>
      <c r="K44" s="567"/>
      <c r="L44" s="585"/>
      <c r="M44" s="562"/>
      <c r="N44" s="562"/>
      <c r="O44" s="562"/>
      <c r="P44" s="563"/>
    </row>
    <row r="45" spans="1:16" hidden="1">
      <c r="A45" s="555"/>
      <c r="B45" s="1"/>
      <c r="C45" s="2"/>
      <c r="D45" s="552">
        <f t="shared" si="0"/>
        <v>0</v>
      </c>
      <c r="E45" s="552">
        <f t="shared" si="1"/>
        <v>0</v>
      </c>
      <c r="F45" s="558"/>
      <c r="G45" s="551">
        <f t="shared" si="2"/>
        <v>0</v>
      </c>
      <c r="H45" s="34"/>
      <c r="I45" s="560"/>
      <c r="J45" s="565"/>
      <c r="K45" s="567"/>
      <c r="L45" s="585"/>
      <c r="M45" s="562"/>
      <c r="N45" s="562"/>
      <c r="O45" s="562"/>
      <c r="P45" s="563"/>
    </row>
    <row r="46" spans="1:16" hidden="1">
      <c r="A46" s="555"/>
      <c r="B46" s="1"/>
      <c r="C46" s="2"/>
      <c r="D46" s="552">
        <f t="shared" si="0"/>
        <v>0</v>
      </c>
      <c r="E46" s="552">
        <f t="shared" si="1"/>
        <v>0</v>
      </c>
      <c r="F46" s="558"/>
      <c r="G46" s="551">
        <f t="shared" si="2"/>
        <v>0</v>
      </c>
      <c r="H46" s="34"/>
      <c r="I46" s="560"/>
      <c r="J46" s="565"/>
      <c r="K46" s="567"/>
      <c r="L46" s="585"/>
      <c r="M46" s="562"/>
      <c r="N46" s="562"/>
      <c r="O46" s="562"/>
      <c r="P46" s="563"/>
    </row>
    <row r="47" spans="1:16" hidden="1">
      <c r="A47" s="555"/>
      <c r="B47" s="1"/>
      <c r="C47" s="2"/>
      <c r="D47" s="552">
        <f t="shared" si="0"/>
        <v>0</v>
      </c>
      <c r="E47" s="552">
        <f t="shared" si="1"/>
        <v>0</v>
      </c>
      <c r="F47" s="558"/>
      <c r="G47" s="551">
        <f t="shared" si="2"/>
        <v>0</v>
      </c>
      <c r="H47" s="34"/>
      <c r="I47" s="560"/>
      <c r="J47" s="565"/>
      <c r="K47" s="567"/>
      <c r="L47" s="585"/>
      <c r="M47" s="562"/>
      <c r="N47" s="562"/>
      <c r="O47" s="562"/>
      <c r="P47" s="563"/>
    </row>
    <row r="48" spans="1:16" hidden="1">
      <c r="A48" s="555"/>
      <c r="B48" s="1"/>
      <c r="C48" s="2"/>
      <c r="D48" s="552">
        <f t="shared" si="0"/>
        <v>0</v>
      </c>
      <c r="E48" s="552">
        <f t="shared" si="1"/>
        <v>0</v>
      </c>
      <c r="F48" s="558"/>
      <c r="G48" s="551">
        <f t="shared" si="2"/>
        <v>0</v>
      </c>
      <c r="H48" s="34"/>
      <c r="I48" s="560"/>
      <c r="J48" s="565"/>
      <c r="K48" s="567"/>
      <c r="L48" s="585"/>
      <c r="M48" s="562"/>
      <c r="N48" s="562"/>
      <c r="O48" s="562"/>
      <c r="P48" s="563"/>
    </row>
    <row r="49" spans="1:32" hidden="1">
      <c r="A49" s="555"/>
      <c r="B49" s="1"/>
      <c r="C49" s="2"/>
      <c r="D49" s="552">
        <f t="shared" si="0"/>
        <v>0</v>
      </c>
      <c r="E49" s="552">
        <f t="shared" si="1"/>
        <v>0</v>
      </c>
      <c r="F49" s="558"/>
      <c r="G49" s="551">
        <f t="shared" si="2"/>
        <v>0</v>
      </c>
      <c r="H49" s="34"/>
      <c r="I49" s="560"/>
      <c r="J49" s="565"/>
      <c r="K49" s="567"/>
      <c r="L49" s="585"/>
      <c r="M49" s="562"/>
      <c r="N49" s="562"/>
      <c r="O49" s="562"/>
      <c r="P49" s="563"/>
    </row>
    <row r="50" spans="1:32" hidden="1">
      <c r="A50" s="555"/>
      <c r="B50" s="1"/>
      <c r="C50" s="2"/>
      <c r="D50" s="552">
        <f t="shared" si="0"/>
        <v>0</v>
      </c>
      <c r="E50" s="552">
        <f t="shared" si="1"/>
        <v>0</v>
      </c>
      <c r="F50" s="558"/>
      <c r="G50" s="551">
        <f t="shared" si="2"/>
        <v>0</v>
      </c>
      <c r="H50" s="34"/>
      <c r="I50" s="560"/>
      <c r="J50" s="565"/>
      <c r="K50" s="567"/>
      <c r="L50" s="585"/>
      <c r="M50" s="562"/>
      <c r="N50" s="562"/>
      <c r="O50" s="562"/>
      <c r="P50" s="563"/>
    </row>
    <row r="51" spans="1:32" hidden="1">
      <c r="A51" s="555"/>
      <c r="B51" s="1"/>
      <c r="C51" s="2"/>
      <c r="D51" s="552">
        <f t="shared" si="0"/>
        <v>0</v>
      </c>
      <c r="E51" s="552">
        <f t="shared" si="1"/>
        <v>0</v>
      </c>
      <c r="F51" s="558"/>
      <c r="G51" s="551">
        <f t="shared" si="2"/>
        <v>0</v>
      </c>
      <c r="H51" s="34"/>
      <c r="I51" s="560"/>
      <c r="J51" s="565"/>
      <c r="K51" s="567"/>
      <c r="L51" s="585"/>
      <c r="M51" s="562"/>
      <c r="N51" s="562"/>
      <c r="O51" s="562"/>
      <c r="P51" s="563"/>
    </row>
    <row r="52" spans="1:32" ht="13.5" thickBot="1">
      <c r="A52" s="556"/>
      <c r="B52" s="3"/>
      <c r="C52" s="4"/>
      <c r="D52" s="552">
        <f t="shared" si="0"/>
        <v>0</v>
      </c>
      <c r="E52" s="552">
        <f t="shared" si="1"/>
        <v>0</v>
      </c>
      <c r="F52" s="558"/>
      <c r="G52" s="551">
        <f t="shared" si="2"/>
        <v>0</v>
      </c>
      <c r="H52" s="34"/>
      <c r="I52" s="561"/>
      <c r="J52" s="566"/>
      <c r="K52" s="568"/>
      <c r="L52" s="586"/>
      <c r="M52" s="564"/>
      <c r="N52" s="564"/>
      <c r="O52" s="564"/>
      <c r="P52" s="587"/>
    </row>
    <row r="53" spans="1:32" s="10" customFormat="1" ht="14.25">
      <c r="A53" s="89" t="s">
        <v>26</v>
      </c>
      <c r="B53" s="90"/>
      <c r="C53" s="91"/>
      <c r="D53" s="92">
        <f>SUM(D17:D52)</f>
        <v>0</v>
      </c>
      <c r="E53" s="92">
        <f>SUM(E17:E52)</f>
        <v>20900</v>
      </c>
      <c r="F53" s="92">
        <f>SUM(F17:F52)</f>
        <v>25080</v>
      </c>
      <c r="G53" s="208">
        <f>SUM(G17:G52)</f>
        <v>4180</v>
      </c>
      <c r="H53" s="588"/>
      <c r="I53" s="589" t="s">
        <v>26</v>
      </c>
      <c r="J53" s="91"/>
      <c r="K53" s="590"/>
      <c r="L53" s="92">
        <f>SUM(L17:L52)</f>
        <v>25080</v>
      </c>
      <c r="M53" s="92">
        <f>SUM(M17:M52)</f>
        <v>128.56</v>
      </c>
      <c r="N53" s="92">
        <f>SUM(N17:N52)</f>
        <v>0</v>
      </c>
      <c r="O53" s="92">
        <f>SUM(O17:O52)</f>
        <v>50555.39</v>
      </c>
      <c r="P53" s="208">
        <f>SUM(P17:P52)</f>
        <v>-126.06</v>
      </c>
      <c r="AD53" s="630"/>
      <c r="AE53" s="630"/>
      <c r="AF53" s="634"/>
    </row>
    <row r="54" spans="1:32" s="10" customFormat="1" ht="13.5" thickBot="1">
      <c r="A54" s="38" t="s">
        <v>27</v>
      </c>
      <c r="B54" s="38"/>
      <c r="C54" s="38"/>
      <c r="D54" s="643">
        <f>SUM(D16:D52)</f>
        <v>0</v>
      </c>
      <c r="E54" s="643">
        <f>SUM(E16:E52)</f>
        <v>75900</v>
      </c>
      <c r="F54" s="643">
        <f>SUM(F16:F52)</f>
        <v>91080</v>
      </c>
      <c r="G54" s="644">
        <f>SUM(G16:G52)</f>
        <v>15180</v>
      </c>
      <c r="H54" s="588"/>
      <c r="I54" s="591" t="s">
        <v>27</v>
      </c>
      <c r="J54" s="38"/>
      <c r="K54" s="151"/>
      <c r="L54" s="643">
        <f>SUM(L16:L52)</f>
        <v>114180</v>
      </c>
      <c r="M54" s="643">
        <f>SUM(M16:M52)</f>
        <v>195.09</v>
      </c>
      <c r="N54" s="643">
        <f>SUM(N16:N52)</f>
        <v>0</v>
      </c>
      <c r="O54" s="643">
        <f>SUM(O16:O52)</f>
        <v>101044.25</v>
      </c>
      <c r="P54" s="645">
        <f>SUM(P16:P52)</f>
        <v>-177.45999999999998</v>
      </c>
      <c r="AD54" s="630"/>
      <c r="AE54" s="630"/>
      <c r="AF54" s="634"/>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c r="N57" s="18"/>
    </row>
    <row r="58" spans="1:32" ht="18" hidden="1">
      <c r="A58" s="66" t="s">
        <v>28</v>
      </c>
      <c r="B58" s="17"/>
      <c r="C58" s="75">
        <f>IF(E9="y",G59*0.95-(SUM(H197:K197)),0)</f>
        <v>0</v>
      </c>
      <c r="E58" s="113" t="s">
        <v>136</v>
      </c>
      <c r="F58" s="70" t="s">
        <v>138</v>
      </c>
      <c r="G58" s="70" t="s">
        <v>137</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20900</v>
      </c>
      <c r="F60" s="70">
        <f>+G60-E60</f>
        <v>41.799999999999272</v>
      </c>
      <c r="G60" s="70">
        <f>IF(E59+E60&lt;&gt;0,E60/(E59+E60)*(G61-G62),0)</f>
        <v>20941.8</v>
      </c>
      <c r="H60" s="18"/>
      <c r="I60" s="18"/>
      <c r="J60" s="18"/>
      <c r="K60" s="18"/>
      <c r="L60" s="18"/>
      <c r="M60" s="18"/>
    </row>
    <row r="61" spans="1:32" hidden="1">
      <c r="A61" s="16"/>
      <c r="B61" s="17"/>
      <c r="C61" s="16"/>
      <c r="D61" s="70" t="s">
        <v>16</v>
      </c>
      <c r="E61" s="70">
        <f>+F53</f>
        <v>25080</v>
      </c>
      <c r="F61" s="70">
        <f>+G61-E61</f>
        <v>0</v>
      </c>
      <c r="G61" s="70">
        <f>+E61</f>
        <v>25080</v>
      </c>
      <c r="H61" s="18"/>
      <c r="I61" s="18"/>
      <c r="J61" s="18"/>
      <c r="K61" s="18"/>
      <c r="L61" s="18"/>
      <c r="M61" s="18"/>
    </row>
    <row r="62" spans="1:32" hidden="1">
      <c r="A62" s="67" t="s">
        <v>29</v>
      </c>
      <c r="B62" s="17"/>
      <c r="C62" s="70">
        <f>IF(E243&lt;=0,0,IF(C4&lt;42095,E265,E243))</f>
        <v>0</v>
      </c>
      <c r="D62" s="70" t="s">
        <v>17</v>
      </c>
      <c r="E62" s="70">
        <f>+G53</f>
        <v>4180</v>
      </c>
      <c r="F62" s="70">
        <f>+G62-E62</f>
        <v>-41.800000000000182</v>
      </c>
      <c r="G62" s="70">
        <f>IF(E12&gt;0,(G61)*E12,E62)</f>
        <v>4138.2</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D73" s="7"/>
      <c r="E73" s="7"/>
      <c r="F73" s="7"/>
      <c r="G73" s="7"/>
      <c r="H73" s="7"/>
      <c r="I73" s="7"/>
      <c r="J73" s="7"/>
      <c r="K73" s="7"/>
      <c r="L73" s="7"/>
      <c r="M73" s="7"/>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5"/>
    </row>
    <row r="75" spans="1:56" ht="15">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5" t="s">
        <v>20</v>
      </c>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0"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row>
    <row r="78" spans="1:56" ht="13.5" thickBot="1">
      <c r="A78" s="580" t="s">
        <v>11</v>
      </c>
      <c r="B78" s="580" t="s">
        <v>13</v>
      </c>
      <c r="C78" s="594" t="s">
        <v>38</v>
      </c>
      <c r="D78" s="569" t="s">
        <v>39</v>
      </c>
      <c r="E78" s="569" t="s">
        <v>40</v>
      </c>
      <c r="F78" s="569" t="s">
        <v>155</v>
      </c>
      <c r="G78" s="595" t="s">
        <v>17</v>
      </c>
      <c r="H78" s="594" t="s">
        <v>294</v>
      </c>
      <c r="I78" s="569" t="s">
        <v>42</v>
      </c>
      <c r="J78" s="594" t="s">
        <v>127</v>
      </c>
      <c r="K78" s="569" t="s">
        <v>44</v>
      </c>
      <c r="L78" s="596" t="s">
        <v>161</v>
      </c>
      <c r="M78" s="596" t="s">
        <v>160</v>
      </c>
      <c r="N78" s="596" t="s">
        <v>49</v>
      </c>
      <c r="O78" s="569" t="s">
        <v>132</v>
      </c>
      <c r="P78" s="569" t="s">
        <v>45</v>
      </c>
      <c r="Q78" s="569" t="s">
        <v>46</v>
      </c>
      <c r="R78" s="594" t="s">
        <v>171</v>
      </c>
      <c r="S78" s="569" t="s">
        <v>113</v>
      </c>
      <c r="T78" s="594" t="s">
        <v>57</v>
      </c>
      <c r="U78" s="569" t="s">
        <v>50</v>
      </c>
      <c r="V78" s="594" t="s">
        <v>207</v>
      </c>
      <c r="W78" s="594" t="s">
        <v>175</v>
      </c>
      <c r="X78" s="594" t="s">
        <v>302</v>
      </c>
      <c r="Y78" s="569" t="s">
        <v>121</v>
      </c>
      <c r="Z78" s="594" t="s">
        <v>173</v>
      </c>
      <c r="AA78" s="594" t="s">
        <v>302</v>
      </c>
      <c r="AB78" s="596" t="s">
        <v>152</v>
      </c>
      <c r="AC78" s="569" t="s">
        <v>51</v>
      </c>
      <c r="AF78" s="634" t="s">
        <v>52</v>
      </c>
    </row>
    <row r="79" spans="1:56">
      <c r="A79" s="258"/>
      <c r="B79" s="345" t="s">
        <v>77</v>
      </c>
      <c r="C79" s="45"/>
      <c r="D79" s="615">
        <f>'May 18'!D198</f>
        <v>132396.32</v>
      </c>
      <c r="E79" s="616">
        <f>'May 18'!E198</f>
        <v>660</v>
      </c>
      <c r="F79" s="615">
        <f>'May 18'!F198</f>
        <v>0</v>
      </c>
      <c r="G79" s="617">
        <f>'May 18'!G198</f>
        <v>0</v>
      </c>
      <c r="H79" s="625">
        <f>'May 18'!H198</f>
        <v>1575</v>
      </c>
      <c r="I79" s="559">
        <f>'May 18'!I198</f>
        <v>1148</v>
      </c>
      <c r="J79" s="559">
        <f>'May 18'!J198</f>
        <v>305</v>
      </c>
      <c r="K79" s="559">
        <f>'May 18'!K198</f>
        <v>0</v>
      </c>
      <c r="L79" s="559">
        <f>'May 18'!L198</f>
        <v>14380</v>
      </c>
      <c r="M79" s="559">
        <f>'May 18'!M198</f>
        <v>264.02999999999997</v>
      </c>
      <c r="N79" s="559">
        <f>'May 18'!N198</f>
        <v>50000</v>
      </c>
      <c r="O79" s="559">
        <f>'May 18'!O198</f>
        <v>0</v>
      </c>
      <c r="P79" s="559">
        <f>'May 18'!P198</f>
        <v>140</v>
      </c>
      <c r="Q79" s="559">
        <f>'May 18'!Q198</f>
        <v>0</v>
      </c>
      <c r="R79" s="559">
        <f>'May 18'!R198</f>
        <v>455</v>
      </c>
      <c r="S79" s="559">
        <f>'May 18'!S198</f>
        <v>385</v>
      </c>
      <c r="T79" s="559">
        <f>'May 18'!T198</f>
        <v>595</v>
      </c>
      <c r="U79" s="559">
        <f>'May 18'!U198</f>
        <v>966</v>
      </c>
      <c r="V79" s="559">
        <f>'May 18'!V198</f>
        <v>43.8</v>
      </c>
      <c r="W79" s="559">
        <f>'May 18'!W198</f>
        <v>665</v>
      </c>
      <c r="X79" s="559">
        <f>'May 18'!X198</f>
        <v>50555.39</v>
      </c>
      <c r="Y79" s="559">
        <f>'May 18'!Y198</f>
        <v>10781.1</v>
      </c>
      <c r="Z79" s="559">
        <f>'May 18'!Z198</f>
        <v>0</v>
      </c>
      <c r="AA79" s="559">
        <f>'May 18'!AA198</f>
        <v>0</v>
      </c>
      <c r="AB79" s="559">
        <f>'May 18'!AB198</f>
        <v>785</v>
      </c>
      <c r="AC79" s="259">
        <f>'May 18'!AC198</f>
        <v>13</v>
      </c>
      <c r="AG79" s="43">
        <f>IF(AF79=0,0,"ERROR HERE")</f>
        <v>0</v>
      </c>
      <c r="AH79" s="7">
        <f t="shared" ref="AH79:AQ85" si="3">IF(OR(ISERROR(+H79/($D79+$E79-$G79)*$G79+H79),LEFT(F79,1)="x"),0,+H79/($D79+$E79-$G79)*$G79+H79)</f>
        <v>1575</v>
      </c>
      <c r="AI79" s="7">
        <f t="shared" si="3"/>
        <v>1148</v>
      </c>
      <c r="AJ79" s="7">
        <f t="shared" si="3"/>
        <v>305</v>
      </c>
      <c r="AK79" s="7">
        <f t="shared" si="3"/>
        <v>0</v>
      </c>
      <c r="AL79" s="7">
        <f t="shared" si="3"/>
        <v>14380</v>
      </c>
      <c r="AM79" s="7">
        <f t="shared" si="3"/>
        <v>264.02999999999997</v>
      </c>
      <c r="AN79" s="7">
        <f t="shared" si="3"/>
        <v>50000</v>
      </c>
      <c r="AO79" s="7">
        <f t="shared" si="3"/>
        <v>0</v>
      </c>
      <c r="AP79" s="7">
        <f t="shared" si="3"/>
        <v>140</v>
      </c>
      <c r="AQ79" s="7">
        <f t="shared" si="3"/>
        <v>0</v>
      </c>
      <c r="AR79" s="7">
        <f t="shared" ref="AR79:BA85" si="4">IF(OR(ISERROR(+R79/($D79+$E79-$G79)*$G79+R79),LEFT(P79,1)="x"),0,+R79/($D79+$E79-$G79)*$G79+R79)</f>
        <v>455</v>
      </c>
      <c r="AS79" s="7">
        <f t="shared" si="4"/>
        <v>385</v>
      </c>
      <c r="AT79" s="7">
        <f t="shared" si="4"/>
        <v>595</v>
      </c>
      <c r="AU79" s="7">
        <f t="shared" si="4"/>
        <v>966</v>
      </c>
      <c r="AV79" s="7">
        <f t="shared" si="4"/>
        <v>43.8</v>
      </c>
      <c r="AW79" s="7">
        <f t="shared" si="4"/>
        <v>665</v>
      </c>
      <c r="AX79" s="7">
        <f t="shared" si="4"/>
        <v>50555.39</v>
      </c>
      <c r="AY79" s="7">
        <f t="shared" si="4"/>
        <v>10781.1</v>
      </c>
      <c r="AZ79" s="7">
        <f t="shared" si="4"/>
        <v>0</v>
      </c>
      <c r="BA79" s="7">
        <f t="shared" si="4"/>
        <v>0</v>
      </c>
      <c r="BB79" s="7">
        <f t="shared" ref="BB79:BB85" si="5">IF(OR(ISERROR(+AB79/($D79+$E79-$G79)*$G79+AB79),LEFT(Z79,1)="x"),0,+AB79/($D79+$E79-$G79)*$G79+AB79)</f>
        <v>785</v>
      </c>
      <c r="BC79" s="7">
        <f>IF(OR(ISERROR(+#REF!/($D79+$E79-$G79)*$G79+#REF!),LEFT(AA79,1)="x"),0,+#REF!/($D79+$E79-$G79)*$G79+#REF!)</f>
        <v>0</v>
      </c>
      <c r="BD79" s="7">
        <f>IF(OR(ISERROR(+AC79/($D79+$E79-$G79)*$G79+AC79),LEFT(Z79,1)="x"),0,+AC79/($D79+$E79-$G79)*$G79+AC79)</f>
        <v>13</v>
      </c>
    </row>
    <row r="80" spans="1:56">
      <c r="A80" s="555" t="s">
        <v>20</v>
      </c>
      <c r="B80" s="719" t="s">
        <v>462</v>
      </c>
      <c r="C80" s="719"/>
      <c r="D80" s="720">
        <v>812</v>
      </c>
      <c r="E80" s="721"/>
      <c r="F80" s="722"/>
      <c r="G80" s="723"/>
      <c r="H80" s="724"/>
      <c r="I80" s="724"/>
      <c r="J80" s="724"/>
      <c r="K80" s="725"/>
      <c r="L80" s="720">
        <v>812</v>
      </c>
      <c r="M80" s="725"/>
      <c r="N80" s="725"/>
      <c r="O80" s="725"/>
      <c r="P80" s="725"/>
      <c r="Q80" s="725"/>
      <c r="R80" s="726"/>
      <c r="S80" s="727"/>
      <c r="T80" s="725"/>
      <c r="U80" s="726"/>
      <c r="V80" s="726"/>
      <c r="W80" s="727"/>
      <c r="X80" s="726"/>
      <c r="Y80" s="726"/>
      <c r="Z80" s="726"/>
      <c r="AA80" s="726"/>
      <c r="AB80" s="726"/>
      <c r="AC80" s="563"/>
      <c r="AD80" s="629">
        <f>SUM(G80:AC80)</f>
        <v>812</v>
      </c>
      <c r="AE80" s="629">
        <f>SUM(D80:F80)</f>
        <v>812</v>
      </c>
      <c r="AF80" s="634">
        <f>AD80-AE80</f>
        <v>0</v>
      </c>
      <c r="AG80" s="43">
        <f>IF(AF80=0,0,"ERROR HERE")</f>
        <v>0</v>
      </c>
      <c r="AH80" s="7">
        <f t="shared" si="3"/>
        <v>0</v>
      </c>
      <c r="AI80" s="7">
        <f t="shared" si="3"/>
        <v>0</v>
      </c>
      <c r="AJ80" s="7">
        <f t="shared" si="3"/>
        <v>0</v>
      </c>
      <c r="AK80" s="7">
        <f t="shared" si="3"/>
        <v>0</v>
      </c>
      <c r="AL80" s="7">
        <f t="shared" si="3"/>
        <v>812</v>
      </c>
      <c r="AM80" s="7">
        <f t="shared" si="3"/>
        <v>0</v>
      </c>
      <c r="AN80" s="7">
        <f t="shared" si="3"/>
        <v>0</v>
      </c>
      <c r="AO80" s="7">
        <f t="shared" si="3"/>
        <v>0</v>
      </c>
      <c r="AP80" s="7">
        <f t="shared" si="3"/>
        <v>0</v>
      </c>
      <c r="AQ80" s="7">
        <f t="shared" si="3"/>
        <v>0</v>
      </c>
      <c r="AR80" s="7">
        <f t="shared" si="4"/>
        <v>0</v>
      </c>
      <c r="AS80" s="7">
        <f t="shared" si="4"/>
        <v>0</v>
      </c>
      <c r="AT80" s="7">
        <f t="shared" si="4"/>
        <v>0</v>
      </c>
      <c r="AU80" s="7">
        <f t="shared" si="4"/>
        <v>0</v>
      </c>
      <c r="AV80" s="7">
        <f t="shared" si="4"/>
        <v>0</v>
      </c>
      <c r="AW80" s="7">
        <f t="shared" si="4"/>
        <v>0</v>
      </c>
      <c r="AX80" s="7">
        <f t="shared" si="4"/>
        <v>0</v>
      </c>
      <c r="AY80" s="7">
        <f t="shared" si="4"/>
        <v>0</v>
      </c>
      <c r="AZ80" s="7">
        <f t="shared" si="4"/>
        <v>0</v>
      </c>
      <c r="BA80" s="7">
        <f t="shared" si="4"/>
        <v>0</v>
      </c>
      <c r="BB80" s="7">
        <f t="shared" si="5"/>
        <v>0</v>
      </c>
      <c r="BC80" s="7">
        <f>IF(OR(ISERROR(+#REF!/($D80+$E80-$G80)*$G80+#REF!),LEFT(AA80,1)="x"),0,+#REF!/($D80+$E80-$G80)*$G80+#REF!)</f>
        <v>0</v>
      </c>
      <c r="BD80" s="7">
        <f>IF(OR(ISERROR(+AC80/($D80+$E80-$G80)*$G80+AC80),LEFT(Z80,1)="x"),0,+AC80/($D80+$E80-$G80)*$G80+AC80)</f>
        <v>0</v>
      </c>
    </row>
    <row r="81" spans="1:57">
      <c r="A81" s="555"/>
      <c r="B81" s="719" t="s">
        <v>463</v>
      </c>
      <c r="C81" s="719"/>
      <c r="D81" s="719">
        <v>800</v>
      </c>
      <c r="E81" s="721"/>
      <c r="F81" s="722"/>
      <c r="G81" s="723"/>
      <c r="H81" s="724"/>
      <c r="I81" s="724"/>
      <c r="J81" s="724"/>
      <c r="K81" s="725"/>
      <c r="L81" s="719">
        <v>800</v>
      </c>
      <c r="M81" s="725"/>
      <c r="N81" s="725"/>
      <c r="O81" s="725"/>
      <c r="P81" s="725"/>
      <c r="Q81" s="725"/>
      <c r="R81" s="726"/>
      <c r="S81" s="727"/>
      <c r="T81" s="725"/>
      <c r="U81" s="726"/>
      <c r="V81" s="726"/>
      <c r="W81" s="727"/>
      <c r="X81" s="726"/>
      <c r="Y81" s="726"/>
      <c r="Z81" s="726"/>
      <c r="AA81" s="726"/>
      <c r="AB81" s="726"/>
      <c r="AC81" s="563"/>
      <c r="AD81" s="629">
        <f t="shared" ref="AD81:AD144" si="6">SUM(G81:AC81)</f>
        <v>800</v>
      </c>
      <c r="AE81" s="629">
        <f t="shared" ref="AE81:AE144" si="7">SUM(D81:F81)</f>
        <v>800</v>
      </c>
      <c r="AF81" s="634">
        <f t="shared" ref="AF81:AF144" si="8">AD81-AE81</f>
        <v>0</v>
      </c>
      <c r="AG81" s="43">
        <f>IF(AF81=0,0,"ERROR HERE")</f>
        <v>0</v>
      </c>
      <c r="AH81" s="7">
        <f>IF(OR(ISERROR(+H81/(#REF!+$D81-$G81)*$G81+H81),LEFT(F81,1)="x"),0,+H81/(#REF!+$D81-$G81)*$G81+H81)</f>
        <v>0</v>
      </c>
      <c r="AI81" s="7">
        <f>IF(OR(ISERROR(+I81/(#REF!+$D81-$G81)*$G81+I81),LEFT(G81,1)="x"),0,+I81/(#REF!+$D81-$G81)*$G81+I81)</f>
        <v>0</v>
      </c>
      <c r="AJ81" s="7">
        <f>IF(OR(ISERROR(+J81/(#REF!+$D81-$G81)*$G81+J81),LEFT(H81,1)="x"),0,+J81/(#REF!+$D81-$G81)*$G81+J81)</f>
        <v>0</v>
      </c>
      <c r="AK81" s="7">
        <f>IF(OR(ISERROR(+K81/(#REF!+$D81-$G81)*$G81+K81),LEFT(I81,1)="x"),0,+K81/(#REF!+$D81-$G81)*$G81+K81)</f>
        <v>0</v>
      </c>
      <c r="AL81" s="7">
        <f>IF(OR(ISERROR(+L81/(#REF!+$D81-$G81)*$G81+L81),LEFT(J81,1)="x"),0,+L81/(#REF!+$D81-$G81)*$G81+L81)</f>
        <v>0</v>
      </c>
      <c r="AM81" s="7">
        <f>IF(OR(ISERROR(+M81/(#REF!+$D81-$G81)*$G81+M81),LEFT(K81,1)="x"),0,+M81/(#REF!+$D81-$G81)*$G81+M81)</f>
        <v>0</v>
      </c>
      <c r="AN81" s="7">
        <f>IF(OR(ISERROR(+N81/(#REF!+$D81-$G81)*$G81+N81),LEFT(L81,1)="x"),0,+N81/(#REF!+$D81-$G81)*$G81+N81)</f>
        <v>0</v>
      </c>
      <c r="AO81" s="7">
        <f>IF(OR(ISERROR(+O81/(#REF!+$D81-$G81)*$G81+O81),LEFT(M81,1)="x"),0,+O81/(#REF!+$D81-$G81)*$G81+O81)</f>
        <v>0</v>
      </c>
      <c r="AP81" s="7">
        <f>IF(OR(ISERROR(+P81/(#REF!+$D81-$G81)*$G81+P81),LEFT(N81,1)="x"),0,+P81/(#REF!+$D81-$G81)*$G81+P81)</f>
        <v>0</v>
      </c>
      <c r="AQ81" s="7">
        <f>IF(OR(ISERROR(+Q81/(#REF!+$D81-$G81)*$G81+Q81),LEFT(O81,1)="x"),0,+Q81/(#REF!+$D81-$G81)*$G81+Q81)</f>
        <v>0</v>
      </c>
      <c r="AR81" s="7">
        <f>IF(OR(ISERROR(+R81/(#REF!+$D81-$G81)*$G81+R81),LEFT(P81,1)="x"),0,+R81/(#REF!+$D81-$G81)*$G81+R81)</f>
        <v>0</v>
      </c>
      <c r="AS81" s="7">
        <f>IF(OR(ISERROR(+S81/(#REF!+$D81-$G81)*$G81+S81),LEFT(Q81,1)="x"),0,+S81/(#REF!+$D81-$G81)*$G81+S81)</f>
        <v>0</v>
      </c>
      <c r="AT81" s="7">
        <f>IF(OR(ISERROR(+T81/(#REF!+$D81-$G81)*$G81+T81),LEFT(R81,1)="x"),0,+T81/(#REF!+$D81-$G81)*$G81+T81)</f>
        <v>0</v>
      </c>
      <c r="AU81" s="7">
        <f>IF(OR(ISERROR(+U81/(#REF!+$D81-$G81)*$G81+U81),LEFT(S81,1)="x"),0,+U81/(#REF!+$D81-$G81)*$G81+U81)</f>
        <v>0</v>
      </c>
      <c r="AV81" s="7">
        <f>IF(OR(ISERROR(+V81/(#REF!+$D81-$G81)*$G81+V81),LEFT(T81,1)="x"),0,+V81/(#REF!+$D81-$G81)*$G81+V81)</f>
        <v>0</v>
      </c>
      <c r="AW81" s="7">
        <f>IF(OR(ISERROR(+W81/(#REF!+$D81-$G81)*$G81+W81),LEFT(U81,1)="x"),0,+W81/(#REF!+$D81-$G81)*$G81+W81)</f>
        <v>0</v>
      </c>
      <c r="AX81" s="7">
        <f>IF(OR(ISERROR(+X81/(#REF!+$D81-$G81)*$G81+X81),LEFT(V81,1)="x"),0,+X81/(#REF!+$D81-$G81)*$G81+X81)</f>
        <v>0</v>
      </c>
      <c r="AY81" s="7">
        <f>IF(OR(ISERROR(+Y81/(#REF!+$D81-$G81)*$G81+Y81),LEFT(W81,1)="x"),0,+Y81/(#REF!+$D81-$G81)*$G81+Y81)</f>
        <v>0</v>
      </c>
      <c r="AZ81" s="7">
        <f>IF(OR(ISERROR(+Z81/(#REF!+$D81-$G81)*$G81+Z81),LEFT(X81,1)="x"),0,+Z81/(#REF!+$D81-$G81)*$G81+Z81)</f>
        <v>0</v>
      </c>
      <c r="BA81" s="7">
        <f>IF(OR(ISERROR(+AA81/(#REF!+$D81-$G81)*$G81+AA81),LEFT(Y81,1)="x"),0,+AA81/(#REF!+$D81-$G81)*$G81+AA81)</f>
        <v>0</v>
      </c>
      <c r="BB81" s="7">
        <f>IF(OR(ISERROR(+AB81/(#REF!+$D81-$G81)*$G81+AB81),LEFT(Z81,1)="x"),0,+AB81/(#REF!+$D81-$G81)*$G81+AB81)</f>
        <v>0</v>
      </c>
      <c r="BC81" s="7">
        <f>IF(OR(ISERROR(+#REF!/(#REF!+$D81-$G81)*$G81+#REF!),LEFT(AA81,1)="x"),0,+#REF!/(#REF!+$D81-$G81)*$G81+#REF!)</f>
        <v>0</v>
      </c>
      <c r="BD81" s="7">
        <f>IF(OR(ISERROR(+AC81/(#REF!+$D81-$G81)*$G81+AC81),LEFT(Z81,1)="x"),0,+AC81/(#REF!+$D81-$G81)*$G81+AC81)</f>
        <v>0</v>
      </c>
    </row>
    <row r="82" spans="1:57">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719"/>
      <c r="Y82" s="719"/>
      <c r="Z82" s="719"/>
      <c r="AA82" s="719"/>
      <c r="AB82" s="719"/>
      <c r="AC82" s="563"/>
      <c r="AD82" s="629">
        <f t="shared" si="6"/>
        <v>138</v>
      </c>
      <c r="AE82" s="629">
        <f t="shared" si="7"/>
        <v>138</v>
      </c>
      <c r="AF82" s="634">
        <f t="shared" si="8"/>
        <v>0</v>
      </c>
      <c r="AG82" s="43">
        <f>IF(AF82=0,0,"ERROR HERE - CHECK NUMBER IS CORRECTLY EXTENDED")</f>
        <v>0</v>
      </c>
      <c r="AH82" s="7">
        <f>IF(OR(ISERROR(+H82/(#REF!+$D82-$G82)*$G82+H82),LEFT(F82,1)="x"),0,+H82/(#REF!+$D82-$G82)*$G82+H82)</f>
        <v>0</v>
      </c>
      <c r="AI82" s="7">
        <f>IF(OR(ISERROR(+I82/(#REF!+$D82-$G82)*$G82+I82),LEFT(G82,1)="x"),0,+I82/(#REF!+$D82-$G82)*$G82+I82)</f>
        <v>0</v>
      </c>
      <c r="AJ82" s="7">
        <f>IF(OR(ISERROR(+J82/(#REF!+$D82-$G82)*$G82+J82),LEFT(H82,1)="x"),0,+J82/(#REF!+$D82-$G82)*$G82+J82)</f>
        <v>0</v>
      </c>
      <c r="AK82" s="7">
        <f>IF(OR(ISERROR(+K82/(#REF!+$D82-$G82)*$G82+K82),LEFT(I82,1)="x"),0,+K82/(#REF!+$D82-$G82)*$G82+K82)</f>
        <v>0</v>
      </c>
      <c r="AL82" s="7">
        <f>IF(OR(ISERROR(+L82/(#REF!+$D82-$G82)*$G82+L82),LEFT(J82,1)="x"),0,+L82/(#REF!+$D82-$G82)*$G82+L82)</f>
        <v>0</v>
      </c>
      <c r="AM82" s="7">
        <f>IF(OR(ISERROR(+M82/(#REF!+$D82-$G82)*$G82+M82),LEFT(K82,1)="x"),0,+M82/(#REF!+$D82-$G82)*$G82+M82)</f>
        <v>0</v>
      </c>
      <c r="AN82" s="7">
        <f>IF(OR(ISERROR(+N82/(#REF!+$D82-$G82)*$G82+N82),LEFT(L82,1)="x"),0,+N82/(#REF!+$D82-$G82)*$G82+N82)</f>
        <v>0</v>
      </c>
      <c r="AO82" s="7">
        <f>IF(OR(ISERROR(+O82/(#REF!+$D82-$G82)*$G82+O82),LEFT(M82,1)="x"),0,+O82/(#REF!+$D82-$G82)*$G82+O82)</f>
        <v>0</v>
      </c>
      <c r="AP82" s="7">
        <f>IF(OR(ISERROR(+P82/(#REF!+$D82-$G82)*$G82+P82),LEFT(N82,1)="x"),0,+P82/(#REF!+$D82-$G82)*$G82+P82)</f>
        <v>0</v>
      </c>
      <c r="AQ82" s="7">
        <f>IF(OR(ISERROR(+Q82/(#REF!+$D82-$G82)*$G82+Q82),LEFT(O82,1)="x"),0,+Q82/(#REF!+$D82-$G82)*$G82+Q82)</f>
        <v>0</v>
      </c>
      <c r="AR82" s="7">
        <f>IF(OR(ISERROR(+R82/(#REF!+$D82-$G82)*$G82+R82),LEFT(P82,1)="x"),0,+R82/(#REF!+$D82-$G82)*$G82+R82)</f>
        <v>0</v>
      </c>
      <c r="AS82" s="7">
        <f>IF(OR(ISERROR(+S82/(#REF!+$D82-$G82)*$G82+S82),LEFT(Q82,1)="x"),0,+S82/(#REF!+$D82-$G82)*$G82+S82)</f>
        <v>0</v>
      </c>
      <c r="AT82" s="7">
        <f>IF(OR(ISERROR(+T82/(#REF!+$D82-$G82)*$G82+T82),LEFT(R82,1)="x"),0,+T82/(#REF!+$D82-$G82)*$G82+T82)</f>
        <v>0</v>
      </c>
      <c r="AU82" s="7">
        <f>IF(OR(ISERROR(+U82/(#REF!+$D82-$G82)*$G82+U82),LEFT(S82,1)="x"),0,+U82/(#REF!+$D82-$G82)*$G82+U82)</f>
        <v>0</v>
      </c>
      <c r="AV82" s="7">
        <f>IF(OR(ISERROR(+V82/(#REF!+$D82-$G82)*$G82+V82),LEFT(T82,1)="x"),0,+V82/(#REF!+$D82-$G82)*$G82+V82)</f>
        <v>0</v>
      </c>
      <c r="AW82" s="7">
        <f>IF(OR(ISERROR(+W82/(#REF!+$D82-$G82)*$G82+W82),LEFT(U82,1)="x"),0,+W82/(#REF!+$D82-$G82)*$G82+W82)</f>
        <v>0</v>
      </c>
      <c r="AX82" s="7">
        <f>IF(OR(ISERROR(+X82/(#REF!+$D82-$G82)*$G82+X82),LEFT(V82,1)="x"),0,+X82/(#REF!+$D82-$G82)*$G82+X82)</f>
        <v>0</v>
      </c>
      <c r="AY82" s="7">
        <f>IF(OR(ISERROR(+Y82/(#REF!+$D82-$G82)*$G82+Y82),LEFT(W82,1)="x"),0,+Y82/(#REF!+$D82-$G82)*$G82+Y82)</f>
        <v>0</v>
      </c>
      <c r="AZ82" s="7">
        <f>IF(OR(ISERROR(+Z82/(#REF!+$D82-$G82)*$G82+Z82),LEFT(X82,1)="x"),0,+Z82/(#REF!+$D82-$G82)*$G82+Z82)</f>
        <v>0</v>
      </c>
      <c r="BA82" s="7">
        <f>IF(OR(ISERROR(+AA82/(#REF!+$D82-$G82)*$G82+AA82),LEFT(Y82,1)="x"),0,+AA82/(#REF!+$D82-$G82)*$G82+AA82)</f>
        <v>0</v>
      </c>
      <c r="BB82" s="7">
        <f>IF(OR(ISERROR(+AB82/(#REF!+$D82-$G82)*$G82+AB82),LEFT(Z82,1)="x"),0,+AB82/(#REF!+$D82-$G82)*$G82+AB82)</f>
        <v>0</v>
      </c>
      <c r="BC82" s="7">
        <f>IF(OR(ISERROR(+#REF!/(#REF!+$D82-$G82)*$G82+#REF!),LEFT(AA82,1)="x"),0,+#REF!/(#REF!+$D82-$G82)*$G82+#REF!)</f>
        <v>0</v>
      </c>
      <c r="BD82" s="7">
        <f>IF(OR(ISERROR(+#REF!/(#REF!+$D82-$G82)*$G82+#REF!),LEFT(AB82,1)="x"),0,+#REF!/(#REF!+$D82-$G82)*$G82+#REF!)</f>
        <v>0</v>
      </c>
      <c r="BE82" s="7" t="e">
        <f>IF(OR(ISERROR(+AC82/(#REF!+$D82-$G82)*$G82+AC82),LEFT(#REF!,1)="x"),0,+AC82/(#REF!+$D82-$G82)*$G82+AC82)</f>
        <v>#REF!</v>
      </c>
    </row>
    <row r="83" spans="1:57">
      <c r="A83" s="555"/>
      <c r="B83" s="719" t="s">
        <v>465</v>
      </c>
      <c r="C83" s="719"/>
      <c r="D83" s="721"/>
      <c r="E83" s="719">
        <v>170</v>
      </c>
      <c r="F83" s="722"/>
      <c r="G83" s="723"/>
      <c r="H83" s="724"/>
      <c r="I83" s="719">
        <v>170</v>
      </c>
      <c r="J83" s="724"/>
      <c r="K83" s="725"/>
      <c r="L83" s="725"/>
      <c r="M83" s="725"/>
      <c r="N83" s="725"/>
      <c r="O83" s="725"/>
      <c r="P83" s="725"/>
      <c r="Q83" s="725"/>
      <c r="R83" s="726"/>
      <c r="S83" s="727"/>
      <c r="T83" s="725"/>
      <c r="U83" s="726"/>
      <c r="V83" s="726"/>
      <c r="W83" s="727"/>
      <c r="X83" s="726"/>
      <c r="Y83" s="726"/>
      <c r="Z83" s="726"/>
      <c r="AA83" s="726"/>
      <c r="AB83" s="726"/>
      <c r="AC83" s="563"/>
      <c r="AD83" s="629">
        <f t="shared" si="6"/>
        <v>170</v>
      </c>
      <c r="AE83" s="629">
        <f t="shared" si="7"/>
        <v>170</v>
      </c>
      <c r="AF83" s="634">
        <f t="shared" si="8"/>
        <v>0</v>
      </c>
      <c r="AG83" s="43">
        <f>IF(AF83=0,0,"ERROR HERE")</f>
        <v>0</v>
      </c>
      <c r="AH83" s="7">
        <f t="shared" si="3"/>
        <v>0</v>
      </c>
      <c r="AI83" s="7">
        <f t="shared" si="3"/>
        <v>170</v>
      </c>
      <c r="AJ83" s="7">
        <f t="shared" si="3"/>
        <v>0</v>
      </c>
      <c r="AK83" s="7">
        <f t="shared" si="3"/>
        <v>0</v>
      </c>
      <c r="AL83" s="7">
        <f t="shared" si="3"/>
        <v>0</v>
      </c>
      <c r="AM83" s="7">
        <f t="shared" si="3"/>
        <v>0</v>
      </c>
      <c r="AN83" s="7">
        <f t="shared" si="3"/>
        <v>0</v>
      </c>
      <c r="AO83" s="7">
        <f t="shared" si="3"/>
        <v>0</v>
      </c>
      <c r="AP83" s="7">
        <f t="shared" si="3"/>
        <v>0</v>
      </c>
      <c r="AQ83" s="7">
        <f t="shared" si="3"/>
        <v>0</v>
      </c>
      <c r="AR83" s="7">
        <f t="shared" si="4"/>
        <v>0</v>
      </c>
      <c r="AS83" s="7">
        <f t="shared" si="4"/>
        <v>0</v>
      </c>
      <c r="AT83" s="7">
        <f t="shared" si="4"/>
        <v>0</v>
      </c>
      <c r="AU83" s="7">
        <f t="shared" si="4"/>
        <v>0</v>
      </c>
      <c r="AV83" s="7">
        <f t="shared" si="4"/>
        <v>0</v>
      </c>
      <c r="AW83" s="7">
        <f t="shared" si="4"/>
        <v>0</v>
      </c>
      <c r="AX83" s="7">
        <f t="shared" si="4"/>
        <v>0</v>
      </c>
      <c r="AY83" s="7">
        <f t="shared" si="4"/>
        <v>0</v>
      </c>
      <c r="AZ83" s="7">
        <f t="shared" si="4"/>
        <v>0</v>
      </c>
      <c r="BA83" s="7">
        <f t="shared" si="4"/>
        <v>0</v>
      </c>
      <c r="BB83" s="7">
        <f t="shared" si="5"/>
        <v>0</v>
      </c>
      <c r="BC83" s="7">
        <f>IF(OR(ISERROR(+#REF!/($D83+$E83-$G83)*$G83+#REF!),LEFT(AA83,1)="x"),0,+#REF!/($D83+$E83-$G83)*$G83+#REF!)</f>
        <v>0</v>
      </c>
      <c r="BD83" s="7">
        <f>IF(OR(ISERROR(+#REF!/($D83+$E83-$G83)*$G83+#REF!),LEFT(AB83,1)="x"),0,+#REF!/($D83+$E83-$G83)*$G83+#REF!)</f>
        <v>0</v>
      </c>
      <c r="BE83" s="7" t="e">
        <f>IF(OR(ISERROR(+AC83/($D83+$E83-$G83)*$G83+AC83),LEFT(#REF!,1)="x"),0,+AC83/($D83+$E83-$G83)*$G83+AC83)</f>
        <v>#REF!</v>
      </c>
    </row>
    <row r="84" spans="1:57">
      <c r="A84" s="555"/>
      <c r="B84" s="719" t="s">
        <v>466</v>
      </c>
      <c r="C84" s="719"/>
      <c r="D84" s="721"/>
      <c r="E84" s="719">
        <v>10</v>
      </c>
      <c r="F84" s="722"/>
      <c r="G84" s="723"/>
      <c r="H84" s="724"/>
      <c r="I84" s="724"/>
      <c r="J84" s="724"/>
      <c r="K84" s="725"/>
      <c r="L84" s="725"/>
      <c r="M84" s="725"/>
      <c r="N84" s="725"/>
      <c r="O84" s="725"/>
      <c r="P84" s="719">
        <v>10</v>
      </c>
      <c r="Q84" s="725"/>
      <c r="R84" s="726"/>
      <c r="S84" s="727"/>
      <c r="T84" s="725"/>
      <c r="U84" s="726"/>
      <c r="V84" s="726"/>
      <c r="W84" s="727"/>
      <c r="X84" s="726"/>
      <c r="Y84" s="726"/>
      <c r="Z84" s="726"/>
      <c r="AA84" s="726"/>
      <c r="AB84" s="726"/>
      <c r="AC84" s="563"/>
      <c r="AD84" s="629">
        <f t="shared" si="6"/>
        <v>10</v>
      </c>
      <c r="AE84" s="629">
        <f t="shared" si="7"/>
        <v>10</v>
      </c>
      <c r="AF84" s="634">
        <f t="shared" si="8"/>
        <v>0</v>
      </c>
      <c r="AG84" s="43">
        <f>IF(AF84=0,0,"ERROR HERE")</f>
        <v>0</v>
      </c>
      <c r="AH84" s="7">
        <f t="shared" si="3"/>
        <v>0</v>
      </c>
      <c r="AI84" s="7">
        <f t="shared" si="3"/>
        <v>0</v>
      </c>
      <c r="AJ84" s="7">
        <f t="shared" si="3"/>
        <v>0</v>
      </c>
      <c r="AK84" s="7">
        <f t="shared" si="3"/>
        <v>0</v>
      </c>
      <c r="AL84" s="7">
        <f t="shared" si="3"/>
        <v>0</v>
      </c>
      <c r="AM84" s="7">
        <f t="shared" si="3"/>
        <v>0</v>
      </c>
      <c r="AN84" s="7">
        <f t="shared" si="3"/>
        <v>0</v>
      </c>
      <c r="AO84" s="7">
        <f t="shared" si="3"/>
        <v>0</v>
      </c>
      <c r="AP84" s="7">
        <f t="shared" si="3"/>
        <v>10</v>
      </c>
      <c r="AQ84" s="7">
        <f t="shared" si="3"/>
        <v>0</v>
      </c>
      <c r="AR84" s="7">
        <f t="shared" si="4"/>
        <v>0</v>
      </c>
      <c r="AS84" s="7">
        <f t="shared" si="4"/>
        <v>0</v>
      </c>
      <c r="AT84" s="7">
        <f t="shared" si="4"/>
        <v>0</v>
      </c>
      <c r="AU84" s="7">
        <f t="shared" si="4"/>
        <v>0</v>
      </c>
      <c r="AV84" s="7">
        <f t="shared" si="4"/>
        <v>0</v>
      </c>
      <c r="AW84" s="7">
        <f t="shared" si="4"/>
        <v>0</v>
      </c>
      <c r="AX84" s="7">
        <f t="shared" si="4"/>
        <v>0</v>
      </c>
      <c r="AY84" s="7">
        <f t="shared" si="4"/>
        <v>0</v>
      </c>
      <c r="AZ84" s="7">
        <f t="shared" si="4"/>
        <v>0</v>
      </c>
      <c r="BA84" s="7">
        <f t="shared" si="4"/>
        <v>0</v>
      </c>
      <c r="BB84" s="7">
        <f t="shared" si="5"/>
        <v>0</v>
      </c>
      <c r="BC84" s="7">
        <f>IF(OR(ISERROR(+#REF!/($D84+$E84-$G84)*$G84+#REF!),LEFT(AA84,1)="x"),0,+#REF!/($D84+$E84-$G84)*$G84+#REF!)</f>
        <v>0</v>
      </c>
      <c r="BD84" s="7">
        <f>IF(OR(ISERROR(+#REF!/($D84+$E84-$G84)*$G84+#REF!),LEFT(AB84,1)="x"),0,+#REF!/($D84+$E84-$G84)*$G84+#REF!)</f>
        <v>0</v>
      </c>
      <c r="BE84" s="7" t="e">
        <f>IF(OR(ISERROR(+AC84/($D84+$E84-$G84)*$G84+AC84),LEFT(#REF!,1)="x"),0,+AC84/($D84+$E84-$G84)*$G84+AC84)</f>
        <v>#REF!</v>
      </c>
    </row>
    <row r="85" spans="1:57">
      <c r="A85" s="555"/>
      <c r="B85" s="719" t="s">
        <v>467</v>
      </c>
      <c r="C85" s="719"/>
      <c r="D85" s="721"/>
      <c r="E85" s="719">
        <v>95</v>
      </c>
      <c r="F85" s="722"/>
      <c r="G85" s="723"/>
      <c r="H85" s="724"/>
      <c r="I85" s="724"/>
      <c r="J85" s="724"/>
      <c r="K85" s="725"/>
      <c r="L85" s="725"/>
      <c r="M85" s="725"/>
      <c r="N85" s="725"/>
      <c r="O85" s="725"/>
      <c r="P85" s="725"/>
      <c r="Q85" s="725"/>
      <c r="R85" s="726"/>
      <c r="S85" s="727"/>
      <c r="T85" s="725"/>
      <c r="U85" s="719"/>
      <c r="V85" s="726"/>
      <c r="W85" s="719">
        <v>95</v>
      </c>
      <c r="X85" s="726"/>
      <c r="Y85" s="726"/>
      <c r="Z85" s="726"/>
      <c r="AA85" s="726"/>
      <c r="AB85" s="726"/>
      <c r="AC85" s="563"/>
      <c r="AD85" s="629">
        <f t="shared" si="6"/>
        <v>95</v>
      </c>
      <c r="AE85" s="629">
        <f t="shared" si="7"/>
        <v>95</v>
      </c>
      <c r="AF85" s="634">
        <f t="shared" si="8"/>
        <v>0</v>
      </c>
      <c r="AG85" s="43">
        <f>IF(AF85=0,0,"ERROR HERE")</f>
        <v>0</v>
      </c>
      <c r="AH85" s="7">
        <f t="shared" si="3"/>
        <v>0</v>
      </c>
      <c r="AI85" s="7">
        <f t="shared" si="3"/>
        <v>0</v>
      </c>
      <c r="AJ85" s="7">
        <f t="shared" si="3"/>
        <v>0</v>
      </c>
      <c r="AK85" s="7">
        <f t="shared" si="3"/>
        <v>0</v>
      </c>
      <c r="AL85" s="7">
        <f t="shared" si="3"/>
        <v>0</v>
      </c>
      <c r="AM85" s="7">
        <f t="shared" si="3"/>
        <v>0</v>
      </c>
      <c r="AN85" s="7">
        <f t="shared" si="3"/>
        <v>0</v>
      </c>
      <c r="AO85" s="7">
        <f t="shared" si="3"/>
        <v>0</v>
      </c>
      <c r="AP85" s="7">
        <f t="shared" si="3"/>
        <v>0</v>
      </c>
      <c r="AQ85" s="7">
        <f t="shared" si="3"/>
        <v>0</v>
      </c>
      <c r="AR85" s="7">
        <f t="shared" si="4"/>
        <v>0</v>
      </c>
      <c r="AS85" s="7">
        <f t="shared" si="4"/>
        <v>0</v>
      </c>
      <c r="AT85" s="7">
        <f t="shared" si="4"/>
        <v>0</v>
      </c>
      <c r="AU85" s="7">
        <f t="shared" si="4"/>
        <v>0</v>
      </c>
      <c r="AV85" s="7">
        <f t="shared" si="4"/>
        <v>0</v>
      </c>
      <c r="AW85" s="7">
        <f t="shared" si="4"/>
        <v>95</v>
      </c>
      <c r="AX85" s="7">
        <f t="shared" si="4"/>
        <v>0</v>
      </c>
      <c r="AY85" s="7">
        <f t="shared" si="4"/>
        <v>0</v>
      </c>
      <c r="AZ85" s="7">
        <f t="shared" si="4"/>
        <v>0</v>
      </c>
      <c r="BA85" s="7">
        <f t="shared" si="4"/>
        <v>0</v>
      </c>
      <c r="BB85" s="7">
        <f t="shared" si="5"/>
        <v>0</v>
      </c>
      <c r="BC85" s="7">
        <f>IF(OR(ISERROR(+#REF!/($D85+$E85-$G85)*$G85+#REF!),LEFT(AA85,1)="x"),0,+#REF!/($D85+$E85-$G85)*$G85+#REF!)</f>
        <v>0</v>
      </c>
      <c r="BD85" s="7">
        <f>IF(OR(ISERROR(+#REF!/($D85+$E85-$G85)*$G85+#REF!),LEFT(AB85,1)="x"),0,+#REF!/($D85+$E85-$G85)*$G85+#REF!)</f>
        <v>0</v>
      </c>
      <c r="BE85" s="7" t="e">
        <f>IF(OR(ISERROR(+AC85/($D85+$E85-$G85)*$G85+AC85),LEFT(#REF!,1)="x"),0,+AC85/($D85+$E85-$G85)*$G85+AC85)</f>
        <v>#REF!</v>
      </c>
    </row>
    <row r="86" spans="1:57">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726"/>
      <c r="Y86" s="726"/>
      <c r="Z86" s="726"/>
      <c r="AA86" s="726"/>
      <c r="AB86" s="726"/>
      <c r="AC86" s="563"/>
      <c r="AD86" s="629">
        <f t="shared" si="6"/>
        <v>85</v>
      </c>
      <c r="AE86" s="629">
        <f t="shared" si="7"/>
        <v>85</v>
      </c>
      <c r="AF86" s="634">
        <f t="shared" si="8"/>
        <v>0</v>
      </c>
      <c r="AG86" s="43"/>
    </row>
    <row r="87" spans="1:57">
      <c r="A87" s="555"/>
      <c r="B87" s="719" t="s">
        <v>493</v>
      </c>
      <c r="C87" s="719"/>
      <c r="D87" s="721"/>
      <c r="E87" s="719">
        <v>215</v>
      </c>
      <c r="F87" s="722"/>
      <c r="G87" s="723"/>
      <c r="H87" s="719">
        <v>215</v>
      </c>
      <c r="I87" s="724"/>
      <c r="J87" s="724"/>
      <c r="K87" s="725"/>
      <c r="L87" s="725"/>
      <c r="M87" s="725"/>
      <c r="N87" s="725"/>
      <c r="O87" s="725"/>
      <c r="P87" s="725"/>
      <c r="Q87" s="725"/>
      <c r="R87" s="726"/>
      <c r="S87" s="727"/>
      <c r="T87" s="719"/>
      <c r="U87" s="726"/>
      <c r="V87" s="726"/>
      <c r="W87" s="727"/>
      <c r="X87" s="726"/>
      <c r="Y87" s="726"/>
      <c r="Z87" s="726"/>
      <c r="AA87" s="726"/>
      <c r="AB87" s="726"/>
      <c r="AC87" s="563"/>
      <c r="AD87" s="629">
        <f t="shared" si="6"/>
        <v>215</v>
      </c>
      <c r="AE87" s="629">
        <f t="shared" si="7"/>
        <v>215</v>
      </c>
      <c r="AF87" s="634">
        <f t="shared" si="8"/>
        <v>0</v>
      </c>
      <c r="AG87" s="43"/>
    </row>
    <row r="88" spans="1:57">
      <c r="A88" s="555"/>
      <c r="B88" s="719"/>
      <c r="C88" s="719"/>
      <c r="D88" s="721"/>
      <c r="E88" s="719"/>
      <c r="F88" s="722"/>
      <c r="G88" s="723"/>
      <c r="H88" s="719"/>
      <c r="I88" s="724"/>
      <c r="J88" s="724"/>
      <c r="K88" s="725"/>
      <c r="L88" s="725"/>
      <c r="M88" s="725"/>
      <c r="N88" s="725"/>
      <c r="O88" s="725"/>
      <c r="P88" s="725"/>
      <c r="Q88" s="725"/>
      <c r="R88" s="726"/>
      <c r="S88" s="727"/>
      <c r="T88" s="725"/>
      <c r="U88" s="726"/>
      <c r="V88" s="726"/>
      <c r="W88" s="727"/>
      <c r="X88" s="726"/>
      <c r="Y88" s="726"/>
      <c r="Z88" s="726"/>
      <c r="AA88" s="726"/>
      <c r="AB88" s="719"/>
      <c r="AC88" s="563"/>
      <c r="AD88" s="629">
        <f t="shared" si="6"/>
        <v>0</v>
      </c>
      <c r="AE88" s="629">
        <f t="shared" si="7"/>
        <v>0</v>
      </c>
      <c r="AF88" s="634">
        <f t="shared" si="8"/>
        <v>0</v>
      </c>
      <c r="AG88" s="43"/>
    </row>
    <row r="89" spans="1:57">
      <c r="A89" s="555"/>
      <c r="B89" s="719" t="s">
        <v>471</v>
      </c>
      <c r="C89" s="719"/>
      <c r="D89" s="721"/>
      <c r="E89" s="721">
        <v>55</v>
      </c>
      <c r="F89" s="728"/>
      <c r="G89" s="729"/>
      <c r="H89" s="724"/>
      <c r="I89" s="724"/>
      <c r="J89" s="724"/>
      <c r="K89" s="725"/>
      <c r="L89" s="725"/>
      <c r="M89" s="725"/>
      <c r="N89" s="725"/>
      <c r="O89" s="725"/>
      <c r="P89" s="725"/>
      <c r="Q89" s="725"/>
      <c r="R89" s="725"/>
      <c r="S89" s="725">
        <v>55</v>
      </c>
      <c r="T89" s="725"/>
      <c r="U89" s="725"/>
      <c r="V89" s="725"/>
      <c r="W89" s="725"/>
      <c r="X89" s="725"/>
      <c r="Y89" s="725"/>
      <c r="Z89" s="725"/>
      <c r="AA89" s="725"/>
      <c r="AB89" s="725"/>
      <c r="AC89" s="563"/>
      <c r="AD89" s="629">
        <f t="shared" si="6"/>
        <v>55</v>
      </c>
      <c r="AE89" s="629">
        <f t="shared" si="7"/>
        <v>55</v>
      </c>
      <c r="AF89" s="634">
        <f t="shared" si="8"/>
        <v>0</v>
      </c>
      <c r="AG89" s="43"/>
    </row>
    <row r="90" spans="1:57">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738"/>
      <c r="Y90" s="738"/>
      <c r="Z90" s="738"/>
      <c r="AA90" s="738"/>
      <c r="AB90" s="738"/>
      <c r="AC90" s="563"/>
      <c r="AD90" s="629">
        <f t="shared" si="6"/>
        <v>65</v>
      </c>
      <c r="AE90" s="629">
        <f t="shared" si="7"/>
        <v>65</v>
      </c>
      <c r="AF90" s="634">
        <f t="shared" si="8"/>
        <v>0</v>
      </c>
      <c r="AG90" s="43"/>
    </row>
    <row r="91" spans="1:57">
      <c r="A91" s="555"/>
      <c r="B91" s="605" t="s">
        <v>43</v>
      </c>
      <c r="C91" s="607"/>
      <c r="D91" s="608"/>
      <c r="E91" s="608">
        <v>65</v>
      </c>
      <c r="F91" s="608"/>
      <c r="G91" s="609"/>
      <c r="H91" s="585"/>
      <c r="I91" s="562"/>
      <c r="J91" s="562">
        <v>65</v>
      </c>
      <c r="K91" s="562"/>
      <c r="L91" s="562"/>
      <c r="M91" s="562"/>
      <c r="N91" s="602" t="s">
        <v>241</v>
      </c>
      <c r="O91" s="562"/>
      <c r="P91" s="562"/>
      <c r="Q91" s="562"/>
      <c r="R91" s="562"/>
      <c r="S91" s="562"/>
      <c r="T91" s="562"/>
      <c r="U91" s="562"/>
      <c r="V91" s="562"/>
      <c r="W91" s="562"/>
      <c r="X91" s="562"/>
      <c r="Y91" s="562"/>
      <c r="Z91" s="562"/>
      <c r="AA91" s="562"/>
      <c r="AB91" s="562"/>
      <c r="AC91" s="563"/>
      <c r="AD91" s="629">
        <f t="shared" si="6"/>
        <v>65</v>
      </c>
      <c r="AE91" s="629">
        <f t="shared" si="7"/>
        <v>65</v>
      </c>
      <c r="AF91" s="634">
        <f t="shared" si="8"/>
        <v>0</v>
      </c>
      <c r="AG91" s="43"/>
    </row>
    <row r="92" spans="1:57">
      <c r="A92" s="555"/>
      <c r="B92" s="605" t="s">
        <v>174</v>
      </c>
      <c r="C92" s="607"/>
      <c r="D92" s="739">
        <v>5.5</v>
      </c>
      <c r="E92" s="608"/>
      <c r="F92" s="609"/>
      <c r="G92" s="609"/>
      <c r="H92" s="603"/>
      <c r="I92" s="562"/>
      <c r="J92" s="562"/>
      <c r="K92" s="562"/>
      <c r="L92" s="562"/>
      <c r="M92" s="562"/>
      <c r="N92" s="562"/>
      <c r="O92" s="562"/>
      <c r="P92" s="562"/>
      <c r="Q92" s="562"/>
      <c r="R92" s="562"/>
      <c r="S92" s="562"/>
      <c r="T92" s="562"/>
      <c r="U92" s="562"/>
      <c r="V92" s="740">
        <v>5.5</v>
      </c>
      <c r="W92" s="562"/>
      <c r="X92" s="562"/>
      <c r="Y92" s="562"/>
      <c r="Z92" s="562"/>
      <c r="AA92" s="562"/>
      <c r="AB92" s="562"/>
      <c r="AC92" s="563"/>
      <c r="AD92" s="629">
        <f t="shared" si="6"/>
        <v>5.5</v>
      </c>
      <c r="AE92" s="629">
        <f t="shared" si="7"/>
        <v>5.5</v>
      </c>
      <c r="AF92" s="634">
        <f t="shared" si="8"/>
        <v>0</v>
      </c>
      <c r="AG92" s="43"/>
    </row>
    <row r="93" spans="1:57" ht="38.25">
      <c r="A93" s="555"/>
      <c r="B93" s="761" t="s">
        <v>496</v>
      </c>
      <c r="C93" s="719"/>
      <c r="D93" s="747">
        <v>50683.95</v>
      </c>
      <c r="E93" s="721"/>
      <c r="F93" s="609"/>
      <c r="G93" s="609"/>
      <c r="H93" s="603"/>
      <c r="I93" s="562"/>
      <c r="J93" s="562"/>
      <c r="K93" s="562"/>
      <c r="L93" s="562"/>
      <c r="M93" s="562"/>
      <c r="N93" s="562"/>
      <c r="O93" s="562"/>
      <c r="P93" s="562"/>
      <c r="Q93" s="562"/>
      <c r="R93" s="562"/>
      <c r="S93" s="562"/>
      <c r="T93" s="562"/>
      <c r="U93" s="562"/>
      <c r="V93" s="562"/>
      <c r="W93" s="562"/>
      <c r="X93" s="562">
        <v>50683.95</v>
      </c>
      <c r="Y93" s="562"/>
      <c r="Z93" s="562"/>
      <c r="AA93" s="562"/>
      <c r="AB93" s="562"/>
      <c r="AC93" s="563"/>
      <c r="AD93" s="629">
        <f t="shared" si="6"/>
        <v>50683.95</v>
      </c>
      <c r="AE93" s="629">
        <f t="shared" si="7"/>
        <v>50683.95</v>
      </c>
      <c r="AF93" s="634">
        <f t="shared" si="8"/>
        <v>0</v>
      </c>
      <c r="AG93" s="43"/>
    </row>
    <row r="94" spans="1:57">
      <c r="A94" s="555"/>
      <c r="B94" s="746" t="s">
        <v>481</v>
      </c>
      <c r="C94" s="607"/>
      <c r="D94" s="609">
        <v>7078.5</v>
      </c>
      <c r="E94" s="608"/>
      <c r="F94" s="609"/>
      <c r="G94" s="609"/>
      <c r="H94" s="603"/>
      <c r="I94" s="562"/>
      <c r="J94" s="562"/>
      <c r="K94" s="562"/>
      <c r="L94" s="562"/>
      <c r="M94" s="562"/>
      <c r="N94" s="562"/>
      <c r="O94" s="562"/>
      <c r="P94" s="562"/>
      <c r="Q94" s="562"/>
      <c r="R94" s="562"/>
      <c r="S94" s="562"/>
      <c r="T94" s="562"/>
      <c r="U94" s="562"/>
      <c r="V94" s="562"/>
      <c r="W94" s="562"/>
      <c r="X94" s="562"/>
      <c r="Y94" s="562">
        <v>7078.5</v>
      </c>
      <c r="Z94" s="562"/>
      <c r="AA94" s="562"/>
      <c r="AB94" s="562"/>
      <c r="AC94" s="563"/>
      <c r="AD94" s="629">
        <f t="shared" si="6"/>
        <v>7078.5</v>
      </c>
      <c r="AE94" s="629">
        <f t="shared" si="7"/>
        <v>7078.5</v>
      </c>
      <c r="AF94" s="634">
        <f t="shared" si="8"/>
        <v>0</v>
      </c>
      <c r="AG94" s="43"/>
    </row>
    <row r="95" spans="1:57">
      <c r="A95" s="555"/>
      <c r="B95" s="604"/>
      <c r="C95" s="607"/>
      <c r="D95" s="609"/>
      <c r="E95" s="608"/>
      <c r="F95" s="609"/>
      <c r="G95" s="609"/>
      <c r="H95" s="603"/>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6"/>
        <v>0</v>
      </c>
      <c r="AE95" s="629">
        <f t="shared" si="7"/>
        <v>0</v>
      </c>
      <c r="AF95" s="634">
        <f t="shared" si="8"/>
        <v>0</v>
      </c>
      <c r="AG95" s="43"/>
    </row>
    <row r="96" spans="1:57">
      <c r="A96" s="555"/>
      <c r="B96" s="604"/>
      <c r="C96" s="607"/>
      <c r="D96" s="609"/>
      <c r="E96" s="608"/>
      <c r="F96" s="609"/>
      <c r="G96" s="609"/>
      <c r="H96" s="603"/>
      <c r="I96" s="562"/>
      <c r="J96" s="562"/>
      <c r="K96" s="562"/>
      <c r="L96" s="562"/>
      <c r="M96" s="562"/>
      <c r="N96" s="562"/>
      <c r="O96" s="562"/>
      <c r="P96" s="562"/>
      <c r="Q96" s="562"/>
      <c r="R96" s="562"/>
      <c r="S96" s="562"/>
      <c r="T96" s="562"/>
      <c r="U96" s="562"/>
      <c r="V96" s="562"/>
      <c r="W96" s="562"/>
      <c r="X96" s="562"/>
      <c r="Y96" s="562"/>
      <c r="Z96" s="562"/>
      <c r="AA96" s="562"/>
      <c r="AB96" s="562"/>
      <c r="AC96" s="563"/>
      <c r="AD96" s="629">
        <f t="shared" si="6"/>
        <v>0</v>
      </c>
      <c r="AE96" s="629">
        <f t="shared" si="7"/>
        <v>0</v>
      </c>
      <c r="AF96" s="634">
        <f t="shared" si="8"/>
        <v>0</v>
      </c>
      <c r="AG96" s="43"/>
    </row>
    <row r="97" spans="1:33">
      <c r="A97" s="555"/>
      <c r="B97" s="604"/>
      <c r="C97" s="607"/>
      <c r="D97" s="609"/>
      <c r="E97" s="608"/>
      <c r="F97" s="609"/>
      <c r="G97" s="609"/>
      <c r="H97" s="603"/>
      <c r="I97" s="562"/>
      <c r="J97" s="562"/>
      <c r="K97" s="562"/>
      <c r="L97" s="562"/>
      <c r="M97" s="562"/>
      <c r="N97" s="562"/>
      <c r="O97" s="562"/>
      <c r="P97" s="562"/>
      <c r="Q97" s="562"/>
      <c r="R97" s="562"/>
      <c r="S97" s="562"/>
      <c r="T97" s="562"/>
      <c r="U97" s="562"/>
      <c r="V97" s="562"/>
      <c r="W97" s="562"/>
      <c r="X97" s="562"/>
      <c r="Y97" s="562"/>
      <c r="Z97" s="562"/>
      <c r="AA97" s="562"/>
      <c r="AB97" s="562"/>
      <c r="AC97" s="563"/>
      <c r="AD97" s="629">
        <f t="shared" si="6"/>
        <v>0</v>
      </c>
      <c r="AE97" s="629">
        <f t="shared" si="7"/>
        <v>0</v>
      </c>
      <c r="AF97" s="634">
        <f t="shared" si="8"/>
        <v>0</v>
      </c>
      <c r="AG97" s="43"/>
    </row>
    <row r="98" spans="1:33">
      <c r="A98" s="555"/>
      <c r="B98" s="604"/>
      <c r="C98" s="607"/>
      <c r="D98" s="609"/>
      <c r="E98" s="608"/>
      <c r="F98" s="609"/>
      <c r="G98" s="609"/>
      <c r="H98" s="603"/>
      <c r="I98" s="562"/>
      <c r="J98" s="562"/>
      <c r="K98" s="562"/>
      <c r="L98" s="562"/>
      <c r="M98" s="562"/>
      <c r="N98" s="562"/>
      <c r="O98" s="562"/>
      <c r="P98" s="562"/>
      <c r="Q98" s="562"/>
      <c r="R98" s="562"/>
      <c r="S98" s="562"/>
      <c r="T98" s="562"/>
      <c r="U98" s="562"/>
      <c r="V98" s="562"/>
      <c r="W98" s="562"/>
      <c r="X98" s="562"/>
      <c r="Y98" s="562"/>
      <c r="Z98" s="562"/>
      <c r="AA98" s="562"/>
      <c r="AB98" s="562"/>
      <c r="AC98" s="563"/>
      <c r="AD98" s="629">
        <f t="shared" si="6"/>
        <v>0</v>
      </c>
      <c r="AE98" s="629">
        <f t="shared" si="7"/>
        <v>0</v>
      </c>
      <c r="AF98" s="634">
        <f t="shared" si="8"/>
        <v>0</v>
      </c>
      <c r="AG98" s="43"/>
    </row>
    <row r="99" spans="1:33">
      <c r="A99" s="555"/>
      <c r="B99" s="604"/>
      <c r="C99" s="607"/>
      <c r="D99" s="609"/>
      <c r="E99" s="608"/>
      <c r="F99" s="609"/>
      <c r="G99" s="609"/>
      <c r="H99" s="603"/>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6"/>
        <v>0</v>
      </c>
      <c r="AE99" s="629">
        <f t="shared" si="7"/>
        <v>0</v>
      </c>
      <c r="AF99" s="634">
        <f t="shared" si="8"/>
        <v>0</v>
      </c>
      <c r="AG99" s="43"/>
    </row>
    <row r="100" spans="1:33">
      <c r="A100" s="555"/>
      <c r="B100" s="604"/>
      <c r="C100" s="607"/>
      <c r="D100" s="609"/>
      <c r="E100" s="608"/>
      <c r="F100" s="609"/>
      <c r="G100" s="609"/>
      <c r="H100" s="603"/>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6"/>
        <v>0</v>
      </c>
      <c r="AE100" s="629">
        <f t="shared" si="7"/>
        <v>0</v>
      </c>
      <c r="AF100" s="634">
        <f t="shared" si="8"/>
        <v>0</v>
      </c>
      <c r="AG100" s="43"/>
    </row>
    <row r="101" spans="1:33">
      <c r="A101" s="555"/>
      <c r="B101" s="604"/>
      <c r="C101" s="607"/>
      <c r="D101" s="609"/>
      <c r="E101" s="608"/>
      <c r="F101" s="609"/>
      <c r="G101" s="609"/>
      <c r="H101" s="603"/>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6"/>
        <v>0</v>
      </c>
      <c r="AE101" s="629">
        <f t="shared" si="7"/>
        <v>0</v>
      </c>
      <c r="AF101" s="634">
        <f t="shared" si="8"/>
        <v>0</v>
      </c>
      <c r="AG101" s="43"/>
    </row>
    <row r="102" spans="1:33">
      <c r="A102" s="555"/>
      <c r="B102" s="604"/>
      <c r="C102" s="607"/>
      <c r="D102" s="609"/>
      <c r="E102" s="608"/>
      <c r="F102" s="609"/>
      <c r="G102" s="609"/>
      <c r="H102" s="603"/>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6"/>
        <v>0</v>
      </c>
      <c r="AE102" s="629">
        <f t="shared" si="7"/>
        <v>0</v>
      </c>
      <c r="AF102" s="634">
        <f t="shared" si="8"/>
        <v>0</v>
      </c>
      <c r="AG102" s="43"/>
    </row>
    <row r="103" spans="1:33">
      <c r="A103" s="555"/>
      <c r="B103" s="604"/>
      <c r="C103" s="607"/>
      <c r="D103" s="609"/>
      <c r="E103" s="608"/>
      <c r="F103" s="609"/>
      <c r="G103" s="609"/>
      <c r="H103" s="603"/>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6"/>
        <v>0</v>
      </c>
      <c r="AE103" s="629">
        <f t="shared" si="7"/>
        <v>0</v>
      </c>
      <c r="AF103" s="634">
        <f t="shared" si="8"/>
        <v>0</v>
      </c>
      <c r="AG103" s="43"/>
    </row>
    <row r="104" spans="1:33">
      <c r="A104" s="555"/>
      <c r="B104" s="604"/>
      <c r="C104" s="607"/>
      <c r="D104" s="609"/>
      <c r="E104" s="608"/>
      <c r="F104" s="609"/>
      <c r="G104" s="609"/>
      <c r="H104" s="603"/>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6"/>
        <v>0</v>
      </c>
      <c r="AE104" s="629">
        <f t="shared" si="7"/>
        <v>0</v>
      </c>
      <c r="AF104" s="634">
        <f t="shared" si="8"/>
        <v>0</v>
      </c>
      <c r="AG104" s="43"/>
    </row>
    <row r="105" spans="1:33">
      <c r="A105" s="555"/>
      <c r="B105" s="604"/>
      <c r="C105" s="607"/>
      <c r="D105" s="609"/>
      <c r="E105" s="608"/>
      <c r="F105" s="609"/>
      <c r="G105" s="609"/>
      <c r="H105" s="603"/>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6"/>
        <v>0</v>
      </c>
      <c r="AE105" s="629">
        <f t="shared" si="7"/>
        <v>0</v>
      </c>
      <c r="AF105" s="634">
        <f t="shared" si="8"/>
        <v>0</v>
      </c>
      <c r="AG105" s="43"/>
    </row>
    <row r="106" spans="1:33">
      <c r="A106" s="555"/>
      <c r="B106" s="604"/>
      <c r="C106" s="607"/>
      <c r="D106" s="609"/>
      <c r="E106" s="608"/>
      <c r="F106" s="609"/>
      <c r="G106" s="609"/>
      <c r="H106" s="603"/>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6"/>
        <v>0</v>
      </c>
      <c r="AE106" s="629">
        <f t="shared" si="7"/>
        <v>0</v>
      </c>
      <c r="AF106" s="634">
        <f t="shared" si="8"/>
        <v>0</v>
      </c>
      <c r="AG106" s="43"/>
    </row>
    <row r="107" spans="1:33" ht="13.5" thickBot="1">
      <c r="A107" s="555"/>
      <c r="B107" s="604"/>
      <c r="C107" s="607"/>
      <c r="D107" s="609"/>
      <c r="E107" s="608"/>
      <c r="F107" s="609"/>
      <c r="G107" s="609"/>
      <c r="H107" s="603"/>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6"/>
        <v>0</v>
      </c>
      <c r="AE107" s="629">
        <f t="shared" si="7"/>
        <v>0</v>
      </c>
      <c r="AF107" s="634">
        <f t="shared" si="8"/>
        <v>0</v>
      </c>
      <c r="AG107" s="43"/>
    </row>
    <row r="108" spans="1:33" hidden="1">
      <c r="A108" s="555"/>
      <c r="B108" s="604"/>
      <c r="C108" s="607"/>
      <c r="D108" s="609"/>
      <c r="E108" s="608"/>
      <c r="F108" s="609"/>
      <c r="G108" s="609"/>
      <c r="H108" s="603"/>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6"/>
        <v>0</v>
      </c>
      <c r="AE108" s="629">
        <f t="shared" si="7"/>
        <v>0</v>
      </c>
      <c r="AF108" s="634">
        <f t="shared" si="8"/>
        <v>0</v>
      </c>
      <c r="AG108" s="43"/>
    </row>
    <row r="109" spans="1:33" hidden="1">
      <c r="A109" s="555"/>
      <c r="B109" s="604"/>
      <c r="C109" s="607"/>
      <c r="D109" s="609"/>
      <c r="E109" s="608"/>
      <c r="F109" s="609"/>
      <c r="G109" s="609"/>
      <c r="H109" s="603"/>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6"/>
        <v>0</v>
      </c>
      <c r="AE109" s="629">
        <f t="shared" si="7"/>
        <v>0</v>
      </c>
      <c r="AF109" s="634">
        <f t="shared" si="8"/>
        <v>0</v>
      </c>
      <c r="AG109" s="43"/>
    </row>
    <row r="110" spans="1:33" hidden="1">
      <c r="A110" s="555"/>
      <c r="B110" s="604"/>
      <c r="C110" s="607"/>
      <c r="D110" s="609"/>
      <c r="E110" s="608"/>
      <c r="F110" s="609"/>
      <c r="G110" s="609"/>
      <c r="H110" s="603"/>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6"/>
        <v>0</v>
      </c>
      <c r="AE110" s="629">
        <f t="shared" si="7"/>
        <v>0</v>
      </c>
      <c r="AF110" s="634">
        <f t="shared" si="8"/>
        <v>0</v>
      </c>
      <c r="AG110" s="43"/>
    </row>
    <row r="111" spans="1:33" hidden="1">
      <c r="A111" s="555"/>
      <c r="B111" s="604"/>
      <c r="C111" s="607"/>
      <c r="D111" s="609"/>
      <c r="E111" s="608"/>
      <c r="F111" s="609"/>
      <c r="G111" s="609"/>
      <c r="H111" s="603"/>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6"/>
        <v>0</v>
      </c>
      <c r="AE111" s="629">
        <f t="shared" si="7"/>
        <v>0</v>
      </c>
      <c r="AF111" s="634">
        <f t="shared" si="8"/>
        <v>0</v>
      </c>
      <c r="AG111" s="43"/>
    </row>
    <row r="112" spans="1:33" hidden="1">
      <c r="A112" s="555"/>
      <c r="B112" s="604"/>
      <c r="C112" s="607"/>
      <c r="D112" s="609"/>
      <c r="E112" s="608"/>
      <c r="F112" s="609"/>
      <c r="G112" s="609"/>
      <c r="H112" s="603"/>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6"/>
        <v>0</v>
      </c>
      <c r="AE112" s="629">
        <f t="shared" si="7"/>
        <v>0</v>
      </c>
      <c r="AF112" s="634">
        <f t="shared" si="8"/>
        <v>0</v>
      </c>
      <c r="AG112" s="43"/>
    </row>
    <row r="113" spans="1:33" hidden="1">
      <c r="A113" s="555"/>
      <c r="B113" s="604"/>
      <c r="C113" s="607"/>
      <c r="D113" s="609"/>
      <c r="E113" s="608"/>
      <c r="F113" s="609"/>
      <c r="G113" s="609"/>
      <c r="H113" s="603"/>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6"/>
        <v>0</v>
      </c>
      <c r="AE113" s="629">
        <f t="shared" si="7"/>
        <v>0</v>
      </c>
      <c r="AF113" s="634">
        <f t="shared" si="8"/>
        <v>0</v>
      </c>
      <c r="AG113" s="43"/>
    </row>
    <row r="114" spans="1:33" hidden="1">
      <c r="A114" s="555"/>
      <c r="B114" s="604"/>
      <c r="C114" s="607"/>
      <c r="D114" s="609"/>
      <c r="E114" s="608"/>
      <c r="F114" s="609"/>
      <c r="G114" s="609"/>
      <c r="H114" s="603"/>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6"/>
        <v>0</v>
      </c>
      <c r="AE114" s="629">
        <f t="shared" si="7"/>
        <v>0</v>
      </c>
      <c r="AF114" s="634">
        <f t="shared" si="8"/>
        <v>0</v>
      </c>
      <c r="AG114" s="43"/>
    </row>
    <row r="115" spans="1:33" hidden="1">
      <c r="A115" s="555"/>
      <c r="B115" s="604"/>
      <c r="C115" s="607"/>
      <c r="D115" s="609"/>
      <c r="E115" s="608"/>
      <c r="F115" s="609"/>
      <c r="G115" s="609"/>
      <c r="H115" s="603"/>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6"/>
        <v>0</v>
      </c>
      <c r="AE115" s="629">
        <f t="shared" si="7"/>
        <v>0</v>
      </c>
      <c r="AF115" s="634">
        <f t="shared" si="8"/>
        <v>0</v>
      </c>
      <c r="AG115" s="43"/>
    </row>
    <row r="116" spans="1:33" hidden="1">
      <c r="A116" s="555"/>
      <c r="B116" s="604"/>
      <c r="C116" s="607"/>
      <c r="D116" s="609"/>
      <c r="E116" s="608"/>
      <c r="F116" s="609"/>
      <c r="G116" s="609"/>
      <c r="H116" s="603"/>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6"/>
        <v>0</v>
      </c>
      <c r="AE116" s="629">
        <f t="shared" si="7"/>
        <v>0</v>
      </c>
      <c r="AF116" s="634">
        <f t="shared" si="8"/>
        <v>0</v>
      </c>
      <c r="AG116" s="43"/>
    </row>
    <row r="117" spans="1:33" hidden="1">
      <c r="A117" s="555"/>
      <c r="B117" s="604"/>
      <c r="C117" s="607"/>
      <c r="D117" s="609"/>
      <c r="E117" s="608"/>
      <c r="F117" s="609"/>
      <c r="G117" s="609"/>
      <c r="H117" s="603"/>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6"/>
        <v>0</v>
      </c>
      <c r="AE117" s="629">
        <f t="shared" si="7"/>
        <v>0</v>
      </c>
      <c r="AF117" s="634">
        <f t="shared" si="8"/>
        <v>0</v>
      </c>
      <c r="AG117" s="43"/>
    </row>
    <row r="118" spans="1:33" hidden="1">
      <c r="A118" s="555"/>
      <c r="B118" s="604"/>
      <c r="C118" s="607"/>
      <c r="D118" s="609"/>
      <c r="E118" s="608"/>
      <c r="F118" s="609"/>
      <c r="G118" s="609"/>
      <c r="H118" s="603"/>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6"/>
        <v>0</v>
      </c>
      <c r="AE118" s="629">
        <f t="shared" si="7"/>
        <v>0</v>
      </c>
      <c r="AF118" s="634">
        <f t="shared" si="8"/>
        <v>0</v>
      </c>
      <c r="AG118" s="43"/>
    </row>
    <row r="119" spans="1:33" hidden="1">
      <c r="A119" s="555"/>
      <c r="B119" s="604"/>
      <c r="C119" s="607"/>
      <c r="D119" s="609"/>
      <c r="E119" s="608"/>
      <c r="F119" s="609"/>
      <c r="G119" s="609"/>
      <c r="H119" s="603"/>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6"/>
        <v>0</v>
      </c>
      <c r="AE119" s="629">
        <f t="shared" si="7"/>
        <v>0</v>
      </c>
      <c r="AF119" s="634">
        <f t="shared" si="8"/>
        <v>0</v>
      </c>
      <c r="AG119" s="43"/>
    </row>
    <row r="120" spans="1:33" hidden="1">
      <c r="A120" s="555"/>
      <c r="B120" s="604"/>
      <c r="C120" s="607"/>
      <c r="D120" s="609"/>
      <c r="E120" s="608"/>
      <c r="F120" s="609"/>
      <c r="G120" s="609"/>
      <c r="H120" s="603"/>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6"/>
        <v>0</v>
      </c>
      <c r="AE120" s="629">
        <f t="shared" si="7"/>
        <v>0</v>
      </c>
      <c r="AF120" s="634">
        <f t="shared" si="8"/>
        <v>0</v>
      </c>
      <c r="AG120" s="43"/>
    </row>
    <row r="121" spans="1:33" hidden="1">
      <c r="A121" s="555"/>
      <c r="B121" s="604"/>
      <c r="C121" s="607"/>
      <c r="D121" s="609"/>
      <c r="E121" s="608"/>
      <c r="F121" s="609"/>
      <c r="G121" s="609"/>
      <c r="H121" s="603"/>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6"/>
        <v>0</v>
      </c>
      <c r="AE121" s="629">
        <f t="shared" si="7"/>
        <v>0</v>
      </c>
      <c r="AF121" s="634">
        <f t="shared" si="8"/>
        <v>0</v>
      </c>
      <c r="AG121" s="43"/>
    </row>
    <row r="122" spans="1:33" hidden="1">
      <c r="A122" s="555"/>
      <c r="B122" s="604"/>
      <c r="C122" s="607"/>
      <c r="D122" s="609"/>
      <c r="E122" s="608"/>
      <c r="F122" s="609"/>
      <c r="G122" s="609"/>
      <c r="H122" s="603"/>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6"/>
        <v>0</v>
      </c>
      <c r="AE122" s="629">
        <f t="shared" si="7"/>
        <v>0</v>
      </c>
      <c r="AF122" s="634">
        <f t="shared" si="8"/>
        <v>0</v>
      </c>
      <c r="AG122" s="43"/>
    </row>
    <row r="123" spans="1:33" hidden="1">
      <c r="A123" s="555"/>
      <c r="B123" s="604"/>
      <c r="C123" s="607"/>
      <c r="D123" s="609"/>
      <c r="E123" s="608"/>
      <c r="F123" s="609"/>
      <c r="G123" s="609"/>
      <c r="H123" s="603"/>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6"/>
        <v>0</v>
      </c>
      <c r="AE123" s="629">
        <f t="shared" si="7"/>
        <v>0</v>
      </c>
      <c r="AF123" s="634">
        <f t="shared" si="8"/>
        <v>0</v>
      </c>
      <c r="AG123" s="43"/>
    </row>
    <row r="124" spans="1:33" hidden="1">
      <c r="A124" s="555"/>
      <c r="B124" s="604"/>
      <c r="C124" s="607"/>
      <c r="D124" s="609"/>
      <c r="E124" s="608"/>
      <c r="F124" s="609"/>
      <c r="G124" s="609"/>
      <c r="H124" s="603"/>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6"/>
        <v>0</v>
      </c>
      <c r="AE124" s="629">
        <f t="shared" si="7"/>
        <v>0</v>
      </c>
      <c r="AF124" s="634">
        <f t="shared" si="8"/>
        <v>0</v>
      </c>
      <c r="AG124" s="43"/>
    </row>
    <row r="125" spans="1:33" hidden="1">
      <c r="A125" s="555"/>
      <c r="B125" s="604"/>
      <c r="C125" s="607"/>
      <c r="D125" s="609"/>
      <c r="E125" s="608"/>
      <c r="F125" s="609"/>
      <c r="G125" s="609"/>
      <c r="H125" s="603"/>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6"/>
        <v>0</v>
      </c>
      <c r="AE125" s="629">
        <f t="shared" si="7"/>
        <v>0</v>
      </c>
      <c r="AF125" s="634">
        <f t="shared" si="8"/>
        <v>0</v>
      </c>
      <c r="AG125" s="43"/>
    </row>
    <row r="126" spans="1:33" hidden="1">
      <c r="A126" s="555"/>
      <c r="B126" s="604"/>
      <c r="C126" s="607"/>
      <c r="D126" s="609"/>
      <c r="E126" s="608"/>
      <c r="F126" s="609"/>
      <c r="G126" s="609"/>
      <c r="H126" s="603"/>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6"/>
        <v>0</v>
      </c>
      <c r="AE126" s="629">
        <f t="shared" si="7"/>
        <v>0</v>
      </c>
      <c r="AF126" s="634">
        <f t="shared" si="8"/>
        <v>0</v>
      </c>
      <c r="AG126" s="43"/>
    </row>
    <row r="127" spans="1:33" hidden="1">
      <c r="A127" s="555"/>
      <c r="B127" s="604"/>
      <c r="C127" s="607"/>
      <c r="D127" s="609"/>
      <c r="E127" s="608"/>
      <c r="F127" s="609"/>
      <c r="G127" s="609"/>
      <c r="H127" s="603"/>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6"/>
        <v>0</v>
      </c>
      <c r="AE127" s="629">
        <f t="shared" si="7"/>
        <v>0</v>
      </c>
      <c r="AF127" s="634">
        <f t="shared" si="8"/>
        <v>0</v>
      </c>
      <c r="AG127" s="43"/>
    </row>
    <row r="128" spans="1:33" hidden="1">
      <c r="A128" s="555"/>
      <c r="B128" s="604"/>
      <c r="C128" s="607"/>
      <c r="D128" s="609"/>
      <c r="E128" s="608"/>
      <c r="F128" s="609"/>
      <c r="G128" s="609"/>
      <c r="H128" s="603"/>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6"/>
        <v>0</v>
      </c>
      <c r="AE128" s="629">
        <f t="shared" si="7"/>
        <v>0</v>
      </c>
      <c r="AF128" s="634">
        <f t="shared" si="8"/>
        <v>0</v>
      </c>
      <c r="AG128" s="43"/>
    </row>
    <row r="129" spans="1:33" hidden="1">
      <c r="A129" s="555"/>
      <c r="B129" s="604"/>
      <c r="C129" s="607"/>
      <c r="D129" s="609"/>
      <c r="E129" s="608"/>
      <c r="F129" s="609"/>
      <c r="G129" s="609"/>
      <c r="H129" s="603"/>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6"/>
        <v>0</v>
      </c>
      <c r="AE129" s="629">
        <f t="shared" si="7"/>
        <v>0</v>
      </c>
      <c r="AF129" s="634">
        <f t="shared" si="8"/>
        <v>0</v>
      </c>
      <c r="AG129" s="43"/>
    </row>
    <row r="130" spans="1:33" hidden="1">
      <c r="A130" s="555"/>
      <c r="B130" s="604"/>
      <c r="C130" s="607"/>
      <c r="D130" s="609"/>
      <c r="E130" s="608"/>
      <c r="F130" s="609"/>
      <c r="G130" s="609"/>
      <c r="H130" s="603"/>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6"/>
        <v>0</v>
      </c>
      <c r="AE130" s="629">
        <f t="shared" si="7"/>
        <v>0</v>
      </c>
      <c r="AF130" s="634">
        <f t="shared" si="8"/>
        <v>0</v>
      </c>
      <c r="AG130" s="43"/>
    </row>
    <row r="131" spans="1:33" hidden="1">
      <c r="A131" s="555"/>
      <c r="B131" s="604"/>
      <c r="C131" s="607"/>
      <c r="D131" s="609"/>
      <c r="E131" s="608"/>
      <c r="F131" s="609"/>
      <c r="G131" s="609"/>
      <c r="H131" s="603"/>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6"/>
        <v>0</v>
      </c>
      <c r="AE131" s="629">
        <f t="shared" si="7"/>
        <v>0</v>
      </c>
      <c r="AF131" s="634">
        <f t="shared" si="8"/>
        <v>0</v>
      </c>
      <c r="AG131" s="43"/>
    </row>
    <row r="132" spans="1:33" hidden="1">
      <c r="A132" s="555"/>
      <c r="B132" s="604"/>
      <c r="C132" s="607"/>
      <c r="D132" s="609"/>
      <c r="E132" s="608"/>
      <c r="F132" s="609"/>
      <c r="G132" s="609"/>
      <c r="H132" s="603"/>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6"/>
        <v>0</v>
      </c>
      <c r="AE132" s="629">
        <f t="shared" si="7"/>
        <v>0</v>
      </c>
      <c r="AF132" s="634">
        <f t="shared" si="8"/>
        <v>0</v>
      </c>
      <c r="AG132" s="43"/>
    </row>
    <row r="133" spans="1:33" hidden="1">
      <c r="A133" s="555"/>
      <c r="B133" s="604"/>
      <c r="C133" s="607"/>
      <c r="D133" s="609"/>
      <c r="E133" s="608"/>
      <c r="F133" s="609"/>
      <c r="G133" s="609"/>
      <c r="H133" s="603"/>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6"/>
        <v>0</v>
      </c>
      <c r="AE133" s="629">
        <f t="shared" si="7"/>
        <v>0</v>
      </c>
      <c r="AF133" s="634">
        <f t="shared" si="8"/>
        <v>0</v>
      </c>
      <c r="AG133" s="43"/>
    </row>
    <row r="134" spans="1:33" hidden="1">
      <c r="A134" s="555"/>
      <c r="B134" s="604"/>
      <c r="C134" s="607"/>
      <c r="D134" s="609"/>
      <c r="E134" s="608"/>
      <c r="F134" s="609"/>
      <c r="G134" s="609"/>
      <c r="H134" s="603"/>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6"/>
        <v>0</v>
      </c>
      <c r="AE134" s="629">
        <f t="shared" si="7"/>
        <v>0</v>
      </c>
      <c r="AF134" s="634">
        <f t="shared" si="8"/>
        <v>0</v>
      </c>
      <c r="AG134" s="43"/>
    </row>
    <row r="135" spans="1:33" hidden="1">
      <c r="A135" s="555"/>
      <c r="B135" s="604"/>
      <c r="C135" s="607"/>
      <c r="D135" s="609"/>
      <c r="E135" s="608"/>
      <c r="F135" s="609"/>
      <c r="G135" s="609"/>
      <c r="H135" s="603"/>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6"/>
        <v>0</v>
      </c>
      <c r="AE135" s="629">
        <f t="shared" si="7"/>
        <v>0</v>
      </c>
      <c r="AF135" s="634">
        <f t="shared" si="8"/>
        <v>0</v>
      </c>
      <c r="AG135" s="43"/>
    </row>
    <row r="136" spans="1:33" hidden="1">
      <c r="A136" s="555"/>
      <c r="B136" s="604"/>
      <c r="C136" s="607"/>
      <c r="D136" s="609"/>
      <c r="E136" s="608"/>
      <c r="F136" s="609"/>
      <c r="G136" s="609"/>
      <c r="H136" s="603"/>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6"/>
        <v>0</v>
      </c>
      <c r="AE136" s="629">
        <f t="shared" si="7"/>
        <v>0</v>
      </c>
      <c r="AF136" s="634">
        <f t="shared" si="8"/>
        <v>0</v>
      </c>
      <c r="AG136" s="43"/>
    </row>
    <row r="137" spans="1:33" hidden="1">
      <c r="A137" s="555"/>
      <c r="B137" s="604"/>
      <c r="C137" s="607"/>
      <c r="D137" s="609"/>
      <c r="E137" s="608"/>
      <c r="F137" s="609"/>
      <c r="G137" s="609"/>
      <c r="H137" s="603"/>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6"/>
        <v>0</v>
      </c>
      <c r="AE137" s="629">
        <f t="shared" si="7"/>
        <v>0</v>
      </c>
      <c r="AF137" s="634">
        <f t="shared" si="8"/>
        <v>0</v>
      </c>
      <c r="AG137" s="43"/>
    </row>
    <row r="138" spans="1:33" hidden="1">
      <c r="A138" s="555"/>
      <c r="B138" s="604"/>
      <c r="C138" s="607"/>
      <c r="D138" s="609"/>
      <c r="E138" s="608"/>
      <c r="F138" s="609"/>
      <c r="G138" s="609"/>
      <c r="H138" s="603"/>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6"/>
        <v>0</v>
      </c>
      <c r="AE138" s="629">
        <f t="shared" si="7"/>
        <v>0</v>
      </c>
      <c r="AF138" s="634">
        <f t="shared" si="8"/>
        <v>0</v>
      </c>
      <c r="AG138" s="43"/>
    </row>
    <row r="139" spans="1:33" hidden="1">
      <c r="A139" s="555"/>
      <c r="B139" s="604"/>
      <c r="C139" s="607"/>
      <c r="D139" s="609"/>
      <c r="E139" s="608"/>
      <c r="F139" s="609"/>
      <c r="G139" s="609"/>
      <c r="H139" s="603"/>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6"/>
        <v>0</v>
      </c>
      <c r="AE139" s="629">
        <f t="shared" si="7"/>
        <v>0</v>
      </c>
      <c r="AF139" s="634">
        <f t="shared" si="8"/>
        <v>0</v>
      </c>
      <c r="AG139" s="43"/>
    </row>
    <row r="140" spans="1:33" hidden="1">
      <c r="A140" s="555"/>
      <c r="B140" s="604"/>
      <c r="C140" s="607"/>
      <c r="D140" s="609"/>
      <c r="E140" s="608"/>
      <c r="F140" s="609"/>
      <c r="G140" s="609"/>
      <c r="H140" s="603"/>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6"/>
        <v>0</v>
      </c>
      <c r="AE140" s="629">
        <f t="shared" si="7"/>
        <v>0</v>
      </c>
      <c r="AF140" s="634">
        <f t="shared" si="8"/>
        <v>0</v>
      </c>
      <c r="AG140" s="43"/>
    </row>
    <row r="141" spans="1:33" hidden="1">
      <c r="A141" s="555"/>
      <c r="B141" s="604"/>
      <c r="C141" s="607"/>
      <c r="D141" s="609"/>
      <c r="E141" s="608"/>
      <c r="F141" s="609"/>
      <c r="G141" s="609"/>
      <c r="H141" s="603"/>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6"/>
        <v>0</v>
      </c>
      <c r="AE141" s="629">
        <f t="shared" si="7"/>
        <v>0</v>
      </c>
      <c r="AF141" s="634">
        <f t="shared" si="8"/>
        <v>0</v>
      </c>
      <c r="AG141" s="43"/>
    </row>
    <row r="142" spans="1:33" hidden="1">
      <c r="A142" s="555"/>
      <c r="B142" s="604"/>
      <c r="C142" s="607"/>
      <c r="D142" s="609"/>
      <c r="E142" s="608"/>
      <c r="F142" s="609"/>
      <c r="G142" s="609"/>
      <c r="H142" s="603"/>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6"/>
        <v>0</v>
      </c>
      <c r="AE142" s="629">
        <f t="shared" si="7"/>
        <v>0</v>
      </c>
      <c r="AF142" s="634">
        <f t="shared" si="8"/>
        <v>0</v>
      </c>
      <c r="AG142" s="43"/>
    </row>
    <row r="143" spans="1:33" hidden="1">
      <c r="A143" s="555"/>
      <c r="B143" s="604"/>
      <c r="C143" s="607"/>
      <c r="D143" s="609"/>
      <c r="E143" s="608"/>
      <c r="F143" s="609"/>
      <c r="G143" s="609"/>
      <c r="H143" s="603"/>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6"/>
        <v>0</v>
      </c>
      <c r="AE143" s="629">
        <f t="shared" si="7"/>
        <v>0</v>
      </c>
      <c r="AF143" s="634">
        <f t="shared" si="8"/>
        <v>0</v>
      </c>
      <c r="AG143" s="43"/>
    </row>
    <row r="144" spans="1:33" hidden="1">
      <c r="A144" s="555"/>
      <c r="B144" s="604"/>
      <c r="C144" s="607"/>
      <c r="D144" s="609"/>
      <c r="E144" s="608"/>
      <c r="F144" s="609"/>
      <c r="G144" s="609"/>
      <c r="H144" s="603"/>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si="6"/>
        <v>0</v>
      </c>
      <c r="AE144" s="629">
        <f t="shared" si="7"/>
        <v>0</v>
      </c>
      <c r="AF144" s="634">
        <f t="shared" si="8"/>
        <v>0</v>
      </c>
      <c r="AG144" s="43"/>
    </row>
    <row r="145" spans="1:57" hidden="1">
      <c r="A145" s="555"/>
      <c r="B145" s="604"/>
      <c r="C145" s="607"/>
      <c r="D145" s="609"/>
      <c r="E145" s="608"/>
      <c r="F145" s="609"/>
      <c r="G145" s="609"/>
      <c r="H145" s="603"/>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ref="AD145:AD196" si="9">SUM(G145:AC145)</f>
        <v>0</v>
      </c>
      <c r="AE145" s="629">
        <f t="shared" ref="AE145:AE196" si="10">SUM(D145:F145)</f>
        <v>0</v>
      </c>
      <c r="AF145" s="634">
        <f t="shared" ref="AF145:AF196" si="11">AD145-AE145</f>
        <v>0</v>
      </c>
      <c r="AG145" s="43"/>
    </row>
    <row r="146" spans="1:57" hidden="1">
      <c r="A146" s="555"/>
      <c r="B146" s="604"/>
      <c r="C146" s="607"/>
      <c r="D146" s="609"/>
      <c r="E146" s="608"/>
      <c r="F146" s="609"/>
      <c r="G146" s="609"/>
      <c r="H146" s="603"/>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9"/>
        <v>0</v>
      </c>
      <c r="AE146" s="629">
        <f t="shared" si="10"/>
        <v>0</v>
      </c>
      <c r="AF146" s="634">
        <f t="shared" si="11"/>
        <v>0</v>
      </c>
      <c r="AG146" s="43"/>
    </row>
    <row r="147" spans="1:57" hidden="1">
      <c r="A147" s="555"/>
      <c r="B147" s="604"/>
      <c r="C147" s="607"/>
      <c r="D147" s="609"/>
      <c r="E147" s="608"/>
      <c r="F147" s="609"/>
      <c r="G147" s="609"/>
      <c r="H147" s="603"/>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9"/>
        <v>0</v>
      </c>
      <c r="AE147" s="629">
        <f t="shared" si="10"/>
        <v>0</v>
      </c>
      <c r="AF147" s="634">
        <f t="shared" si="11"/>
        <v>0</v>
      </c>
      <c r="AG147" s="43"/>
    </row>
    <row r="148" spans="1:57" hidden="1">
      <c r="A148" s="555"/>
      <c r="B148" s="604"/>
      <c r="C148" s="607"/>
      <c r="D148" s="609"/>
      <c r="E148" s="608"/>
      <c r="F148" s="609"/>
      <c r="G148" s="609"/>
      <c r="H148" s="603"/>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9"/>
        <v>0</v>
      </c>
      <c r="AE148" s="629">
        <f t="shared" si="10"/>
        <v>0</v>
      </c>
      <c r="AF148" s="634">
        <f t="shared" si="11"/>
        <v>0</v>
      </c>
      <c r="AG148" s="43"/>
    </row>
    <row r="149" spans="1:57" hidden="1">
      <c r="A149" s="555"/>
      <c r="B149" s="604"/>
      <c r="C149" s="607"/>
      <c r="D149" s="609"/>
      <c r="E149" s="608"/>
      <c r="F149" s="609"/>
      <c r="G149" s="609"/>
      <c r="H149" s="603"/>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9"/>
        <v>0</v>
      </c>
      <c r="AE149" s="629">
        <f t="shared" si="10"/>
        <v>0</v>
      </c>
      <c r="AF149" s="634">
        <f t="shared" si="11"/>
        <v>0</v>
      </c>
      <c r="AG149" s="43"/>
    </row>
    <row r="150" spans="1:57" hidden="1">
      <c r="A150" s="555"/>
      <c r="B150" s="604"/>
      <c r="C150" s="607"/>
      <c r="D150" s="609"/>
      <c r="E150" s="608"/>
      <c r="F150" s="609"/>
      <c r="G150" s="609"/>
      <c r="H150" s="603"/>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9"/>
        <v>0</v>
      </c>
      <c r="AE150" s="629">
        <f t="shared" si="10"/>
        <v>0</v>
      </c>
      <c r="AF150" s="634">
        <f t="shared" si="11"/>
        <v>0</v>
      </c>
      <c r="AG150" s="43"/>
    </row>
    <row r="151" spans="1:57" hidden="1">
      <c r="A151" s="555"/>
      <c r="B151" s="604"/>
      <c r="C151" s="607"/>
      <c r="D151" s="609"/>
      <c r="E151" s="608"/>
      <c r="F151" s="609"/>
      <c r="G151" s="609"/>
      <c r="H151" s="603"/>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9"/>
        <v>0</v>
      </c>
      <c r="AE151" s="629">
        <f t="shared" si="10"/>
        <v>0</v>
      </c>
      <c r="AF151" s="634">
        <f t="shared" si="11"/>
        <v>0</v>
      </c>
      <c r="AG151" s="43"/>
    </row>
    <row r="152" spans="1:57" hidden="1">
      <c r="A152" s="555"/>
      <c r="B152" s="604"/>
      <c r="C152" s="607"/>
      <c r="D152" s="609"/>
      <c r="E152" s="608"/>
      <c r="F152" s="609"/>
      <c r="G152" s="609"/>
      <c r="H152" s="603"/>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9"/>
        <v>0</v>
      </c>
      <c r="AE152" s="629">
        <f t="shared" si="10"/>
        <v>0</v>
      </c>
      <c r="AF152" s="634">
        <f t="shared" si="11"/>
        <v>0</v>
      </c>
      <c r="AG152" s="43"/>
    </row>
    <row r="153" spans="1:57" hidden="1">
      <c r="A153" s="555"/>
      <c r="B153" s="604"/>
      <c r="C153" s="607"/>
      <c r="D153" s="609"/>
      <c r="E153" s="608"/>
      <c r="F153" s="609"/>
      <c r="G153" s="609"/>
      <c r="H153" s="603"/>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9"/>
        <v>0</v>
      </c>
      <c r="AE153" s="629">
        <f t="shared" si="10"/>
        <v>0</v>
      </c>
      <c r="AF153" s="634">
        <f t="shared" si="11"/>
        <v>0</v>
      </c>
      <c r="AG153" s="43"/>
    </row>
    <row r="154" spans="1:57" hidden="1">
      <c r="A154" s="555"/>
      <c r="B154" s="604"/>
      <c r="C154" s="607"/>
      <c r="D154" s="609"/>
      <c r="E154" s="608"/>
      <c r="F154" s="609"/>
      <c r="G154" s="609"/>
      <c r="H154" s="603"/>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9"/>
        <v>0</v>
      </c>
      <c r="AE154" s="629">
        <f t="shared" si="10"/>
        <v>0</v>
      </c>
      <c r="AF154" s="634">
        <f t="shared" si="11"/>
        <v>0</v>
      </c>
      <c r="AG154" s="43"/>
    </row>
    <row r="155" spans="1:57" hidden="1">
      <c r="A155" s="555"/>
      <c r="B155" s="604"/>
      <c r="C155" s="607"/>
      <c r="D155" s="609"/>
      <c r="E155" s="608"/>
      <c r="F155" s="609"/>
      <c r="G155" s="609"/>
      <c r="H155" s="603"/>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9"/>
        <v>0</v>
      </c>
      <c r="AE155" s="629">
        <f t="shared" si="10"/>
        <v>0</v>
      </c>
      <c r="AF155" s="634">
        <f t="shared" si="11"/>
        <v>0</v>
      </c>
      <c r="AG155" s="43"/>
    </row>
    <row r="156" spans="1:57" hidden="1">
      <c r="A156" s="555"/>
      <c r="B156" s="604"/>
      <c r="C156" s="607"/>
      <c r="D156" s="609"/>
      <c r="E156" s="608"/>
      <c r="F156" s="609"/>
      <c r="G156" s="609"/>
      <c r="H156" s="603"/>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9"/>
        <v>0</v>
      </c>
      <c r="AE156" s="629">
        <f t="shared" si="10"/>
        <v>0</v>
      </c>
      <c r="AF156" s="634">
        <f t="shared" si="11"/>
        <v>0</v>
      </c>
      <c r="AG156" s="43"/>
    </row>
    <row r="157" spans="1:57" hidden="1">
      <c r="A157" s="555"/>
      <c r="B157" s="604"/>
      <c r="C157" s="607"/>
      <c r="D157" s="609"/>
      <c r="E157" s="608"/>
      <c r="F157" s="609"/>
      <c r="G157" s="609"/>
      <c r="H157" s="603"/>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9"/>
        <v>0</v>
      </c>
      <c r="AE157" s="629">
        <f t="shared" si="10"/>
        <v>0</v>
      </c>
      <c r="AF157" s="634">
        <f t="shared" si="11"/>
        <v>0</v>
      </c>
      <c r="AG157" s="43"/>
    </row>
    <row r="158" spans="1:57" hidden="1">
      <c r="A158" s="555"/>
      <c r="B158" s="604"/>
      <c r="C158" s="607"/>
      <c r="D158" s="609"/>
      <c r="E158" s="608"/>
      <c r="F158" s="609"/>
      <c r="G158" s="609"/>
      <c r="H158" s="603"/>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9"/>
        <v>0</v>
      </c>
      <c r="AE158" s="629">
        <f t="shared" si="10"/>
        <v>0</v>
      </c>
      <c r="AF158" s="634">
        <f t="shared" si="11"/>
        <v>0</v>
      </c>
      <c r="AG158" s="43">
        <f t="shared" ref="AG158:AG170" si="12">IF(AF158=0,0,"ERROR HERE")</f>
        <v>0</v>
      </c>
      <c r="AH158" s="7">
        <f t="shared" ref="AH158:AQ165" si="13">IF(OR(ISERROR(+H158/($D158+$E158-$G158)*$G158+H158),LEFT(F158,1)="x"),0,+H158/($D158+$E158-$G158)*$G158+H158)</f>
        <v>0</v>
      </c>
      <c r="AI158" s="7">
        <f t="shared" si="13"/>
        <v>0</v>
      </c>
      <c r="AJ158" s="7">
        <f t="shared" si="13"/>
        <v>0</v>
      </c>
      <c r="AK158" s="7">
        <f t="shared" si="13"/>
        <v>0</v>
      </c>
      <c r="AL158" s="7">
        <f t="shared" si="13"/>
        <v>0</v>
      </c>
      <c r="AM158" s="7">
        <f t="shared" si="13"/>
        <v>0</v>
      </c>
      <c r="AN158" s="7">
        <f t="shared" si="13"/>
        <v>0</v>
      </c>
      <c r="AO158" s="7">
        <f t="shared" si="13"/>
        <v>0</v>
      </c>
      <c r="AP158" s="7">
        <f t="shared" si="13"/>
        <v>0</v>
      </c>
      <c r="AQ158" s="7">
        <f t="shared" si="13"/>
        <v>0</v>
      </c>
      <c r="AR158" s="7">
        <f t="shared" ref="AR158:BA165" si="14">IF(OR(ISERROR(+R158/($D158+$E158-$G158)*$G158+R158),LEFT(P158,1)="x"),0,+R158/($D158+$E158-$G158)*$G158+R158)</f>
        <v>0</v>
      </c>
      <c r="AS158" s="7">
        <f t="shared" si="14"/>
        <v>0</v>
      </c>
      <c r="AT158" s="7">
        <f t="shared" si="14"/>
        <v>0</v>
      </c>
      <c r="AU158" s="7">
        <f t="shared" si="14"/>
        <v>0</v>
      </c>
      <c r="AV158" s="7">
        <f t="shared" si="14"/>
        <v>0</v>
      </c>
      <c r="AW158" s="7">
        <f t="shared" si="14"/>
        <v>0</v>
      </c>
      <c r="AX158" s="7">
        <f t="shared" si="14"/>
        <v>0</v>
      </c>
      <c r="AY158" s="7">
        <f t="shared" si="14"/>
        <v>0</v>
      </c>
      <c r="AZ158" s="7">
        <f t="shared" si="14"/>
        <v>0</v>
      </c>
      <c r="BA158" s="7">
        <f t="shared" si="14"/>
        <v>0</v>
      </c>
      <c r="BB158" s="7">
        <f t="shared" ref="BB158:BB165" si="15">IF(OR(ISERROR(+AB158/($D158+$E158-$G158)*$G158+AB158),LEFT(Z158,1)="x"),0,+AB158/($D158+$E158-$G158)*$G158+AB158)</f>
        <v>0</v>
      </c>
      <c r="BC158" s="7">
        <f>IF(OR(ISERROR(+#REF!/($D158+$E158-$G158)*$G158+#REF!),LEFT(AA158,1)="x"),0,+#REF!/($D158+$E158-$G158)*$G158+#REF!)</f>
        <v>0</v>
      </c>
      <c r="BD158" s="7">
        <f>IF(OR(ISERROR(+#REF!/($D158+$E158-$G158)*$G158+#REF!),LEFT(AB158,1)="x"),0,+#REF!/($D158+$E158-$G158)*$G158+#REF!)</f>
        <v>0</v>
      </c>
      <c r="BE158" s="7" t="e">
        <f>IF(OR(ISERROR(+AC158/($D158+$E158-$G158)*$G158+AC158),LEFT(#REF!,1)="x"),0,+AC158/($D158+$E158-$G158)*$G158+AC158)</f>
        <v>#REF!</v>
      </c>
    </row>
    <row r="159" spans="1:57" hidden="1">
      <c r="A159" s="555"/>
      <c r="B159" s="604"/>
      <c r="C159" s="607"/>
      <c r="D159" s="609"/>
      <c r="E159" s="608"/>
      <c r="F159" s="609"/>
      <c r="G159" s="609"/>
      <c r="H159" s="603"/>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9"/>
        <v>0</v>
      </c>
      <c r="AE159" s="629">
        <f t="shared" si="10"/>
        <v>0</v>
      </c>
      <c r="AF159" s="634">
        <f t="shared" si="11"/>
        <v>0</v>
      </c>
      <c r="AG159" s="43">
        <f t="shared" si="12"/>
        <v>0</v>
      </c>
      <c r="AH159" s="7">
        <f t="shared" si="13"/>
        <v>0</v>
      </c>
      <c r="AI159" s="7">
        <f t="shared" si="13"/>
        <v>0</v>
      </c>
      <c r="AJ159" s="7">
        <f t="shared" si="13"/>
        <v>0</v>
      </c>
      <c r="AK159" s="7">
        <f t="shared" si="13"/>
        <v>0</v>
      </c>
      <c r="AL159" s="7">
        <f t="shared" si="13"/>
        <v>0</v>
      </c>
      <c r="AM159" s="7">
        <f t="shared" si="13"/>
        <v>0</v>
      </c>
      <c r="AN159" s="7">
        <f t="shared" si="13"/>
        <v>0</v>
      </c>
      <c r="AO159" s="7">
        <f t="shared" si="13"/>
        <v>0</v>
      </c>
      <c r="AP159" s="7">
        <f t="shared" si="13"/>
        <v>0</v>
      </c>
      <c r="AQ159" s="7">
        <f t="shared" si="13"/>
        <v>0</v>
      </c>
      <c r="AR159" s="7">
        <f t="shared" si="14"/>
        <v>0</v>
      </c>
      <c r="AS159" s="7">
        <f t="shared" si="14"/>
        <v>0</v>
      </c>
      <c r="AT159" s="7">
        <f t="shared" si="14"/>
        <v>0</v>
      </c>
      <c r="AU159" s="7">
        <f t="shared" si="14"/>
        <v>0</v>
      </c>
      <c r="AV159" s="7">
        <f t="shared" si="14"/>
        <v>0</v>
      </c>
      <c r="AW159" s="7">
        <f t="shared" si="14"/>
        <v>0</v>
      </c>
      <c r="AX159" s="7">
        <f t="shared" si="14"/>
        <v>0</v>
      </c>
      <c r="AY159" s="7">
        <f t="shared" si="14"/>
        <v>0</v>
      </c>
      <c r="AZ159" s="7">
        <f t="shared" si="14"/>
        <v>0</v>
      </c>
      <c r="BA159" s="7">
        <f t="shared" si="14"/>
        <v>0</v>
      </c>
      <c r="BB159" s="7">
        <f t="shared" si="15"/>
        <v>0</v>
      </c>
      <c r="BC159" s="7">
        <f>IF(OR(ISERROR(+#REF!/($D159+$E159-$G159)*$G159+#REF!),LEFT(AA159,1)="x"),0,+#REF!/($D159+$E159-$G159)*$G159+#REF!)</f>
        <v>0</v>
      </c>
      <c r="BD159" s="7">
        <f>IF(OR(ISERROR(+#REF!/($D159+$E159-$G159)*$G159+#REF!),LEFT(AB159,1)="x"),0,+#REF!/($D159+$E159-$G159)*$G159+#REF!)</f>
        <v>0</v>
      </c>
      <c r="BE159" s="7" t="e">
        <f>IF(OR(ISERROR(+AC159/($D159+$E159-$G159)*$G159+AC159),LEFT(#REF!,1)="x"),0,+AC159/($D159+$E159-$G159)*$G159+AC159)</f>
        <v>#REF!</v>
      </c>
    </row>
    <row r="160" spans="1:57" hidden="1">
      <c r="A160" s="555"/>
      <c r="B160" s="604"/>
      <c r="C160" s="607"/>
      <c r="D160" s="609"/>
      <c r="E160" s="608"/>
      <c r="F160" s="609"/>
      <c r="G160" s="609"/>
      <c r="H160" s="603"/>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9"/>
        <v>0</v>
      </c>
      <c r="AE160" s="629">
        <f t="shared" si="10"/>
        <v>0</v>
      </c>
      <c r="AF160" s="634">
        <f t="shared" si="11"/>
        <v>0</v>
      </c>
      <c r="AG160" s="43">
        <f t="shared" si="12"/>
        <v>0</v>
      </c>
      <c r="AH160" s="7">
        <f t="shared" si="13"/>
        <v>0</v>
      </c>
      <c r="AI160" s="7">
        <f t="shared" si="13"/>
        <v>0</v>
      </c>
      <c r="AJ160" s="7">
        <f t="shared" si="13"/>
        <v>0</v>
      </c>
      <c r="AK160" s="7">
        <f t="shared" si="13"/>
        <v>0</v>
      </c>
      <c r="AL160" s="7">
        <f t="shared" si="13"/>
        <v>0</v>
      </c>
      <c r="AM160" s="7">
        <f t="shared" si="13"/>
        <v>0</v>
      </c>
      <c r="AN160" s="7">
        <f t="shared" si="13"/>
        <v>0</v>
      </c>
      <c r="AO160" s="7">
        <f t="shared" si="13"/>
        <v>0</v>
      </c>
      <c r="AP160" s="7">
        <f t="shared" si="13"/>
        <v>0</v>
      </c>
      <c r="AQ160" s="7">
        <f t="shared" si="13"/>
        <v>0</v>
      </c>
      <c r="AR160" s="7">
        <f t="shared" si="14"/>
        <v>0</v>
      </c>
      <c r="AS160" s="7">
        <f t="shared" si="14"/>
        <v>0</v>
      </c>
      <c r="AT160" s="7">
        <f t="shared" si="14"/>
        <v>0</v>
      </c>
      <c r="AU160" s="7">
        <f t="shared" si="14"/>
        <v>0</v>
      </c>
      <c r="AV160" s="7">
        <f t="shared" si="14"/>
        <v>0</v>
      </c>
      <c r="AW160" s="7">
        <f t="shared" si="14"/>
        <v>0</v>
      </c>
      <c r="AX160" s="7">
        <f t="shared" si="14"/>
        <v>0</v>
      </c>
      <c r="AY160" s="7">
        <f t="shared" si="14"/>
        <v>0</v>
      </c>
      <c r="AZ160" s="7">
        <f t="shared" si="14"/>
        <v>0</v>
      </c>
      <c r="BA160" s="7">
        <f t="shared" si="14"/>
        <v>0</v>
      </c>
      <c r="BB160" s="7">
        <f t="shared" si="15"/>
        <v>0</v>
      </c>
      <c r="BC160" s="7">
        <f>IF(OR(ISERROR(+#REF!/($D160+$E160-$G160)*$G160+#REF!),LEFT(AA160,1)="x"),0,+#REF!/($D160+$E160-$G160)*$G160+#REF!)</f>
        <v>0</v>
      </c>
      <c r="BD160" s="7">
        <f>IF(OR(ISERROR(+#REF!/($D160+$E160-$G160)*$G160+#REF!),LEFT(AB160,1)="x"),0,+#REF!/($D160+$E160-$G160)*$G160+#REF!)</f>
        <v>0</v>
      </c>
      <c r="BE160" s="7" t="e">
        <f>IF(OR(ISERROR(+AC160/($D160+$E160-$G160)*$G160+AC160),LEFT(#REF!,1)="x"),0,+AC160/($D160+$E160-$G160)*$G160+AC160)</f>
        <v>#REF!</v>
      </c>
    </row>
    <row r="161" spans="1:57" hidden="1">
      <c r="A161" s="555"/>
      <c r="B161" s="604"/>
      <c r="C161" s="607"/>
      <c r="D161" s="609"/>
      <c r="E161" s="608"/>
      <c r="F161" s="609"/>
      <c r="G161" s="609"/>
      <c r="H161" s="603"/>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9"/>
        <v>0</v>
      </c>
      <c r="AE161" s="629">
        <f t="shared" si="10"/>
        <v>0</v>
      </c>
      <c r="AF161" s="634">
        <f t="shared" si="11"/>
        <v>0</v>
      </c>
      <c r="AG161" s="43">
        <f t="shared" si="12"/>
        <v>0</v>
      </c>
      <c r="AH161" s="7">
        <f t="shared" si="13"/>
        <v>0</v>
      </c>
      <c r="AI161" s="7">
        <f t="shared" si="13"/>
        <v>0</v>
      </c>
      <c r="AJ161" s="7">
        <f t="shared" si="13"/>
        <v>0</v>
      </c>
      <c r="AK161" s="7">
        <f t="shared" si="13"/>
        <v>0</v>
      </c>
      <c r="AL161" s="7">
        <f t="shared" si="13"/>
        <v>0</v>
      </c>
      <c r="AM161" s="7">
        <f t="shared" si="13"/>
        <v>0</v>
      </c>
      <c r="AN161" s="7">
        <f t="shared" si="13"/>
        <v>0</v>
      </c>
      <c r="AO161" s="7">
        <f t="shared" si="13"/>
        <v>0</v>
      </c>
      <c r="AP161" s="7">
        <f t="shared" si="13"/>
        <v>0</v>
      </c>
      <c r="AQ161" s="7">
        <f t="shared" si="13"/>
        <v>0</v>
      </c>
      <c r="AR161" s="7">
        <f t="shared" si="14"/>
        <v>0</v>
      </c>
      <c r="AS161" s="7">
        <f t="shared" si="14"/>
        <v>0</v>
      </c>
      <c r="AT161" s="7">
        <f t="shared" si="14"/>
        <v>0</v>
      </c>
      <c r="AU161" s="7">
        <f t="shared" si="14"/>
        <v>0</v>
      </c>
      <c r="AV161" s="7">
        <f t="shared" si="14"/>
        <v>0</v>
      </c>
      <c r="AW161" s="7">
        <f t="shared" si="14"/>
        <v>0</v>
      </c>
      <c r="AX161" s="7">
        <f t="shared" si="14"/>
        <v>0</v>
      </c>
      <c r="AY161" s="7">
        <f t="shared" si="14"/>
        <v>0</v>
      </c>
      <c r="AZ161" s="7">
        <f t="shared" si="14"/>
        <v>0</v>
      </c>
      <c r="BA161" s="7">
        <f t="shared" si="14"/>
        <v>0</v>
      </c>
      <c r="BB161" s="7">
        <f t="shared" si="15"/>
        <v>0</v>
      </c>
      <c r="BC161" s="7">
        <f>IF(OR(ISERROR(+#REF!/($D161+$E161-$G161)*$G161+#REF!),LEFT(AA161,1)="x"),0,+#REF!/($D161+$E161-$G161)*$G161+#REF!)</f>
        <v>0</v>
      </c>
      <c r="BD161" s="7">
        <f>IF(OR(ISERROR(+#REF!/($D161+$E161-$G161)*$G161+#REF!),LEFT(AB161,1)="x"),0,+#REF!/($D161+$E161-$G161)*$G161+#REF!)</f>
        <v>0</v>
      </c>
      <c r="BE161" s="7" t="e">
        <f>IF(OR(ISERROR(+AC161/($D161+$E161-$G161)*$G161+AC161),LEFT(#REF!,1)="x"),0,+AC161/($D161+$E161-$G161)*$G161+AC161)</f>
        <v>#REF!</v>
      </c>
    </row>
    <row r="162" spans="1:57" hidden="1">
      <c r="A162" s="555"/>
      <c r="B162" s="604"/>
      <c r="C162" s="607"/>
      <c r="D162" s="609"/>
      <c r="E162" s="608"/>
      <c r="F162" s="609"/>
      <c r="G162" s="609"/>
      <c r="H162" s="603"/>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9"/>
        <v>0</v>
      </c>
      <c r="AE162" s="629">
        <f t="shared" si="10"/>
        <v>0</v>
      </c>
      <c r="AF162" s="634">
        <f t="shared" si="11"/>
        <v>0</v>
      </c>
      <c r="AG162" s="43">
        <f t="shared" si="12"/>
        <v>0</v>
      </c>
      <c r="AH162" s="7">
        <f t="shared" si="13"/>
        <v>0</v>
      </c>
      <c r="AI162" s="7">
        <f t="shared" si="13"/>
        <v>0</v>
      </c>
      <c r="AJ162" s="7">
        <f t="shared" si="13"/>
        <v>0</v>
      </c>
      <c r="AK162" s="7">
        <f t="shared" si="13"/>
        <v>0</v>
      </c>
      <c r="AL162" s="7">
        <f t="shared" si="13"/>
        <v>0</v>
      </c>
      <c r="AM162" s="7">
        <f t="shared" si="13"/>
        <v>0</v>
      </c>
      <c r="AN162" s="7">
        <f t="shared" si="13"/>
        <v>0</v>
      </c>
      <c r="AO162" s="7">
        <f t="shared" si="13"/>
        <v>0</v>
      </c>
      <c r="AP162" s="7">
        <f t="shared" si="13"/>
        <v>0</v>
      </c>
      <c r="AQ162" s="7">
        <f t="shared" si="13"/>
        <v>0</v>
      </c>
      <c r="AR162" s="7">
        <f t="shared" si="14"/>
        <v>0</v>
      </c>
      <c r="AS162" s="7">
        <f t="shared" si="14"/>
        <v>0</v>
      </c>
      <c r="AT162" s="7">
        <f t="shared" si="14"/>
        <v>0</v>
      </c>
      <c r="AU162" s="7">
        <f t="shared" si="14"/>
        <v>0</v>
      </c>
      <c r="AV162" s="7">
        <f t="shared" si="14"/>
        <v>0</v>
      </c>
      <c r="AW162" s="7">
        <f t="shared" si="14"/>
        <v>0</v>
      </c>
      <c r="AX162" s="7">
        <f t="shared" si="14"/>
        <v>0</v>
      </c>
      <c r="AY162" s="7">
        <f t="shared" si="14"/>
        <v>0</v>
      </c>
      <c r="AZ162" s="7">
        <f t="shared" si="14"/>
        <v>0</v>
      </c>
      <c r="BA162" s="7">
        <f t="shared" si="14"/>
        <v>0</v>
      </c>
      <c r="BB162" s="7">
        <f t="shared" si="15"/>
        <v>0</v>
      </c>
      <c r="BC162" s="7">
        <f>IF(OR(ISERROR(+#REF!/($D162+$E162-$G162)*$G162+#REF!),LEFT(AA162,1)="x"),0,+#REF!/($D162+$E162-$G162)*$G162+#REF!)</f>
        <v>0</v>
      </c>
      <c r="BD162" s="7">
        <f>IF(OR(ISERROR(+#REF!/($D162+$E162-$G162)*$G162+#REF!),LEFT(AB162,1)="x"),0,+#REF!/($D162+$E162-$G162)*$G162+#REF!)</f>
        <v>0</v>
      </c>
      <c r="BE162" s="7" t="e">
        <f>IF(OR(ISERROR(+AC162/($D162+$E162-$G162)*$G162+AC162),LEFT(#REF!,1)="x"),0,+AC162/($D162+$E162-$G162)*$G162+AC162)</f>
        <v>#REF!</v>
      </c>
    </row>
    <row r="163" spans="1:57" hidden="1">
      <c r="A163" s="555"/>
      <c r="B163" s="604"/>
      <c r="C163" s="607"/>
      <c r="D163" s="609"/>
      <c r="E163" s="608"/>
      <c r="F163" s="609"/>
      <c r="G163" s="609"/>
      <c r="H163" s="603"/>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9"/>
        <v>0</v>
      </c>
      <c r="AE163" s="629">
        <f t="shared" si="10"/>
        <v>0</v>
      </c>
      <c r="AF163" s="634">
        <f t="shared" si="11"/>
        <v>0</v>
      </c>
      <c r="AG163" s="43">
        <f t="shared" si="12"/>
        <v>0</v>
      </c>
      <c r="AH163" s="7">
        <f t="shared" si="13"/>
        <v>0</v>
      </c>
      <c r="AI163" s="7">
        <f t="shared" si="13"/>
        <v>0</v>
      </c>
      <c r="AJ163" s="7">
        <f t="shared" si="13"/>
        <v>0</v>
      </c>
      <c r="AK163" s="7">
        <f t="shared" si="13"/>
        <v>0</v>
      </c>
      <c r="AL163" s="7">
        <f t="shared" si="13"/>
        <v>0</v>
      </c>
      <c r="AM163" s="7">
        <f t="shared" si="13"/>
        <v>0</v>
      </c>
      <c r="AN163" s="7">
        <f t="shared" si="13"/>
        <v>0</v>
      </c>
      <c r="AO163" s="7">
        <f t="shared" si="13"/>
        <v>0</v>
      </c>
      <c r="AP163" s="7">
        <f t="shared" si="13"/>
        <v>0</v>
      </c>
      <c r="AQ163" s="7">
        <f t="shared" si="13"/>
        <v>0</v>
      </c>
      <c r="AR163" s="7">
        <f t="shared" si="14"/>
        <v>0</v>
      </c>
      <c r="AS163" s="7">
        <f t="shared" si="14"/>
        <v>0</v>
      </c>
      <c r="AT163" s="7">
        <f t="shared" si="14"/>
        <v>0</v>
      </c>
      <c r="AU163" s="7">
        <f t="shared" si="14"/>
        <v>0</v>
      </c>
      <c r="AV163" s="7">
        <f t="shared" si="14"/>
        <v>0</v>
      </c>
      <c r="AW163" s="7">
        <f t="shared" si="14"/>
        <v>0</v>
      </c>
      <c r="AX163" s="7">
        <f t="shared" si="14"/>
        <v>0</v>
      </c>
      <c r="AY163" s="7">
        <f t="shared" si="14"/>
        <v>0</v>
      </c>
      <c r="AZ163" s="7">
        <f t="shared" si="14"/>
        <v>0</v>
      </c>
      <c r="BA163" s="7">
        <f t="shared" si="14"/>
        <v>0</v>
      </c>
      <c r="BB163" s="7">
        <f t="shared" si="15"/>
        <v>0</v>
      </c>
      <c r="BC163" s="7">
        <f>IF(OR(ISERROR(+#REF!/($D163+$E163-$G163)*$G163+#REF!),LEFT(AA163,1)="x"),0,+#REF!/($D163+$E163-$G163)*$G163+#REF!)</f>
        <v>0</v>
      </c>
      <c r="BD163" s="7">
        <f>IF(OR(ISERROR(+#REF!/($D163+$E163-$G163)*$G163+#REF!),LEFT(AB163,1)="x"),0,+#REF!/($D163+$E163-$G163)*$G163+#REF!)</f>
        <v>0</v>
      </c>
      <c r="BE163" s="7" t="e">
        <f>IF(OR(ISERROR(+AC163/($D163+$E163-$G163)*$G163+AC163),LEFT(#REF!,1)="x"),0,+AC163/($D163+$E163-$G163)*$G163+AC163)</f>
        <v>#REF!</v>
      </c>
    </row>
    <row r="164" spans="1:57" hidden="1">
      <c r="A164" s="555"/>
      <c r="B164" s="604"/>
      <c r="C164" s="607"/>
      <c r="D164" s="609"/>
      <c r="E164" s="608"/>
      <c r="F164" s="609"/>
      <c r="G164" s="609"/>
      <c r="H164" s="603"/>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9"/>
        <v>0</v>
      </c>
      <c r="AE164" s="629">
        <f t="shared" si="10"/>
        <v>0</v>
      </c>
      <c r="AF164" s="634">
        <f t="shared" si="11"/>
        <v>0</v>
      </c>
      <c r="AG164" s="43">
        <f t="shared" si="12"/>
        <v>0</v>
      </c>
      <c r="AH164" s="7">
        <f t="shared" si="13"/>
        <v>0</v>
      </c>
      <c r="AI164" s="7">
        <f t="shared" si="13"/>
        <v>0</v>
      </c>
      <c r="AJ164" s="7">
        <f t="shared" si="13"/>
        <v>0</v>
      </c>
      <c r="AK164" s="7">
        <f t="shared" si="13"/>
        <v>0</v>
      </c>
      <c r="AL164" s="7">
        <f t="shared" si="13"/>
        <v>0</v>
      </c>
      <c r="AM164" s="7">
        <f t="shared" si="13"/>
        <v>0</v>
      </c>
      <c r="AN164" s="7">
        <f t="shared" si="13"/>
        <v>0</v>
      </c>
      <c r="AO164" s="7">
        <f t="shared" si="13"/>
        <v>0</v>
      </c>
      <c r="AP164" s="7">
        <f t="shared" si="13"/>
        <v>0</v>
      </c>
      <c r="AQ164" s="7">
        <f t="shared" si="13"/>
        <v>0</v>
      </c>
      <c r="AR164" s="7">
        <f t="shared" si="14"/>
        <v>0</v>
      </c>
      <c r="AS164" s="7">
        <f t="shared" si="14"/>
        <v>0</v>
      </c>
      <c r="AT164" s="7">
        <f t="shared" si="14"/>
        <v>0</v>
      </c>
      <c r="AU164" s="7">
        <f t="shared" si="14"/>
        <v>0</v>
      </c>
      <c r="AV164" s="7">
        <f t="shared" si="14"/>
        <v>0</v>
      </c>
      <c r="AW164" s="7">
        <f t="shared" si="14"/>
        <v>0</v>
      </c>
      <c r="AX164" s="7">
        <f t="shared" si="14"/>
        <v>0</v>
      </c>
      <c r="AY164" s="7">
        <f t="shared" si="14"/>
        <v>0</v>
      </c>
      <c r="AZ164" s="7">
        <f t="shared" si="14"/>
        <v>0</v>
      </c>
      <c r="BA164" s="7">
        <f t="shared" si="14"/>
        <v>0</v>
      </c>
      <c r="BB164" s="7">
        <f t="shared" si="15"/>
        <v>0</v>
      </c>
      <c r="BC164" s="7">
        <f>IF(OR(ISERROR(+#REF!/($D164+$E164-$G164)*$G164+#REF!),LEFT(AA164,1)="x"),0,+#REF!/($D164+$E164-$G164)*$G164+#REF!)</f>
        <v>0</v>
      </c>
      <c r="BD164" s="7">
        <f>IF(OR(ISERROR(+#REF!/($D164+$E164-$G164)*$G164+#REF!),LEFT(AB164,1)="x"),0,+#REF!/($D164+$E164-$G164)*$G164+#REF!)</f>
        <v>0</v>
      </c>
      <c r="BE164" s="7" t="e">
        <f>IF(OR(ISERROR(+AC164/($D164+$E164-$G164)*$G164+AC164),LEFT(#REF!,1)="x"),0,+AC164/($D164+$E164-$G164)*$G164+AC164)</f>
        <v>#REF!</v>
      </c>
    </row>
    <row r="165" spans="1:57" hidden="1">
      <c r="A165" s="555"/>
      <c r="B165" s="604"/>
      <c r="C165" s="607"/>
      <c r="D165" s="609"/>
      <c r="E165" s="608"/>
      <c r="F165" s="609"/>
      <c r="G165" s="609"/>
      <c r="H165" s="603"/>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9"/>
        <v>0</v>
      </c>
      <c r="AE165" s="629">
        <f t="shared" si="10"/>
        <v>0</v>
      </c>
      <c r="AF165" s="634">
        <f t="shared" si="11"/>
        <v>0</v>
      </c>
      <c r="AG165" s="43">
        <f t="shared" si="12"/>
        <v>0</v>
      </c>
      <c r="AH165" s="7">
        <f t="shared" si="13"/>
        <v>0</v>
      </c>
      <c r="AI165" s="7">
        <f t="shared" si="13"/>
        <v>0</v>
      </c>
      <c r="AJ165" s="7">
        <f t="shared" si="13"/>
        <v>0</v>
      </c>
      <c r="AK165" s="7">
        <f t="shared" si="13"/>
        <v>0</v>
      </c>
      <c r="AL165" s="7">
        <f t="shared" si="13"/>
        <v>0</v>
      </c>
      <c r="AM165" s="7">
        <f t="shared" si="13"/>
        <v>0</v>
      </c>
      <c r="AN165" s="7">
        <f t="shared" si="13"/>
        <v>0</v>
      </c>
      <c r="AO165" s="7">
        <f t="shared" si="13"/>
        <v>0</v>
      </c>
      <c r="AP165" s="7">
        <f t="shared" si="13"/>
        <v>0</v>
      </c>
      <c r="AQ165" s="7">
        <f t="shared" si="13"/>
        <v>0</v>
      </c>
      <c r="AR165" s="7">
        <f t="shared" si="14"/>
        <v>0</v>
      </c>
      <c r="AS165" s="7">
        <f t="shared" si="14"/>
        <v>0</v>
      </c>
      <c r="AT165" s="7">
        <f t="shared" si="14"/>
        <v>0</v>
      </c>
      <c r="AU165" s="7">
        <f t="shared" si="14"/>
        <v>0</v>
      </c>
      <c r="AV165" s="7">
        <f t="shared" si="14"/>
        <v>0</v>
      </c>
      <c r="AW165" s="7">
        <f t="shared" si="14"/>
        <v>0</v>
      </c>
      <c r="AX165" s="7">
        <f t="shared" si="14"/>
        <v>0</v>
      </c>
      <c r="AY165" s="7">
        <f t="shared" si="14"/>
        <v>0</v>
      </c>
      <c r="AZ165" s="7">
        <f t="shared" si="14"/>
        <v>0</v>
      </c>
      <c r="BA165" s="7">
        <f t="shared" si="14"/>
        <v>0</v>
      </c>
      <c r="BB165" s="7">
        <f t="shared" si="15"/>
        <v>0</v>
      </c>
      <c r="BC165" s="7">
        <f>IF(OR(ISERROR(+#REF!/($D165+$E165-$G165)*$G165+#REF!),LEFT(AA165,1)="x"),0,+#REF!/($D165+$E165-$G165)*$G165+#REF!)</f>
        <v>0</v>
      </c>
      <c r="BD165" s="7">
        <f>IF(OR(ISERROR(+#REF!/($D165+$E165-$G165)*$G165+#REF!),LEFT(AB165,1)="x"),0,+#REF!/($D165+$E165-$G165)*$G165+#REF!)</f>
        <v>0</v>
      </c>
      <c r="BE165" s="7" t="e">
        <f>IF(OR(ISERROR(+AC165/($D165+$E165-$G165)*$G165+AC165),LEFT(#REF!,1)="x"),0,+AC165/($D165+$E165-$G165)*$G165+AC165)</f>
        <v>#REF!</v>
      </c>
    </row>
    <row r="166" spans="1:57" hidden="1">
      <c r="A166" s="555"/>
      <c r="B166" s="604"/>
      <c r="C166" s="607"/>
      <c r="D166" s="609"/>
      <c r="E166" s="608"/>
      <c r="F166" s="609"/>
      <c r="G166" s="609"/>
      <c r="H166" s="585"/>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9"/>
        <v>0</v>
      </c>
      <c r="AE166" s="629">
        <f t="shared" si="10"/>
        <v>0</v>
      </c>
      <c r="AF166" s="634">
        <f t="shared" si="11"/>
        <v>0</v>
      </c>
      <c r="AG166" s="43">
        <f t="shared" si="12"/>
        <v>0</v>
      </c>
      <c r="AH166" s="7">
        <f t="shared" ref="AH166:AV166" si="16">IF(OR(ISERROR(+H166/($D166+$E166-$G166)*$G166+H166),LEFT(F166,1)="x"),0,+H166/($D166+$E166-$G166)*$G166+H166)</f>
        <v>0</v>
      </c>
      <c r="AI166" s="7">
        <f t="shared" si="16"/>
        <v>0</v>
      </c>
      <c r="AJ166" s="7">
        <f t="shared" si="16"/>
        <v>0</v>
      </c>
      <c r="AK166" s="7">
        <f t="shared" si="16"/>
        <v>0</v>
      </c>
      <c r="AL166" s="7">
        <f t="shared" si="16"/>
        <v>0</v>
      </c>
      <c r="AM166" s="7">
        <f t="shared" si="16"/>
        <v>0</v>
      </c>
      <c r="AN166" s="7">
        <f t="shared" si="16"/>
        <v>0</v>
      </c>
      <c r="AO166" s="7">
        <f t="shared" si="16"/>
        <v>0</v>
      </c>
      <c r="AP166" s="7">
        <f t="shared" si="16"/>
        <v>0</v>
      </c>
      <c r="AQ166" s="7">
        <f t="shared" si="16"/>
        <v>0</v>
      </c>
      <c r="AR166" s="7">
        <f t="shared" si="16"/>
        <v>0</v>
      </c>
      <c r="AS166" s="7">
        <f t="shared" si="16"/>
        <v>0</v>
      </c>
      <c r="AT166" s="7">
        <f t="shared" si="16"/>
        <v>0</v>
      </c>
      <c r="AU166" s="7">
        <f t="shared" si="16"/>
        <v>0</v>
      </c>
      <c r="AV166" s="7">
        <f t="shared" si="16"/>
        <v>0</v>
      </c>
      <c r="AW166" s="7">
        <f t="shared" ref="AW166:AW201" si="17">IF(OR(ISERROR(+W166/($D166+$E166-$G166)*$G166+W166),LEFT(U166,1)="x"),0,+W166/($D166+$E166-$G166)*$G166+W166)</f>
        <v>0</v>
      </c>
      <c r="AX166" s="7">
        <f t="shared" ref="AX166:BB170" si="18">IF(OR(ISERROR(+X166/($D166+$E166-$G166)*$G166+X166),LEFT(V166,1)="x"),0,+X166/($D166+$E166-$G166)*$G166+X166)</f>
        <v>0</v>
      </c>
      <c r="AY166" s="7">
        <f t="shared" si="18"/>
        <v>0</v>
      </c>
      <c r="AZ166" s="7">
        <f t="shared" si="18"/>
        <v>0</v>
      </c>
      <c r="BA166" s="7">
        <f t="shared" si="18"/>
        <v>0</v>
      </c>
      <c r="BB166" s="7">
        <f t="shared" si="18"/>
        <v>0</v>
      </c>
      <c r="BC166" s="7">
        <f>IF(OR(ISERROR(+#REF!/($D166+$E166-$G166)*$G166+#REF!),LEFT(AA166,1)="x"),0,+#REF!/($D166+$E166-$G166)*$G166+#REF!)</f>
        <v>0</v>
      </c>
      <c r="BD166" s="7">
        <f>IF(OR(ISERROR(+#REF!/($D166+$E166-$G166)*$G166+#REF!),LEFT(AB166,1)="x"),0,+#REF!/($D166+$E166-$G166)*$G166+#REF!)</f>
        <v>0</v>
      </c>
      <c r="BE166" s="7" t="e">
        <f>IF(OR(ISERROR(+AC166/($D166+$E166-$G166)*$G166+AC166),LEFT(#REF!,1)="x"),0,+AC166/($D166+$E166-$G166)*$G166+AC166)</f>
        <v>#REF!</v>
      </c>
    </row>
    <row r="167" spans="1:57" hidden="1">
      <c r="A167" s="555"/>
      <c r="B167" s="604"/>
      <c r="C167" s="607"/>
      <c r="D167" s="609"/>
      <c r="E167" s="608"/>
      <c r="F167" s="609"/>
      <c r="G167" s="609"/>
      <c r="H167" s="585"/>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9"/>
        <v>0</v>
      </c>
      <c r="AE167" s="629">
        <f t="shared" si="10"/>
        <v>0</v>
      </c>
      <c r="AF167" s="634">
        <f t="shared" si="11"/>
        <v>0</v>
      </c>
      <c r="AG167" s="43">
        <f t="shared" si="12"/>
        <v>0</v>
      </c>
      <c r="AH167" s="7">
        <f t="shared" ref="AH167:AV197" si="19">IF(OR(ISERROR(+H167/($D167+$E167-$G167)*$G167+H167),LEFT(F167,1)="x"),0,+H167/($D167+$E167-$G167)*$G167+H167)</f>
        <v>0</v>
      </c>
      <c r="AI167" s="7">
        <f t="shared" si="19"/>
        <v>0</v>
      </c>
      <c r="AJ167" s="7">
        <f t="shared" si="19"/>
        <v>0</v>
      </c>
      <c r="AK167" s="7">
        <f t="shared" si="19"/>
        <v>0</v>
      </c>
      <c r="AL167" s="7">
        <f t="shared" si="19"/>
        <v>0</v>
      </c>
      <c r="AM167" s="7">
        <f t="shared" si="19"/>
        <v>0</v>
      </c>
      <c r="AN167" s="7">
        <f t="shared" si="19"/>
        <v>0</v>
      </c>
      <c r="AO167" s="7">
        <f t="shared" si="19"/>
        <v>0</v>
      </c>
      <c r="AP167" s="7">
        <f t="shared" si="19"/>
        <v>0</v>
      </c>
      <c r="AQ167" s="7">
        <f t="shared" si="19"/>
        <v>0</v>
      </c>
      <c r="AR167" s="7">
        <f t="shared" si="19"/>
        <v>0</v>
      </c>
      <c r="AS167" s="7">
        <f t="shared" si="19"/>
        <v>0</v>
      </c>
      <c r="AT167" s="7">
        <f t="shared" si="19"/>
        <v>0</v>
      </c>
      <c r="AU167" s="7">
        <f t="shared" si="19"/>
        <v>0</v>
      </c>
      <c r="AV167" s="7">
        <f t="shared" si="19"/>
        <v>0</v>
      </c>
      <c r="AW167" s="7">
        <f t="shared" si="17"/>
        <v>0</v>
      </c>
      <c r="AX167" s="7">
        <f t="shared" si="18"/>
        <v>0</v>
      </c>
      <c r="AY167" s="7">
        <f t="shared" si="18"/>
        <v>0</v>
      </c>
      <c r="AZ167" s="7">
        <f t="shared" si="18"/>
        <v>0</v>
      </c>
      <c r="BA167" s="7">
        <f t="shared" si="18"/>
        <v>0</v>
      </c>
      <c r="BB167" s="7">
        <f t="shared" si="18"/>
        <v>0</v>
      </c>
      <c r="BC167" s="7">
        <f>IF(OR(ISERROR(+#REF!/($D167+$E167-$G167)*$G167+#REF!),LEFT(AA167,1)="x"),0,+#REF!/($D167+$E167-$G167)*$G167+#REF!)</f>
        <v>0</v>
      </c>
      <c r="BD167" s="7">
        <f>IF(OR(ISERROR(+#REF!/($D167+$E167-$G167)*$G167+#REF!),LEFT(AB167,1)="x"),0,+#REF!/($D167+$E167-$G167)*$G167+#REF!)</f>
        <v>0</v>
      </c>
      <c r="BE167" s="7" t="e">
        <f>IF(OR(ISERROR(+AC167/($D167+$E167-$G167)*$G167+AC167),LEFT(#REF!,1)="x"),0,+AC167/($D167+$E167-$G167)*$G167+AC167)</f>
        <v>#REF!</v>
      </c>
    </row>
    <row r="168" spans="1:57" hidden="1">
      <c r="A168" s="555"/>
      <c r="B168" s="604"/>
      <c r="C168" s="607"/>
      <c r="D168" s="609"/>
      <c r="E168" s="608"/>
      <c r="F168" s="609"/>
      <c r="G168" s="609"/>
      <c r="H168" s="585"/>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9"/>
        <v>0</v>
      </c>
      <c r="AE168" s="629">
        <f t="shared" si="10"/>
        <v>0</v>
      </c>
      <c r="AF168" s="634">
        <f t="shared" si="11"/>
        <v>0</v>
      </c>
      <c r="AG168" s="43">
        <f t="shared" si="12"/>
        <v>0</v>
      </c>
      <c r="AH168" s="7">
        <f t="shared" si="19"/>
        <v>0</v>
      </c>
      <c r="AI168" s="7">
        <f t="shared" si="19"/>
        <v>0</v>
      </c>
      <c r="AJ168" s="7">
        <f t="shared" si="19"/>
        <v>0</v>
      </c>
      <c r="AK168" s="7">
        <f t="shared" si="19"/>
        <v>0</v>
      </c>
      <c r="AL168" s="7">
        <f t="shared" si="19"/>
        <v>0</v>
      </c>
      <c r="AM168" s="7">
        <f t="shared" si="19"/>
        <v>0</v>
      </c>
      <c r="AN168" s="7">
        <f t="shared" si="19"/>
        <v>0</v>
      </c>
      <c r="AO168" s="7">
        <f t="shared" si="19"/>
        <v>0</v>
      </c>
      <c r="AP168" s="7">
        <f t="shared" si="19"/>
        <v>0</v>
      </c>
      <c r="AQ168" s="7">
        <f t="shared" si="19"/>
        <v>0</v>
      </c>
      <c r="AR168" s="7">
        <f t="shared" si="19"/>
        <v>0</v>
      </c>
      <c r="AS168" s="7">
        <f t="shared" si="19"/>
        <v>0</v>
      </c>
      <c r="AT168" s="7">
        <f t="shared" si="19"/>
        <v>0</v>
      </c>
      <c r="AU168" s="7">
        <f t="shared" si="19"/>
        <v>0</v>
      </c>
      <c r="AV168" s="7">
        <f t="shared" si="19"/>
        <v>0</v>
      </c>
      <c r="AW168" s="7">
        <f t="shared" si="17"/>
        <v>0</v>
      </c>
      <c r="AX168" s="7">
        <f t="shared" si="18"/>
        <v>0</v>
      </c>
      <c r="AY168" s="7">
        <f t="shared" si="18"/>
        <v>0</v>
      </c>
      <c r="AZ168" s="7">
        <f t="shared" si="18"/>
        <v>0</v>
      </c>
      <c r="BA168" s="7">
        <f t="shared" si="18"/>
        <v>0</v>
      </c>
      <c r="BB168" s="7">
        <f t="shared" si="18"/>
        <v>0</v>
      </c>
      <c r="BC168" s="7">
        <f>IF(OR(ISERROR(+#REF!/($D168+$E168-$G168)*$G168+#REF!),LEFT(AA168,1)="x"),0,+#REF!/($D168+$E168-$G168)*$G168+#REF!)</f>
        <v>0</v>
      </c>
      <c r="BD168" s="7">
        <f>IF(OR(ISERROR(+#REF!/($D168+$E168-$G168)*$G168+#REF!),LEFT(AB168,1)="x"),0,+#REF!/($D168+$E168-$G168)*$G168+#REF!)</f>
        <v>0</v>
      </c>
      <c r="BE168" s="7" t="e">
        <f>IF(OR(ISERROR(+AC168/($D168+$E168-$G168)*$G168+AC168),LEFT(#REF!,1)="x"),0,+AC168/($D168+$E168-$G168)*$G168+AC168)</f>
        <v>#REF!</v>
      </c>
    </row>
    <row r="169" spans="1:57" hidden="1">
      <c r="A169" s="555"/>
      <c r="B169" s="604"/>
      <c r="C169" s="607"/>
      <c r="D169" s="609"/>
      <c r="E169" s="608"/>
      <c r="F169" s="609"/>
      <c r="G169" s="609"/>
      <c r="H169" s="585"/>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9"/>
        <v>0</v>
      </c>
      <c r="AE169" s="629">
        <f t="shared" si="10"/>
        <v>0</v>
      </c>
      <c r="AF169" s="634">
        <f t="shared" si="11"/>
        <v>0</v>
      </c>
      <c r="AG169" s="43">
        <f t="shared" si="12"/>
        <v>0</v>
      </c>
      <c r="AH169" s="7">
        <f t="shared" si="19"/>
        <v>0</v>
      </c>
      <c r="AI169" s="7">
        <f t="shared" si="19"/>
        <v>0</v>
      </c>
      <c r="AJ169" s="7">
        <f t="shared" si="19"/>
        <v>0</v>
      </c>
      <c r="AK169" s="7">
        <f t="shared" si="19"/>
        <v>0</v>
      </c>
      <c r="AL169" s="7">
        <f t="shared" si="19"/>
        <v>0</v>
      </c>
      <c r="AM169" s="7">
        <f t="shared" si="19"/>
        <v>0</v>
      </c>
      <c r="AN169" s="7">
        <f t="shared" si="19"/>
        <v>0</v>
      </c>
      <c r="AO169" s="7">
        <f t="shared" si="19"/>
        <v>0</v>
      </c>
      <c r="AP169" s="7">
        <f t="shared" si="19"/>
        <v>0</v>
      </c>
      <c r="AQ169" s="7">
        <f t="shared" si="19"/>
        <v>0</v>
      </c>
      <c r="AR169" s="7">
        <f t="shared" si="19"/>
        <v>0</v>
      </c>
      <c r="AS169" s="7">
        <f t="shared" si="19"/>
        <v>0</v>
      </c>
      <c r="AT169" s="7">
        <f t="shared" si="19"/>
        <v>0</v>
      </c>
      <c r="AU169" s="7">
        <f t="shared" si="19"/>
        <v>0</v>
      </c>
      <c r="AV169" s="7">
        <f t="shared" si="19"/>
        <v>0</v>
      </c>
      <c r="AW169" s="7">
        <f t="shared" si="17"/>
        <v>0</v>
      </c>
      <c r="AX169" s="7">
        <f t="shared" si="18"/>
        <v>0</v>
      </c>
      <c r="AY169" s="7">
        <f t="shared" si="18"/>
        <v>0</v>
      </c>
      <c r="AZ169" s="7">
        <f t="shared" si="18"/>
        <v>0</v>
      </c>
      <c r="BA169" s="7">
        <f t="shared" si="18"/>
        <v>0</v>
      </c>
      <c r="BB169" s="7">
        <f t="shared" si="18"/>
        <v>0</v>
      </c>
      <c r="BC169" s="7">
        <f>IF(OR(ISERROR(+#REF!/($D169+$E169-$G169)*$G169+#REF!),LEFT(AA169,1)="x"),0,+#REF!/($D169+$E169-$G169)*$G169+#REF!)</f>
        <v>0</v>
      </c>
      <c r="BD169" s="7">
        <f>IF(OR(ISERROR(+#REF!/($D169+$E169-$G169)*$G169+#REF!),LEFT(AB169,1)="x"),0,+#REF!/($D169+$E169-$G169)*$G169+#REF!)</f>
        <v>0</v>
      </c>
      <c r="BE169" s="7" t="e">
        <f>IF(OR(ISERROR(+AC169/($D169+$E169-$G169)*$G169+AC169),LEFT(#REF!,1)="x"),0,+AC169/($D169+$E169-$G169)*$G169+AC169)</f>
        <v>#REF!</v>
      </c>
    </row>
    <row r="170" spans="1:57" hidden="1">
      <c r="A170" s="555"/>
      <c r="B170" s="604"/>
      <c r="C170" s="607"/>
      <c r="D170" s="609"/>
      <c r="E170" s="608"/>
      <c r="F170" s="609"/>
      <c r="G170" s="609"/>
      <c r="H170" s="585"/>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9"/>
        <v>0</v>
      </c>
      <c r="AE170" s="629">
        <f t="shared" si="10"/>
        <v>0</v>
      </c>
      <c r="AF170" s="634">
        <f t="shared" si="11"/>
        <v>0</v>
      </c>
      <c r="AG170" s="43">
        <f t="shared" si="12"/>
        <v>0</v>
      </c>
      <c r="AH170" s="7">
        <f t="shared" si="19"/>
        <v>0</v>
      </c>
      <c r="AI170" s="7">
        <f t="shared" si="19"/>
        <v>0</v>
      </c>
      <c r="AJ170" s="7">
        <f t="shared" si="19"/>
        <v>0</v>
      </c>
      <c r="AK170" s="7">
        <f t="shared" si="19"/>
        <v>0</v>
      </c>
      <c r="AL170" s="7">
        <f t="shared" si="19"/>
        <v>0</v>
      </c>
      <c r="AM170" s="7">
        <f t="shared" si="19"/>
        <v>0</v>
      </c>
      <c r="AN170" s="7">
        <f t="shared" si="19"/>
        <v>0</v>
      </c>
      <c r="AO170" s="7">
        <f t="shared" si="19"/>
        <v>0</v>
      </c>
      <c r="AP170" s="7">
        <f t="shared" si="19"/>
        <v>0</v>
      </c>
      <c r="AQ170" s="7">
        <f t="shared" si="19"/>
        <v>0</v>
      </c>
      <c r="AR170" s="7">
        <f t="shared" si="19"/>
        <v>0</v>
      </c>
      <c r="AS170" s="7">
        <f t="shared" si="19"/>
        <v>0</v>
      </c>
      <c r="AT170" s="7">
        <f t="shared" si="19"/>
        <v>0</v>
      </c>
      <c r="AU170" s="7">
        <f t="shared" si="19"/>
        <v>0</v>
      </c>
      <c r="AV170" s="7">
        <f t="shared" si="19"/>
        <v>0</v>
      </c>
      <c r="AW170" s="7">
        <f t="shared" si="17"/>
        <v>0</v>
      </c>
      <c r="AX170" s="7">
        <f t="shared" si="18"/>
        <v>0</v>
      </c>
      <c r="AY170" s="7">
        <f t="shared" si="18"/>
        <v>0</v>
      </c>
      <c r="AZ170" s="7">
        <f t="shared" si="18"/>
        <v>0</v>
      </c>
      <c r="BA170" s="7">
        <f t="shared" si="18"/>
        <v>0</v>
      </c>
      <c r="BB170" s="7">
        <f t="shared" si="18"/>
        <v>0</v>
      </c>
      <c r="BC170" s="7">
        <f>IF(OR(ISERROR(+#REF!/($D170+$E170-$G170)*$G170+#REF!),LEFT(AA170,1)="x"),0,+#REF!/($D170+$E170-$G170)*$G170+#REF!)</f>
        <v>0</v>
      </c>
      <c r="BD170" s="7">
        <f>IF(OR(ISERROR(+#REF!/($D170+$E170-$G170)*$G170+#REF!),LEFT(AB170,1)="x"),0,+#REF!/($D170+$E170-$G170)*$G170+#REF!)</f>
        <v>0</v>
      </c>
      <c r="BE170" s="7" t="e">
        <f>IF(OR(ISERROR(+AC170/($D170+$E170-$G170)*$G170+AC170),LEFT(#REF!,1)="x"),0,+AC170/($D170+$E170-$G170)*$G170+AC170)</f>
        <v>#REF!</v>
      </c>
    </row>
    <row r="171" spans="1:57" hidden="1">
      <c r="A171" s="555"/>
      <c r="B171" s="604"/>
      <c r="C171" s="607"/>
      <c r="D171" s="609"/>
      <c r="E171" s="608"/>
      <c r="F171" s="609"/>
      <c r="G171" s="609"/>
      <c r="H171" s="585"/>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9"/>
        <v>0</v>
      </c>
      <c r="AE171" s="629">
        <f t="shared" si="10"/>
        <v>0</v>
      </c>
      <c r="AF171" s="634">
        <f t="shared" si="11"/>
        <v>0</v>
      </c>
      <c r="AG171" s="43"/>
    </row>
    <row r="172" spans="1:57" hidden="1">
      <c r="A172" s="555"/>
      <c r="B172" s="604"/>
      <c r="C172" s="607"/>
      <c r="D172" s="609"/>
      <c r="E172" s="608"/>
      <c r="F172" s="609"/>
      <c r="G172" s="609"/>
      <c r="H172" s="585"/>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9"/>
        <v>0</v>
      </c>
      <c r="AE172" s="629">
        <f t="shared" si="10"/>
        <v>0</v>
      </c>
      <c r="AF172" s="634">
        <f t="shared" si="11"/>
        <v>0</v>
      </c>
      <c r="AG172" s="43"/>
    </row>
    <row r="173" spans="1:57" hidden="1">
      <c r="A173" s="555"/>
      <c r="B173" s="604"/>
      <c r="C173" s="607"/>
      <c r="D173" s="609"/>
      <c r="E173" s="608"/>
      <c r="F173" s="609"/>
      <c r="G173" s="609"/>
      <c r="H173" s="585"/>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9"/>
        <v>0</v>
      </c>
      <c r="AE173" s="629">
        <f t="shared" si="10"/>
        <v>0</v>
      </c>
      <c r="AF173" s="634">
        <f t="shared" si="11"/>
        <v>0</v>
      </c>
      <c r="AG173" s="43"/>
    </row>
    <row r="174" spans="1:57" hidden="1">
      <c r="A174" s="555"/>
      <c r="B174" s="604"/>
      <c r="C174" s="607"/>
      <c r="D174" s="609"/>
      <c r="E174" s="608"/>
      <c r="F174" s="609"/>
      <c r="G174" s="609"/>
      <c r="H174" s="585"/>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9"/>
        <v>0</v>
      </c>
      <c r="AE174" s="629">
        <f t="shared" si="10"/>
        <v>0</v>
      </c>
      <c r="AF174" s="634">
        <f t="shared" si="11"/>
        <v>0</v>
      </c>
      <c r="AG174" s="43"/>
    </row>
    <row r="175" spans="1:57" hidden="1">
      <c r="A175" s="555"/>
      <c r="B175" s="604"/>
      <c r="C175" s="607"/>
      <c r="D175" s="609"/>
      <c r="E175" s="608"/>
      <c r="F175" s="609"/>
      <c r="G175" s="609"/>
      <c r="H175" s="585"/>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9"/>
        <v>0</v>
      </c>
      <c r="AE175" s="629">
        <f t="shared" si="10"/>
        <v>0</v>
      </c>
      <c r="AF175" s="634">
        <f t="shared" si="11"/>
        <v>0</v>
      </c>
      <c r="AG175" s="43"/>
    </row>
    <row r="176" spans="1:57" hidden="1">
      <c r="A176" s="555"/>
      <c r="B176" s="604"/>
      <c r="C176" s="607"/>
      <c r="D176" s="609"/>
      <c r="E176" s="608"/>
      <c r="F176" s="609"/>
      <c r="G176" s="609"/>
      <c r="H176" s="585"/>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9"/>
        <v>0</v>
      </c>
      <c r="AE176" s="629">
        <f t="shared" si="10"/>
        <v>0</v>
      </c>
      <c r="AF176" s="634">
        <f t="shared" si="11"/>
        <v>0</v>
      </c>
      <c r="AG176" s="43"/>
    </row>
    <row r="177" spans="1:57" hidden="1">
      <c r="A177" s="555"/>
      <c r="B177" s="604"/>
      <c r="C177" s="607"/>
      <c r="D177" s="609"/>
      <c r="E177" s="608"/>
      <c r="F177" s="609"/>
      <c r="G177" s="609"/>
      <c r="H177" s="585"/>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9"/>
        <v>0</v>
      </c>
      <c r="AE177" s="629">
        <f t="shared" si="10"/>
        <v>0</v>
      </c>
      <c r="AF177" s="634">
        <f t="shared" si="11"/>
        <v>0</v>
      </c>
      <c r="AG177" s="43"/>
    </row>
    <row r="178" spans="1:57" hidden="1">
      <c r="A178" s="555"/>
      <c r="B178" s="604"/>
      <c r="C178" s="607"/>
      <c r="D178" s="609"/>
      <c r="E178" s="608"/>
      <c r="F178" s="609"/>
      <c r="G178" s="609"/>
      <c r="H178" s="585"/>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9"/>
        <v>0</v>
      </c>
      <c r="AE178" s="629">
        <f t="shared" si="10"/>
        <v>0</v>
      </c>
      <c r="AF178" s="634">
        <f t="shared" si="11"/>
        <v>0</v>
      </c>
      <c r="AG178" s="43"/>
    </row>
    <row r="179" spans="1:57" hidden="1">
      <c r="A179" s="555"/>
      <c r="B179" s="604"/>
      <c r="C179" s="607"/>
      <c r="D179" s="609"/>
      <c r="E179" s="608"/>
      <c r="F179" s="609"/>
      <c r="G179" s="609"/>
      <c r="H179" s="585"/>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9"/>
        <v>0</v>
      </c>
      <c r="AE179" s="629">
        <f t="shared" si="10"/>
        <v>0</v>
      </c>
      <c r="AF179" s="634">
        <f t="shared" si="11"/>
        <v>0</v>
      </c>
      <c r="AG179" s="43"/>
    </row>
    <row r="180" spans="1:57" hidden="1">
      <c r="A180" s="555"/>
      <c r="B180" s="604"/>
      <c r="C180" s="607"/>
      <c r="D180" s="609"/>
      <c r="E180" s="608"/>
      <c r="F180" s="609"/>
      <c r="G180" s="609"/>
      <c r="H180" s="585"/>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9"/>
        <v>0</v>
      </c>
      <c r="AE180" s="629">
        <f t="shared" si="10"/>
        <v>0</v>
      </c>
      <c r="AF180" s="634">
        <f t="shared" si="11"/>
        <v>0</v>
      </c>
      <c r="AG180" s="43"/>
    </row>
    <row r="181" spans="1:57" hidden="1">
      <c r="A181" s="555"/>
      <c r="B181" s="604"/>
      <c r="C181" s="607"/>
      <c r="D181" s="609"/>
      <c r="E181" s="608"/>
      <c r="F181" s="609"/>
      <c r="G181" s="609"/>
      <c r="H181" s="585"/>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9"/>
        <v>0</v>
      </c>
      <c r="AE181" s="629">
        <f t="shared" si="10"/>
        <v>0</v>
      </c>
      <c r="AF181" s="634">
        <f t="shared" si="11"/>
        <v>0</v>
      </c>
      <c r="AG181" s="43">
        <f>IF(AF181=0,0,"ERROR HERE")</f>
        <v>0</v>
      </c>
      <c r="AH181" s="7">
        <f t="shared" si="19"/>
        <v>0</v>
      </c>
      <c r="AI181" s="7">
        <f t="shared" si="19"/>
        <v>0</v>
      </c>
      <c r="AJ181" s="7">
        <f t="shared" si="19"/>
        <v>0</v>
      </c>
      <c r="AK181" s="7">
        <f t="shared" si="19"/>
        <v>0</v>
      </c>
      <c r="AL181" s="7">
        <f t="shared" si="19"/>
        <v>0</v>
      </c>
      <c r="AM181" s="7">
        <f t="shared" si="19"/>
        <v>0</v>
      </c>
      <c r="AN181" s="7">
        <f t="shared" si="19"/>
        <v>0</v>
      </c>
      <c r="AO181" s="7">
        <f t="shared" si="19"/>
        <v>0</v>
      </c>
      <c r="AP181" s="7">
        <f t="shared" si="19"/>
        <v>0</v>
      </c>
      <c r="AQ181" s="7">
        <f t="shared" si="19"/>
        <v>0</v>
      </c>
      <c r="AR181" s="7">
        <f t="shared" si="19"/>
        <v>0</v>
      </c>
      <c r="AS181" s="7">
        <f t="shared" si="19"/>
        <v>0</v>
      </c>
      <c r="AT181" s="7">
        <f t="shared" si="19"/>
        <v>0</v>
      </c>
      <c r="AU181" s="7">
        <f t="shared" si="19"/>
        <v>0</v>
      </c>
      <c r="AV181" s="7">
        <f t="shared" si="19"/>
        <v>0</v>
      </c>
      <c r="AW181" s="7">
        <f t="shared" si="17"/>
        <v>0</v>
      </c>
      <c r="AX181" s="7">
        <f t="shared" ref="AX181:BB184" si="20">IF(OR(ISERROR(+X181/($D181+$E181-$G181)*$G181+X181),LEFT(V181,1)="x"),0,+X181/($D181+$E181-$G181)*$G181+X181)</f>
        <v>0</v>
      </c>
      <c r="AY181" s="7">
        <f t="shared" si="20"/>
        <v>0</v>
      </c>
      <c r="AZ181" s="7">
        <f t="shared" si="20"/>
        <v>0</v>
      </c>
      <c r="BA181" s="7">
        <f t="shared" si="20"/>
        <v>0</v>
      </c>
      <c r="BB181" s="7">
        <f t="shared" si="20"/>
        <v>0</v>
      </c>
      <c r="BC181" s="7">
        <f>IF(OR(ISERROR(+#REF!/($D181+$E181-$G181)*$G181+#REF!),LEFT(AA181,1)="x"),0,+#REF!/($D181+$E181-$G181)*$G181+#REF!)</f>
        <v>0</v>
      </c>
      <c r="BD181" s="7">
        <f>IF(OR(ISERROR(+#REF!/($D181+$E181-$G181)*$G181+#REF!),LEFT(AB181,1)="x"),0,+#REF!/($D181+$E181-$G181)*$G181+#REF!)</f>
        <v>0</v>
      </c>
      <c r="BE181" s="7" t="e">
        <f>IF(OR(ISERROR(+AC181/($D181+$E181-$G181)*$G181+AC181),LEFT(#REF!,1)="x"),0,+AC181/($D181+$E181-$G181)*$G181+AC181)</f>
        <v>#REF!</v>
      </c>
    </row>
    <row r="182" spans="1:57" hidden="1">
      <c r="A182" s="555"/>
      <c r="B182" s="604"/>
      <c r="C182" s="607"/>
      <c r="D182" s="609"/>
      <c r="E182" s="608"/>
      <c r="F182" s="609"/>
      <c r="G182" s="609"/>
      <c r="H182" s="585"/>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9"/>
        <v>0</v>
      </c>
      <c r="AE182" s="629">
        <f t="shared" si="10"/>
        <v>0</v>
      </c>
      <c r="AF182" s="634">
        <f t="shared" si="11"/>
        <v>0</v>
      </c>
      <c r="AG182" s="43">
        <f>IF(AF182=0,0,"ERROR HERE")</f>
        <v>0</v>
      </c>
      <c r="AH182" s="7">
        <f t="shared" si="19"/>
        <v>0</v>
      </c>
      <c r="AI182" s="7">
        <f t="shared" si="19"/>
        <v>0</v>
      </c>
      <c r="AJ182" s="7">
        <f t="shared" si="19"/>
        <v>0</v>
      </c>
      <c r="AK182" s="7">
        <f t="shared" si="19"/>
        <v>0</v>
      </c>
      <c r="AL182" s="7">
        <f t="shared" si="19"/>
        <v>0</v>
      </c>
      <c r="AM182" s="7">
        <f t="shared" si="19"/>
        <v>0</v>
      </c>
      <c r="AN182" s="7">
        <f t="shared" si="19"/>
        <v>0</v>
      </c>
      <c r="AO182" s="7">
        <f t="shared" si="19"/>
        <v>0</v>
      </c>
      <c r="AP182" s="7">
        <f t="shared" si="19"/>
        <v>0</v>
      </c>
      <c r="AQ182" s="7">
        <f t="shared" si="19"/>
        <v>0</v>
      </c>
      <c r="AR182" s="7">
        <f t="shared" si="19"/>
        <v>0</v>
      </c>
      <c r="AS182" s="7">
        <f t="shared" si="19"/>
        <v>0</v>
      </c>
      <c r="AT182" s="7">
        <f t="shared" si="19"/>
        <v>0</v>
      </c>
      <c r="AU182" s="7">
        <f t="shared" si="19"/>
        <v>0</v>
      </c>
      <c r="AV182" s="7">
        <f t="shared" si="19"/>
        <v>0</v>
      </c>
      <c r="AW182" s="7">
        <f t="shared" si="17"/>
        <v>0</v>
      </c>
      <c r="AX182" s="7">
        <f t="shared" si="20"/>
        <v>0</v>
      </c>
      <c r="AY182" s="7">
        <f t="shared" si="20"/>
        <v>0</v>
      </c>
      <c r="AZ182" s="7">
        <f t="shared" si="20"/>
        <v>0</v>
      </c>
      <c r="BA182" s="7">
        <f t="shared" si="20"/>
        <v>0</v>
      </c>
      <c r="BB182" s="7">
        <f t="shared" si="20"/>
        <v>0</v>
      </c>
      <c r="BC182" s="7">
        <f>IF(OR(ISERROR(+#REF!/($D182+$E182-$G182)*$G182+#REF!),LEFT(AA182,1)="x"),0,+#REF!/($D182+$E182-$G182)*$G182+#REF!)</f>
        <v>0</v>
      </c>
      <c r="BD182" s="7">
        <f>IF(OR(ISERROR(+#REF!/($D182+$E182-$G182)*$G182+#REF!),LEFT(AB182,1)="x"),0,+#REF!/($D182+$E182-$G182)*$G182+#REF!)</f>
        <v>0</v>
      </c>
      <c r="BE182" s="7" t="e">
        <f>IF(OR(ISERROR(+AC182/($D182+$E182-$G182)*$G182+AC182),LEFT(#REF!,1)="x"),0,+AC182/($D182+$E182-$G182)*$G182+AC182)</f>
        <v>#REF!</v>
      </c>
    </row>
    <row r="183" spans="1:57" hidden="1">
      <c r="A183" s="555"/>
      <c r="B183" s="604"/>
      <c r="C183" s="607"/>
      <c r="D183" s="609"/>
      <c r="E183" s="608"/>
      <c r="F183" s="609"/>
      <c r="G183" s="609"/>
      <c r="H183" s="585"/>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9"/>
        <v>0</v>
      </c>
      <c r="AE183" s="629">
        <f t="shared" si="10"/>
        <v>0</v>
      </c>
      <c r="AF183" s="634">
        <f t="shared" si="11"/>
        <v>0</v>
      </c>
      <c r="AG183" s="43">
        <f>IF(AF183=0,0,"ERROR HERE")</f>
        <v>0</v>
      </c>
      <c r="AH183" s="7">
        <f t="shared" si="19"/>
        <v>0</v>
      </c>
      <c r="AI183" s="7">
        <f t="shared" si="19"/>
        <v>0</v>
      </c>
      <c r="AJ183" s="7">
        <f t="shared" si="19"/>
        <v>0</v>
      </c>
      <c r="AK183" s="7">
        <f t="shared" si="19"/>
        <v>0</v>
      </c>
      <c r="AL183" s="7">
        <f t="shared" si="19"/>
        <v>0</v>
      </c>
      <c r="AM183" s="7">
        <f t="shared" si="19"/>
        <v>0</v>
      </c>
      <c r="AN183" s="7">
        <f t="shared" si="19"/>
        <v>0</v>
      </c>
      <c r="AO183" s="7">
        <f t="shared" si="19"/>
        <v>0</v>
      </c>
      <c r="AP183" s="7">
        <f t="shared" si="19"/>
        <v>0</v>
      </c>
      <c r="AQ183" s="7">
        <f t="shared" si="19"/>
        <v>0</v>
      </c>
      <c r="AR183" s="7">
        <f t="shared" si="19"/>
        <v>0</v>
      </c>
      <c r="AS183" s="7">
        <f t="shared" si="19"/>
        <v>0</v>
      </c>
      <c r="AT183" s="7">
        <f t="shared" si="19"/>
        <v>0</v>
      </c>
      <c r="AU183" s="7">
        <f t="shared" si="19"/>
        <v>0</v>
      </c>
      <c r="AV183" s="7">
        <f t="shared" si="19"/>
        <v>0</v>
      </c>
      <c r="AW183" s="7">
        <f t="shared" si="17"/>
        <v>0</v>
      </c>
      <c r="AX183" s="7">
        <f t="shared" si="20"/>
        <v>0</v>
      </c>
      <c r="AY183" s="7">
        <f t="shared" si="20"/>
        <v>0</v>
      </c>
      <c r="AZ183" s="7">
        <f t="shared" si="20"/>
        <v>0</v>
      </c>
      <c r="BA183" s="7">
        <f t="shared" si="20"/>
        <v>0</v>
      </c>
      <c r="BB183" s="7">
        <f t="shared" si="20"/>
        <v>0</v>
      </c>
      <c r="BC183" s="7">
        <f>IF(OR(ISERROR(+#REF!/($D183+$E183-$G183)*$G183+#REF!),LEFT(AA183,1)="x"),0,+#REF!/($D183+$E183-$G183)*$G183+#REF!)</f>
        <v>0</v>
      </c>
      <c r="BD183" s="7">
        <f>IF(OR(ISERROR(+#REF!/($D183+$E183-$G183)*$G183+#REF!),LEFT(AB183,1)="x"),0,+#REF!/($D183+$E183-$G183)*$G183+#REF!)</f>
        <v>0</v>
      </c>
      <c r="BE183" s="7" t="e">
        <f>IF(OR(ISERROR(+AC183/($D183+$E183-$G183)*$G183+AC183),LEFT(#REF!,1)="x"),0,+AC183/($D183+$E183-$G183)*$G183+AC183)</f>
        <v>#REF!</v>
      </c>
    </row>
    <row r="184" spans="1:57" hidden="1">
      <c r="A184" s="555"/>
      <c r="B184" s="604"/>
      <c r="C184" s="607"/>
      <c r="D184" s="609"/>
      <c r="E184" s="608"/>
      <c r="F184" s="609"/>
      <c r="G184" s="609"/>
      <c r="H184" s="585"/>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9"/>
        <v>0</v>
      </c>
      <c r="AE184" s="629">
        <f t="shared" si="10"/>
        <v>0</v>
      </c>
      <c r="AF184" s="634">
        <f t="shared" si="11"/>
        <v>0</v>
      </c>
      <c r="AG184" s="43">
        <f>IF(AF184=0,0,"ERROR HERE")</f>
        <v>0</v>
      </c>
      <c r="AH184" s="7">
        <f t="shared" si="19"/>
        <v>0</v>
      </c>
      <c r="AI184" s="7">
        <f t="shared" si="19"/>
        <v>0</v>
      </c>
      <c r="AJ184" s="7">
        <f t="shared" si="19"/>
        <v>0</v>
      </c>
      <c r="AK184" s="7">
        <f t="shared" si="19"/>
        <v>0</v>
      </c>
      <c r="AL184" s="7">
        <f t="shared" si="19"/>
        <v>0</v>
      </c>
      <c r="AM184" s="7">
        <f t="shared" si="19"/>
        <v>0</v>
      </c>
      <c r="AN184" s="7">
        <f t="shared" si="19"/>
        <v>0</v>
      </c>
      <c r="AO184" s="7">
        <f t="shared" si="19"/>
        <v>0</v>
      </c>
      <c r="AP184" s="7">
        <f t="shared" si="19"/>
        <v>0</v>
      </c>
      <c r="AQ184" s="7">
        <f t="shared" si="19"/>
        <v>0</v>
      </c>
      <c r="AR184" s="7">
        <f t="shared" si="19"/>
        <v>0</v>
      </c>
      <c r="AS184" s="7">
        <f t="shared" si="19"/>
        <v>0</v>
      </c>
      <c r="AT184" s="7">
        <f t="shared" si="19"/>
        <v>0</v>
      </c>
      <c r="AU184" s="7">
        <f t="shared" si="19"/>
        <v>0</v>
      </c>
      <c r="AV184" s="7">
        <f t="shared" si="19"/>
        <v>0</v>
      </c>
      <c r="AW184" s="7">
        <f t="shared" si="17"/>
        <v>0</v>
      </c>
      <c r="AX184" s="7">
        <f t="shared" si="20"/>
        <v>0</v>
      </c>
      <c r="AY184" s="7">
        <f t="shared" si="20"/>
        <v>0</v>
      </c>
      <c r="AZ184" s="7">
        <f t="shared" si="20"/>
        <v>0</v>
      </c>
      <c r="BA184" s="7">
        <f t="shared" si="20"/>
        <v>0</v>
      </c>
      <c r="BB184" s="7">
        <f t="shared" si="20"/>
        <v>0</v>
      </c>
      <c r="BC184" s="7">
        <f>IF(OR(ISERROR(+#REF!/($D184+$E184-$G184)*$G184+#REF!),LEFT(AA184,1)="x"),0,+#REF!/($D184+$E184-$G184)*$G184+#REF!)</f>
        <v>0</v>
      </c>
      <c r="BD184" s="7">
        <f>IF(OR(ISERROR(+#REF!/($D184+$E184-$G184)*$G184+#REF!),LEFT(AB184,1)="x"),0,+#REF!/($D184+$E184-$G184)*$G184+#REF!)</f>
        <v>0</v>
      </c>
      <c r="BE184" s="7" t="e">
        <f>IF(OR(ISERROR(+AC184/($D184+$E184-$G184)*$G184+AC184),LEFT(#REF!,1)="x"),0,+AC184/($D184+$E184-$G184)*$G184+AC184)</f>
        <v>#REF!</v>
      </c>
    </row>
    <row r="185" spans="1:57" hidden="1">
      <c r="A185" s="555"/>
      <c r="B185" s="604"/>
      <c r="C185" s="607"/>
      <c r="D185" s="609"/>
      <c r="E185" s="608"/>
      <c r="F185" s="609"/>
      <c r="G185" s="609"/>
      <c r="H185" s="585"/>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9"/>
        <v>0</v>
      </c>
      <c r="AE185" s="629">
        <f t="shared" si="10"/>
        <v>0</v>
      </c>
      <c r="AF185" s="634">
        <f t="shared" si="11"/>
        <v>0</v>
      </c>
      <c r="AG185" s="43"/>
    </row>
    <row r="186" spans="1:57" hidden="1">
      <c r="A186" s="555"/>
      <c r="B186" s="604"/>
      <c r="C186" s="607"/>
      <c r="D186" s="609"/>
      <c r="E186" s="608"/>
      <c r="F186" s="609"/>
      <c r="G186" s="609"/>
      <c r="H186" s="585"/>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9"/>
        <v>0</v>
      </c>
      <c r="AE186" s="629">
        <f t="shared" si="10"/>
        <v>0</v>
      </c>
      <c r="AF186" s="634">
        <f t="shared" si="11"/>
        <v>0</v>
      </c>
      <c r="AG186" s="43"/>
    </row>
    <row r="187" spans="1:57" hidden="1">
      <c r="A187" s="555"/>
      <c r="B187" s="604"/>
      <c r="C187" s="607"/>
      <c r="D187" s="609"/>
      <c r="E187" s="608"/>
      <c r="F187" s="609"/>
      <c r="G187" s="609"/>
      <c r="H187" s="585"/>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9"/>
        <v>0</v>
      </c>
      <c r="AE187" s="629">
        <f t="shared" si="10"/>
        <v>0</v>
      </c>
      <c r="AF187" s="634">
        <f t="shared" si="11"/>
        <v>0</v>
      </c>
      <c r="AG187" s="43"/>
    </row>
    <row r="188" spans="1:57" hidden="1">
      <c r="A188" s="555"/>
      <c r="B188" s="604"/>
      <c r="C188" s="607"/>
      <c r="D188" s="609"/>
      <c r="E188" s="608"/>
      <c r="F188" s="609"/>
      <c r="G188" s="609"/>
      <c r="H188" s="585"/>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9"/>
        <v>0</v>
      </c>
      <c r="AE188" s="629">
        <f t="shared" si="10"/>
        <v>0</v>
      </c>
      <c r="AF188" s="634">
        <f t="shared" si="11"/>
        <v>0</v>
      </c>
      <c r="AG188" s="43"/>
    </row>
    <row r="189" spans="1:57" hidden="1">
      <c r="A189" s="555"/>
      <c r="B189" s="604"/>
      <c r="C189" s="607"/>
      <c r="D189" s="609"/>
      <c r="E189" s="608"/>
      <c r="F189" s="609"/>
      <c r="G189" s="609"/>
      <c r="H189" s="585"/>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9"/>
        <v>0</v>
      </c>
      <c r="AE189" s="629">
        <f t="shared" si="10"/>
        <v>0</v>
      </c>
      <c r="AF189" s="634">
        <f t="shared" si="11"/>
        <v>0</v>
      </c>
      <c r="AG189" s="43">
        <f t="shared" ref="AG189:AG196" si="21">IF(AF189=0,0,"ERROR HERE")</f>
        <v>0</v>
      </c>
      <c r="AH189" s="7">
        <f t="shared" si="19"/>
        <v>0</v>
      </c>
      <c r="AI189" s="7">
        <f t="shared" si="19"/>
        <v>0</v>
      </c>
      <c r="AJ189" s="7">
        <f t="shared" si="19"/>
        <v>0</v>
      </c>
      <c r="AK189" s="7">
        <f t="shared" si="19"/>
        <v>0</v>
      </c>
      <c r="AL189" s="7">
        <f t="shared" si="19"/>
        <v>0</v>
      </c>
      <c r="AM189" s="7">
        <f t="shared" si="19"/>
        <v>0</v>
      </c>
      <c r="AN189" s="7">
        <f t="shared" si="19"/>
        <v>0</v>
      </c>
      <c r="AO189" s="7">
        <f t="shared" si="19"/>
        <v>0</v>
      </c>
      <c r="AP189" s="7">
        <f t="shared" si="19"/>
        <v>0</v>
      </c>
      <c r="AQ189" s="7">
        <f t="shared" si="19"/>
        <v>0</v>
      </c>
      <c r="AR189" s="7">
        <f t="shared" si="19"/>
        <v>0</v>
      </c>
      <c r="AS189" s="7">
        <f t="shared" si="19"/>
        <v>0</v>
      </c>
      <c r="AT189" s="7">
        <f t="shared" si="19"/>
        <v>0</v>
      </c>
      <c r="AU189" s="7">
        <f t="shared" si="19"/>
        <v>0</v>
      </c>
      <c r="AV189" s="7">
        <f t="shared" si="19"/>
        <v>0</v>
      </c>
      <c r="AW189" s="7">
        <f t="shared" si="17"/>
        <v>0</v>
      </c>
      <c r="AX189" s="7">
        <f t="shared" ref="AX189:AX201" si="22">IF(OR(ISERROR(+X189/($D189+$E189-$G189)*$G189+X189),LEFT(V189,1)="x"),0,+X189/($D189+$E189-$G189)*$G189+X189)</f>
        <v>0</v>
      </c>
      <c r="AY189" s="7">
        <f t="shared" ref="AY189:AY201" si="23">IF(OR(ISERROR(+Y189/($D189+$E189-$G189)*$G189+Y189),LEFT(W189,1)="x"),0,+Y189/($D189+$E189-$G189)*$G189+Y189)</f>
        <v>0</v>
      </c>
      <c r="AZ189" s="7">
        <f t="shared" ref="AZ189:AZ201" si="24">IF(OR(ISERROR(+Z189/($D189+$E189-$G189)*$G189+Z189),LEFT(X189,1)="x"),0,+Z189/($D189+$E189-$G189)*$G189+Z189)</f>
        <v>0</v>
      </c>
      <c r="BA189" s="7">
        <f t="shared" ref="BA189:BA201" si="25">IF(OR(ISERROR(+AA189/($D189+$E189-$G189)*$G189+AA189),LEFT(Y189,1)="x"),0,+AA189/($D189+$E189-$G189)*$G189+AA189)</f>
        <v>0</v>
      </c>
      <c r="BB189" s="7">
        <f t="shared" ref="BB189:BB201" si="26">IF(OR(ISERROR(+AB189/($D189+$E189-$G189)*$G189+AB189),LEFT(Z189,1)="x"),0,+AB189/($D189+$E189-$G189)*$G189+AB189)</f>
        <v>0</v>
      </c>
      <c r="BC189" s="7">
        <f>IF(OR(ISERROR(+#REF!/($D189+$E189-$G189)*$G189+#REF!),LEFT(AA189,1)="x"),0,+#REF!/($D189+$E189-$G189)*$G189+#REF!)</f>
        <v>0</v>
      </c>
      <c r="BD189" s="7">
        <f>IF(OR(ISERROR(+#REF!/($D189+$E189-$G189)*$G189+#REF!),LEFT(AB189,1)="x"),0,+#REF!/($D189+$E189-$G189)*$G189+#REF!)</f>
        <v>0</v>
      </c>
      <c r="BE189" s="7" t="e">
        <f>IF(OR(ISERROR(+AC189/($D189+$E189-$G189)*$G189+AC189),LEFT(#REF!,1)="x"),0,+AC189/($D189+$E189-$G189)*$G189+AC189)</f>
        <v>#REF!</v>
      </c>
    </row>
    <row r="190" spans="1:57" hidden="1">
      <c r="A190" s="555"/>
      <c r="B190" s="604"/>
      <c r="C190" s="607"/>
      <c r="D190" s="609"/>
      <c r="E190" s="608"/>
      <c r="F190" s="609"/>
      <c r="G190" s="609"/>
      <c r="H190" s="585"/>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9"/>
        <v>0</v>
      </c>
      <c r="AE190" s="629">
        <f t="shared" si="10"/>
        <v>0</v>
      </c>
      <c r="AF190" s="634">
        <f t="shared" si="11"/>
        <v>0</v>
      </c>
      <c r="AG190" s="43">
        <f t="shared" si="21"/>
        <v>0</v>
      </c>
      <c r="AH190" s="7">
        <f t="shared" si="19"/>
        <v>0</v>
      </c>
      <c r="AI190" s="7">
        <f t="shared" si="19"/>
        <v>0</v>
      </c>
      <c r="AJ190" s="7">
        <f t="shared" si="19"/>
        <v>0</v>
      </c>
      <c r="AK190" s="7">
        <f t="shared" si="19"/>
        <v>0</v>
      </c>
      <c r="AL190" s="7">
        <f t="shared" si="19"/>
        <v>0</v>
      </c>
      <c r="AM190" s="7">
        <f t="shared" si="19"/>
        <v>0</v>
      </c>
      <c r="AN190" s="7">
        <f t="shared" si="19"/>
        <v>0</v>
      </c>
      <c r="AO190" s="7">
        <f t="shared" si="19"/>
        <v>0</v>
      </c>
      <c r="AP190" s="7">
        <f t="shared" si="19"/>
        <v>0</v>
      </c>
      <c r="AQ190" s="7">
        <f t="shared" si="19"/>
        <v>0</v>
      </c>
      <c r="AR190" s="7">
        <f t="shared" si="19"/>
        <v>0</v>
      </c>
      <c r="AS190" s="7">
        <f t="shared" si="19"/>
        <v>0</v>
      </c>
      <c r="AT190" s="7">
        <f t="shared" si="19"/>
        <v>0</v>
      </c>
      <c r="AU190" s="7">
        <f t="shared" si="19"/>
        <v>0</v>
      </c>
      <c r="AV190" s="7">
        <f t="shared" si="19"/>
        <v>0</v>
      </c>
      <c r="AW190" s="7">
        <f t="shared" si="17"/>
        <v>0</v>
      </c>
      <c r="AX190" s="7">
        <f t="shared" si="22"/>
        <v>0</v>
      </c>
      <c r="AY190" s="7">
        <f t="shared" si="23"/>
        <v>0</v>
      </c>
      <c r="AZ190" s="7">
        <f t="shared" si="24"/>
        <v>0</v>
      </c>
      <c r="BA190" s="7">
        <f t="shared" si="25"/>
        <v>0</v>
      </c>
      <c r="BB190" s="7">
        <f t="shared" si="26"/>
        <v>0</v>
      </c>
      <c r="BC190" s="7">
        <f>IF(OR(ISERROR(+#REF!/($D190+$E190-$G190)*$G190+#REF!),LEFT(AA190,1)="x"),0,+#REF!/($D190+$E190-$G190)*$G190+#REF!)</f>
        <v>0</v>
      </c>
      <c r="BD190" s="7">
        <f>IF(OR(ISERROR(+#REF!/($D190+$E190-$G190)*$G190+#REF!),LEFT(AB190,1)="x"),0,+#REF!/($D190+$E190-$G190)*$G190+#REF!)</f>
        <v>0</v>
      </c>
      <c r="BE190" s="7" t="e">
        <f>IF(OR(ISERROR(+AC190/($D190+$E190-$G190)*$G190+AC190),LEFT(#REF!,1)="x"),0,+AC190/($D190+$E190-$G190)*$G190+AC190)</f>
        <v>#REF!</v>
      </c>
    </row>
    <row r="191" spans="1:57" hidden="1">
      <c r="A191" s="555"/>
      <c r="B191" s="604"/>
      <c r="C191" s="607"/>
      <c r="D191" s="609"/>
      <c r="E191" s="608"/>
      <c r="F191" s="609"/>
      <c r="G191" s="609"/>
      <c r="H191" s="585"/>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9"/>
        <v>0</v>
      </c>
      <c r="AE191" s="629">
        <f t="shared" si="10"/>
        <v>0</v>
      </c>
      <c r="AF191" s="634">
        <f t="shared" si="11"/>
        <v>0</v>
      </c>
      <c r="AG191" s="43">
        <f t="shared" si="21"/>
        <v>0</v>
      </c>
      <c r="AH191" s="7">
        <f t="shared" si="19"/>
        <v>0</v>
      </c>
      <c r="AI191" s="7">
        <f t="shared" si="19"/>
        <v>0</v>
      </c>
      <c r="AJ191" s="7">
        <f t="shared" si="19"/>
        <v>0</v>
      </c>
      <c r="AK191" s="7">
        <f t="shared" si="19"/>
        <v>0</v>
      </c>
      <c r="AL191" s="7">
        <f t="shared" si="19"/>
        <v>0</v>
      </c>
      <c r="AM191" s="7">
        <f t="shared" si="19"/>
        <v>0</v>
      </c>
      <c r="AN191" s="7">
        <f t="shared" si="19"/>
        <v>0</v>
      </c>
      <c r="AO191" s="7">
        <f t="shared" si="19"/>
        <v>0</v>
      </c>
      <c r="AP191" s="7">
        <f t="shared" si="19"/>
        <v>0</v>
      </c>
      <c r="AQ191" s="7">
        <f t="shared" si="19"/>
        <v>0</v>
      </c>
      <c r="AR191" s="7">
        <f t="shared" si="19"/>
        <v>0</v>
      </c>
      <c r="AS191" s="7">
        <f t="shared" si="19"/>
        <v>0</v>
      </c>
      <c r="AT191" s="7">
        <f t="shared" si="19"/>
        <v>0</v>
      </c>
      <c r="AU191" s="7">
        <f t="shared" si="19"/>
        <v>0</v>
      </c>
      <c r="AV191" s="7">
        <f t="shared" si="19"/>
        <v>0</v>
      </c>
      <c r="AW191" s="7">
        <f t="shared" si="17"/>
        <v>0</v>
      </c>
      <c r="AX191" s="7">
        <f t="shared" si="22"/>
        <v>0</v>
      </c>
      <c r="AY191" s="7">
        <f t="shared" si="23"/>
        <v>0</v>
      </c>
      <c r="AZ191" s="7">
        <f t="shared" si="24"/>
        <v>0</v>
      </c>
      <c r="BA191" s="7">
        <f t="shared" si="25"/>
        <v>0</v>
      </c>
      <c r="BB191" s="7">
        <f t="shared" si="26"/>
        <v>0</v>
      </c>
      <c r="BC191" s="7">
        <f>IF(OR(ISERROR(+#REF!/($D191+$E191-$G191)*$G191+#REF!),LEFT(AA191,1)="x"),0,+#REF!/($D191+$E191-$G191)*$G191+#REF!)</f>
        <v>0</v>
      </c>
      <c r="BD191" s="7">
        <f>IF(OR(ISERROR(+#REF!/($D191+$E191-$G191)*$G191+#REF!),LEFT(AB191,1)="x"),0,+#REF!/($D191+$E191-$G191)*$G191+#REF!)</f>
        <v>0</v>
      </c>
      <c r="BE191" s="7" t="e">
        <f>IF(OR(ISERROR(+AC191/($D191+$E191-$G191)*$G191+AC191),LEFT(#REF!,1)="x"),0,+AC191/($D191+$E191-$G191)*$G191+AC191)</f>
        <v>#REF!</v>
      </c>
    </row>
    <row r="192" spans="1:57" hidden="1">
      <c r="A192" s="555"/>
      <c r="B192" s="604"/>
      <c r="C192" s="607"/>
      <c r="D192" s="609"/>
      <c r="E192" s="608"/>
      <c r="F192" s="609"/>
      <c r="G192" s="609"/>
      <c r="H192" s="585"/>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9"/>
        <v>0</v>
      </c>
      <c r="AE192" s="629">
        <f t="shared" si="10"/>
        <v>0</v>
      </c>
      <c r="AF192" s="634">
        <f t="shared" si="11"/>
        <v>0</v>
      </c>
      <c r="AG192" s="43">
        <f t="shared" si="21"/>
        <v>0</v>
      </c>
      <c r="AH192" s="7">
        <f t="shared" si="19"/>
        <v>0</v>
      </c>
      <c r="AI192" s="7">
        <f t="shared" si="19"/>
        <v>0</v>
      </c>
      <c r="AJ192" s="7">
        <f t="shared" si="19"/>
        <v>0</v>
      </c>
      <c r="AK192" s="7">
        <f t="shared" si="19"/>
        <v>0</v>
      </c>
      <c r="AL192" s="7">
        <f t="shared" si="19"/>
        <v>0</v>
      </c>
      <c r="AM192" s="7">
        <f t="shared" si="19"/>
        <v>0</v>
      </c>
      <c r="AN192" s="7">
        <f t="shared" si="19"/>
        <v>0</v>
      </c>
      <c r="AO192" s="7">
        <f t="shared" si="19"/>
        <v>0</v>
      </c>
      <c r="AP192" s="7">
        <f t="shared" si="19"/>
        <v>0</v>
      </c>
      <c r="AQ192" s="7">
        <f t="shared" si="19"/>
        <v>0</v>
      </c>
      <c r="AR192" s="7">
        <f t="shared" si="19"/>
        <v>0</v>
      </c>
      <c r="AS192" s="7">
        <f t="shared" si="19"/>
        <v>0</v>
      </c>
      <c r="AT192" s="7">
        <f t="shared" si="19"/>
        <v>0</v>
      </c>
      <c r="AU192" s="7">
        <f t="shared" si="19"/>
        <v>0</v>
      </c>
      <c r="AV192" s="7">
        <f t="shared" si="19"/>
        <v>0</v>
      </c>
      <c r="AW192" s="7">
        <f t="shared" si="17"/>
        <v>0</v>
      </c>
      <c r="AX192" s="7">
        <f t="shared" si="22"/>
        <v>0</v>
      </c>
      <c r="AY192" s="7">
        <f t="shared" si="23"/>
        <v>0</v>
      </c>
      <c r="AZ192" s="7">
        <f t="shared" si="24"/>
        <v>0</v>
      </c>
      <c r="BA192" s="7">
        <f t="shared" si="25"/>
        <v>0</v>
      </c>
      <c r="BB192" s="7">
        <f t="shared" si="26"/>
        <v>0</v>
      </c>
      <c r="BC192" s="7">
        <f>IF(OR(ISERROR(+#REF!/($D192+$E192-$G192)*$G192+#REF!),LEFT(AA192,1)="x"),0,+#REF!/($D192+$E192-$G192)*$G192+#REF!)</f>
        <v>0</v>
      </c>
      <c r="BD192" s="7">
        <f>IF(OR(ISERROR(+#REF!/($D192+$E192-$G192)*$G192+#REF!),LEFT(AB192,1)="x"),0,+#REF!/($D192+$E192-$G192)*$G192+#REF!)</f>
        <v>0</v>
      </c>
      <c r="BE192" s="7" t="e">
        <f>IF(OR(ISERROR(+AC192/($D192+$E192-$G192)*$G192+AC192),LEFT(#REF!,1)="x"),0,+AC192/($D192+$E192-$G192)*$G192+AC192)</f>
        <v>#REF!</v>
      </c>
    </row>
    <row r="193" spans="1:57" hidden="1">
      <c r="A193" s="555"/>
      <c r="B193" s="604"/>
      <c r="C193" s="607"/>
      <c r="D193" s="609"/>
      <c r="E193" s="608"/>
      <c r="F193" s="609"/>
      <c r="G193" s="60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9"/>
        <v>0</v>
      </c>
      <c r="AE193" s="629">
        <f t="shared" si="10"/>
        <v>0</v>
      </c>
      <c r="AF193" s="634">
        <f t="shared" si="11"/>
        <v>0</v>
      </c>
      <c r="AG193" s="43">
        <f t="shared" si="21"/>
        <v>0</v>
      </c>
      <c r="AH193" s="7">
        <f t="shared" si="19"/>
        <v>0</v>
      </c>
      <c r="AI193" s="7">
        <f t="shared" si="19"/>
        <v>0</v>
      </c>
      <c r="AJ193" s="7">
        <f t="shared" si="19"/>
        <v>0</v>
      </c>
      <c r="AK193" s="7">
        <f t="shared" si="19"/>
        <v>0</v>
      </c>
      <c r="AL193" s="7">
        <f t="shared" si="19"/>
        <v>0</v>
      </c>
      <c r="AM193" s="7">
        <f t="shared" si="19"/>
        <v>0</v>
      </c>
      <c r="AN193" s="7">
        <f t="shared" si="19"/>
        <v>0</v>
      </c>
      <c r="AO193" s="7">
        <f t="shared" si="19"/>
        <v>0</v>
      </c>
      <c r="AP193" s="7">
        <f t="shared" si="19"/>
        <v>0</v>
      </c>
      <c r="AQ193" s="7">
        <f t="shared" si="19"/>
        <v>0</v>
      </c>
      <c r="AR193" s="7">
        <f t="shared" si="19"/>
        <v>0</v>
      </c>
      <c r="AS193" s="7">
        <f t="shared" si="19"/>
        <v>0</v>
      </c>
      <c r="AT193" s="7">
        <f t="shared" si="19"/>
        <v>0</v>
      </c>
      <c r="AU193" s="7">
        <f t="shared" si="19"/>
        <v>0</v>
      </c>
      <c r="AV193" s="7">
        <f t="shared" si="19"/>
        <v>0</v>
      </c>
      <c r="AW193" s="7">
        <f t="shared" si="17"/>
        <v>0</v>
      </c>
      <c r="AX193" s="7">
        <f t="shared" si="22"/>
        <v>0</v>
      </c>
      <c r="AY193" s="7">
        <f t="shared" si="23"/>
        <v>0</v>
      </c>
      <c r="AZ193" s="7">
        <f t="shared" si="24"/>
        <v>0</v>
      </c>
      <c r="BA193" s="7">
        <f t="shared" si="25"/>
        <v>0</v>
      </c>
      <c r="BB193" s="7">
        <f t="shared" si="26"/>
        <v>0</v>
      </c>
      <c r="BC193" s="7">
        <f>IF(OR(ISERROR(+#REF!/($D193+$E193-$G193)*$G193+#REF!),LEFT(AA193,1)="x"),0,+#REF!/($D193+$E193-$G193)*$G193+#REF!)</f>
        <v>0</v>
      </c>
      <c r="BD193" s="7">
        <f>IF(OR(ISERROR(+#REF!/($D193+$E193-$G193)*$G193+#REF!),LEFT(AB193,1)="x"),0,+#REF!/($D193+$E193-$G193)*$G193+#REF!)</f>
        <v>0</v>
      </c>
      <c r="BE193" s="7" t="e">
        <f>IF(OR(ISERROR(+AC193/($D193+$E193-$G193)*$G193+AC193),LEFT(#REF!,1)="x"),0,+AC193/($D193+$E193-$G193)*$G193+AC193)</f>
        <v>#REF!</v>
      </c>
    </row>
    <row r="194" spans="1:57" hidden="1">
      <c r="A194" s="555"/>
      <c r="B194" s="604"/>
      <c r="C194" s="607"/>
      <c r="D194" s="609"/>
      <c r="E194" s="608"/>
      <c r="F194" s="609"/>
      <c r="G194" s="60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9"/>
        <v>0</v>
      </c>
      <c r="AE194" s="629">
        <f t="shared" si="10"/>
        <v>0</v>
      </c>
      <c r="AF194" s="634">
        <f t="shared" si="11"/>
        <v>0</v>
      </c>
      <c r="AG194" s="43">
        <f t="shared" si="21"/>
        <v>0</v>
      </c>
      <c r="AH194" s="7">
        <f t="shared" si="19"/>
        <v>0</v>
      </c>
      <c r="AI194" s="7">
        <f t="shared" si="19"/>
        <v>0</v>
      </c>
      <c r="AJ194" s="7">
        <f t="shared" si="19"/>
        <v>0</v>
      </c>
      <c r="AK194" s="7">
        <f t="shared" si="19"/>
        <v>0</v>
      </c>
      <c r="AL194" s="7">
        <f t="shared" si="19"/>
        <v>0</v>
      </c>
      <c r="AM194" s="7">
        <f t="shared" si="19"/>
        <v>0</v>
      </c>
      <c r="AN194" s="7">
        <f t="shared" si="19"/>
        <v>0</v>
      </c>
      <c r="AO194" s="7">
        <f t="shared" si="19"/>
        <v>0</v>
      </c>
      <c r="AP194" s="7">
        <f t="shared" si="19"/>
        <v>0</v>
      </c>
      <c r="AQ194" s="7">
        <f t="shared" si="19"/>
        <v>0</v>
      </c>
      <c r="AR194" s="7">
        <f t="shared" si="19"/>
        <v>0</v>
      </c>
      <c r="AS194" s="7">
        <f t="shared" si="19"/>
        <v>0</v>
      </c>
      <c r="AT194" s="7">
        <f t="shared" si="19"/>
        <v>0</v>
      </c>
      <c r="AU194" s="7">
        <f t="shared" si="19"/>
        <v>0</v>
      </c>
      <c r="AV194" s="7">
        <f t="shared" si="19"/>
        <v>0</v>
      </c>
      <c r="AW194" s="7">
        <f t="shared" si="17"/>
        <v>0</v>
      </c>
      <c r="AX194" s="7">
        <f t="shared" si="22"/>
        <v>0</v>
      </c>
      <c r="AY194" s="7">
        <f t="shared" si="23"/>
        <v>0</v>
      </c>
      <c r="AZ194" s="7">
        <f t="shared" si="24"/>
        <v>0</v>
      </c>
      <c r="BA194" s="7">
        <f t="shared" si="25"/>
        <v>0</v>
      </c>
      <c r="BB194" s="7">
        <f t="shared" si="26"/>
        <v>0</v>
      </c>
      <c r="BC194" s="7">
        <f>IF(OR(ISERROR(+#REF!/($D194+$E194-$G194)*$G194+#REF!),LEFT(AA194,1)="x"),0,+#REF!/($D194+$E194-$G194)*$G194+#REF!)</f>
        <v>0</v>
      </c>
      <c r="BD194" s="7">
        <f>IF(OR(ISERROR(+#REF!/($D194+$E194-$G194)*$G194+#REF!),LEFT(AB194,1)="x"),0,+#REF!/($D194+$E194-$G194)*$G194+#REF!)</f>
        <v>0</v>
      </c>
      <c r="BE194" s="7" t="e">
        <f>IF(OR(ISERROR(+AC194/($D194+$E194-$G194)*$G194+AC194),LEFT(#REF!,1)="x"),0,+AC194/($D194+$E194-$G194)*$G194+AC194)</f>
        <v>#REF!</v>
      </c>
    </row>
    <row r="195" spans="1:57" hidden="1">
      <c r="A195" s="555"/>
      <c r="B195" s="604"/>
      <c r="C195" s="607"/>
      <c r="D195" s="609"/>
      <c r="E195" s="608"/>
      <c r="F195" s="609"/>
      <c r="G195" s="60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9"/>
        <v>0</v>
      </c>
      <c r="AE195" s="629">
        <f t="shared" si="10"/>
        <v>0</v>
      </c>
      <c r="AF195" s="634">
        <f t="shared" si="11"/>
        <v>0</v>
      </c>
      <c r="AG195" s="43">
        <f t="shared" si="21"/>
        <v>0</v>
      </c>
      <c r="AH195" s="7">
        <f t="shared" si="19"/>
        <v>0</v>
      </c>
      <c r="AI195" s="7">
        <f t="shared" si="19"/>
        <v>0</v>
      </c>
      <c r="AJ195" s="7">
        <f t="shared" si="19"/>
        <v>0</v>
      </c>
      <c r="AK195" s="7">
        <f t="shared" si="19"/>
        <v>0</v>
      </c>
      <c r="AL195" s="7">
        <f t="shared" si="19"/>
        <v>0</v>
      </c>
      <c r="AM195" s="7">
        <f t="shared" si="19"/>
        <v>0</v>
      </c>
      <c r="AN195" s="7">
        <f t="shared" si="19"/>
        <v>0</v>
      </c>
      <c r="AO195" s="7">
        <f t="shared" si="19"/>
        <v>0</v>
      </c>
      <c r="AP195" s="7">
        <f t="shared" si="19"/>
        <v>0</v>
      </c>
      <c r="AQ195" s="7">
        <f t="shared" si="19"/>
        <v>0</v>
      </c>
      <c r="AR195" s="7">
        <f t="shared" si="19"/>
        <v>0</v>
      </c>
      <c r="AS195" s="7">
        <f t="shared" si="19"/>
        <v>0</v>
      </c>
      <c r="AT195" s="7">
        <f t="shared" si="19"/>
        <v>0</v>
      </c>
      <c r="AU195" s="7">
        <f t="shared" si="19"/>
        <v>0</v>
      </c>
      <c r="AV195" s="7">
        <f t="shared" si="19"/>
        <v>0</v>
      </c>
      <c r="AW195" s="7">
        <f t="shared" si="17"/>
        <v>0</v>
      </c>
      <c r="AX195" s="7">
        <f t="shared" si="22"/>
        <v>0</v>
      </c>
      <c r="AY195" s="7">
        <f t="shared" si="23"/>
        <v>0</v>
      </c>
      <c r="AZ195" s="7">
        <f t="shared" si="24"/>
        <v>0</v>
      </c>
      <c r="BA195" s="7">
        <f t="shared" si="25"/>
        <v>0</v>
      </c>
      <c r="BB195" s="7">
        <f t="shared" si="26"/>
        <v>0</v>
      </c>
      <c r="BC195" s="7">
        <f>IF(OR(ISERROR(+#REF!/($D195+$E195-$G195)*$G195+#REF!),LEFT(AA195,1)="x"),0,+#REF!/($D195+$E195-$G195)*$G195+#REF!)</f>
        <v>0</v>
      </c>
      <c r="BD195" s="7">
        <f>IF(OR(ISERROR(+#REF!/($D195+$E195-$G195)*$G195+#REF!),LEFT(AB195,1)="x"),0,+#REF!/($D195+$E195-$G195)*$G195+#REF!)</f>
        <v>0</v>
      </c>
      <c r="BE195" s="7" t="e">
        <f>IF(OR(ISERROR(+AC195/($D195+$E195-$G195)*$G195+AC195),LEFT(#REF!,1)="x"),0,+AC195/($D195+$E195-$G195)*$G195+AC195)</f>
        <v>#REF!</v>
      </c>
    </row>
    <row r="196" spans="1:57" ht="13.5" hidden="1" thickBot="1">
      <c r="A196" s="556"/>
      <c r="B196" s="606"/>
      <c r="C196" s="611"/>
      <c r="D196" s="610"/>
      <c r="E196" s="612"/>
      <c r="F196" s="610"/>
      <c r="G196" s="610"/>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9"/>
        <v>0</v>
      </c>
      <c r="AE196" s="629">
        <f t="shared" si="10"/>
        <v>0</v>
      </c>
      <c r="AF196" s="634">
        <f t="shared" si="11"/>
        <v>0</v>
      </c>
      <c r="AG196" s="43">
        <f t="shared" si="21"/>
        <v>0</v>
      </c>
      <c r="AH196" s="7">
        <f t="shared" si="19"/>
        <v>0</v>
      </c>
      <c r="AI196" s="7">
        <f t="shared" si="19"/>
        <v>0</v>
      </c>
      <c r="AJ196" s="7">
        <f t="shared" si="19"/>
        <v>0</v>
      </c>
      <c r="AK196" s="7">
        <f t="shared" si="19"/>
        <v>0</v>
      </c>
      <c r="AL196" s="7">
        <f t="shared" si="19"/>
        <v>0</v>
      </c>
      <c r="AM196" s="7">
        <f t="shared" si="19"/>
        <v>0</v>
      </c>
      <c r="AN196" s="7">
        <f t="shared" si="19"/>
        <v>0</v>
      </c>
      <c r="AO196" s="7">
        <f t="shared" si="19"/>
        <v>0</v>
      </c>
      <c r="AP196" s="7">
        <f t="shared" si="19"/>
        <v>0</v>
      </c>
      <c r="AQ196" s="7">
        <f t="shared" si="19"/>
        <v>0</v>
      </c>
      <c r="AR196" s="7">
        <f t="shared" si="19"/>
        <v>0</v>
      </c>
      <c r="AS196" s="7">
        <f t="shared" si="19"/>
        <v>0</v>
      </c>
      <c r="AT196" s="7">
        <f t="shared" si="19"/>
        <v>0</v>
      </c>
      <c r="AU196" s="7">
        <f t="shared" si="19"/>
        <v>0</v>
      </c>
      <c r="AV196" s="7">
        <f t="shared" si="19"/>
        <v>0</v>
      </c>
      <c r="AW196" s="7">
        <f t="shared" si="17"/>
        <v>0</v>
      </c>
      <c r="AX196" s="7">
        <f t="shared" si="22"/>
        <v>0</v>
      </c>
      <c r="AY196" s="7">
        <f t="shared" si="23"/>
        <v>0</v>
      </c>
      <c r="AZ196" s="7">
        <f t="shared" si="24"/>
        <v>0</v>
      </c>
      <c r="BA196" s="7">
        <f t="shared" si="25"/>
        <v>0</v>
      </c>
      <c r="BB196" s="7">
        <f t="shared" si="26"/>
        <v>0</v>
      </c>
      <c r="BC196" s="7">
        <f>IF(OR(ISERROR(+#REF!/($D196+$E196-$G196)*$G196+#REF!),LEFT(AA196,1)="x"),0,+#REF!/($D196+$E196-$G196)*$G196+#REF!)</f>
        <v>0</v>
      </c>
      <c r="BD196" s="7">
        <f>IF(OR(ISERROR(+#REF!/($D196+$E196-$G196)*$G196+#REF!),LEFT(AB196,1)="x"),0,+#REF!/($D196+$E196-$G196)*$G196+#REF!)</f>
        <v>0</v>
      </c>
      <c r="BE196" s="7" t="e">
        <f>IF(OR(ISERROR(+AC196/($D196+$E196-$G196)*$G196+AC196),LEFT(#REF!,1)="x"),0,+AC196/($D196+$E196-$G196)*$G196+AC196)</f>
        <v>#REF!</v>
      </c>
    </row>
    <row r="197" spans="1:57" ht="14.25">
      <c r="A197" s="99" t="s">
        <v>20</v>
      </c>
      <c r="B197" s="100"/>
      <c r="C197" s="97" t="s">
        <v>26</v>
      </c>
      <c r="D197" s="92">
        <f>SUM(D80:D196)</f>
        <v>59517.95</v>
      </c>
      <c r="E197" s="92">
        <f>SUM(E80:E196)</f>
        <v>760</v>
      </c>
      <c r="F197" s="208">
        <f>SUM(F80:F196)</f>
        <v>0</v>
      </c>
      <c r="G197" s="92">
        <f t="shared" ref="G197:AA197" si="27">SUM(G80:G196)</f>
        <v>0</v>
      </c>
      <c r="H197" s="92">
        <f t="shared" si="27"/>
        <v>215</v>
      </c>
      <c r="I197" s="92">
        <f t="shared" si="27"/>
        <v>170</v>
      </c>
      <c r="J197" s="92">
        <f t="shared" si="27"/>
        <v>65</v>
      </c>
      <c r="K197" s="92">
        <f t="shared" si="27"/>
        <v>0</v>
      </c>
      <c r="L197" s="92">
        <f t="shared" si="27"/>
        <v>1612</v>
      </c>
      <c r="M197" s="92">
        <f t="shared" si="27"/>
        <v>0</v>
      </c>
      <c r="N197" s="92">
        <f t="shared" si="27"/>
        <v>0</v>
      </c>
      <c r="O197" s="92">
        <f t="shared" si="27"/>
        <v>0</v>
      </c>
      <c r="P197" s="92">
        <f t="shared" si="27"/>
        <v>10</v>
      </c>
      <c r="Q197" s="92">
        <f t="shared" si="27"/>
        <v>0</v>
      </c>
      <c r="R197" s="92">
        <f t="shared" si="27"/>
        <v>65</v>
      </c>
      <c r="S197" s="92">
        <f t="shared" si="27"/>
        <v>55</v>
      </c>
      <c r="T197" s="92">
        <f t="shared" si="27"/>
        <v>85</v>
      </c>
      <c r="U197" s="92">
        <f t="shared" si="27"/>
        <v>138</v>
      </c>
      <c r="V197" s="92">
        <f t="shared" si="27"/>
        <v>5.5</v>
      </c>
      <c r="W197" s="92">
        <f t="shared" si="27"/>
        <v>95</v>
      </c>
      <c r="X197" s="92">
        <f t="shared" si="27"/>
        <v>50683.95</v>
      </c>
      <c r="Y197" s="92">
        <f t="shared" si="27"/>
        <v>7078.5</v>
      </c>
      <c r="Z197" s="92">
        <f t="shared" si="27"/>
        <v>0</v>
      </c>
      <c r="AA197" s="92">
        <f t="shared" si="27"/>
        <v>0</v>
      </c>
      <c r="AB197" s="92">
        <f>SUM(AB80:AB196)</f>
        <v>0</v>
      </c>
      <c r="AC197" s="208">
        <f>SUM(AC80:AC196)</f>
        <v>0</v>
      </c>
      <c r="AH197" s="7">
        <f t="shared" si="19"/>
        <v>215</v>
      </c>
      <c r="AI197" s="7">
        <f t="shared" si="19"/>
        <v>170</v>
      </c>
      <c r="AJ197" s="7">
        <f t="shared" si="19"/>
        <v>65</v>
      </c>
      <c r="AK197" s="7">
        <f t="shared" si="19"/>
        <v>0</v>
      </c>
      <c r="AL197" s="7">
        <f t="shared" si="19"/>
        <v>1612</v>
      </c>
      <c r="AM197" s="7">
        <f t="shared" si="19"/>
        <v>0</v>
      </c>
      <c r="AN197" s="7">
        <f t="shared" si="19"/>
        <v>0</v>
      </c>
      <c r="AO197" s="7">
        <f t="shared" si="19"/>
        <v>0</v>
      </c>
      <c r="AP197" s="7">
        <f t="shared" si="19"/>
        <v>10</v>
      </c>
      <c r="AQ197" s="7">
        <f t="shared" si="19"/>
        <v>0</v>
      </c>
      <c r="AR197" s="7">
        <f t="shared" si="19"/>
        <v>65</v>
      </c>
      <c r="AS197" s="7">
        <f t="shared" si="19"/>
        <v>55</v>
      </c>
      <c r="AT197" s="7">
        <f t="shared" si="19"/>
        <v>85</v>
      </c>
      <c r="AU197" s="7">
        <f t="shared" si="19"/>
        <v>138</v>
      </c>
      <c r="AV197" s="7">
        <f t="shared" si="19"/>
        <v>5.5</v>
      </c>
      <c r="AW197" s="7">
        <f t="shared" si="17"/>
        <v>95</v>
      </c>
      <c r="AX197" s="7">
        <f t="shared" si="22"/>
        <v>50683.95</v>
      </c>
      <c r="AY197" s="7">
        <f t="shared" si="23"/>
        <v>7078.5</v>
      </c>
      <c r="AZ197" s="7">
        <f t="shared" si="24"/>
        <v>0</v>
      </c>
      <c r="BA197" s="7">
        <f t="shared" si="25"/>
        <v>0</v>
      </c>
      <c r="BB197" s="7">
        <f t="shared" si="26"/>
        <v>0</v>
      </c>
      <c r="BC197" s="7">
        <f>IF(OR(ISERROR(+#REF!/($D197+$E197-$G197)*$G197+#REF!),LEFT(AA197,1)="x"),0,+#REF!/($D197+$E197-$G197)*$G197+#REF!)</f>
        <v>0</v>
      </c>
      <c r="BD197" s="7">
        <f>IF(OR(ISERROR(+AC197/($D197+$E197-$G197)*$G197+AC197),LEFT(Z197,1)="x"),0,+AC197/($D197+$E197-$G197)*$G197+AC197)</f>
        <v>0</v>
      </c>
    </row>
    <row r="198" spans="1:57" ht="13.5" thickBot="1">
      <c r="A198" s="50"/>
      <c r="B198" s="51"/>
      <c r="C198" s="39" t="s">
        <v>27</v>
      </c>
      <c r="D198" s="643">
        <f>SUM(D79:D196)</f>
        <v>191914.27000000002</v>
      </c>
      <c r="E198" s="643">
        <f>SUM(E79:E196)</f>
        <v>1420</v>
      </c>
      <c r="F198" s="644">
        <f>SUM(F79:F196)</f>
        <v>0</v>
      </c>
      <c r="G198" s="643">
        <f t="shared" ref="G198:AA198" si="28">SUM(G79:G196)</f>
        <v>0</v>
      </c>
      <c r="H198" s="643">
        <f t="shared" si="28"/>
        <v>1790</v>
      </c>
      <c r="I198" s="643">
        <f t="shared" si="28"/>
        <v>1318</v>
      </c>
      <c r="J198" s="643">
        <f t="shared" si="28"/>
        <v>370</v>
      </c>
      <c r="K198" s="643">
        <f t="shared" si="28"/>
        <v>0</v>
      </c>
      <c r="L198" s="643">
        <f t="shared" si="28"/>
        <v>15992</v>
      </c>
      <c r="M198" s="643">
        <f t="shared" si="28"/>
        <v>264.02999999999997</v>
      </c>
      <c r="N198" s="643">
        <f t="shared" si="28"/>
        <v>50000</v>
      </c>
      <c r="O198" s="643">
        <f t="shared" si="28"/>
        <v>0</v>
      </c>
      <c r="P198" s="643">
        <f t="shared" si="28"/>
        <v>150</v>
      </c>
      <c r="Q198" s="643">
        <f t="shared" si="28"/>
        <v>0</v>
      </c>
      <c r="R198" s="643">
        <f t="shared" si="28"/>
        <v>520</v>
      </c>
      <c r="S198" s="643">
        <f t="shared" si="28"/>
        <v>440</v>
      </c>
      <c r="T198" s="643">
        <f t="shared" si="28"/>
        <v>680</v>
      </c>
      <c r="U198" s="643">
        <f t="shared" si="28"/>
        <v>1104</v>
      </c>
      <c r="V198" s="643">
        <f t="shared" si="28"/>
        <v>49.3</v>
      </c>
      <c r="W198" s="643">
        <f t="shared" si="28"/>
        <v>760</v>
      </c>
      <c r="X198" s="643">
        <f t="shared" si="28"/>
        <v>101239.34</v>
      </c>
      <c r="Y198" s="643">
        <f t="shared" si="28"/>
        <v>17859.599999999999</v>
      </c>
      <c r="Z198" s="643">
        <f t="shared" si="28"/>
        <v>0</v>
      </c>
      <c r="AA198" s="643">
        <f t="shared" si="28"/>
        <v>0</v>
      </c>
      <c r="AB198" s="643">
        <f>SUM(AB79:AB196)</f>
        <v>785</v>
      </c>
      <c r="AC198" s="645">
        <f>SUM(AC79:AC196)</f>
        <v>13</v>
      </c>
      <c r="AG198" s="57"/>
      <c r="AH198" s="7">
        <f t="shared" ref="AH198:AV201" si="29">IF(OR(ISERROR(+H198/($D198+$E198-$G198)*$G198+H198),LEFT(F198,1)="x"),0,+H198/($D198+$E198-$G198)*$G198+H198)</f>
        <v>1790</v>
      </c>
      <c r="AI198" s="7">
        <f t="shared" si="29"/>
        <v>1318</v>
      </c>
      <c r="AJ198" s="7">
        <f t="shared" si="29"/>
        <v>370</v>
      </c>
      <c r="AK198" s="7">
        <f t="shared" si="29"/>
        <v>0</v>
      </c>
      <c r="AL198" s="7">
        <f t="shared" si="29"/>
        <v>15992</v>
      </c>
      <c r="AM198" s="7">
        <f t="shared" si="29"/>
        <v>264.02999999999997</v>
      </c>
      <c r="AN198" s="7">
        <f t="shared" si="29"/>
        <v>50000</v>
      </c>
      <c r="AO198" s="7">
        <f t="shared" si="29"/>
        <v>0</v>
      </c>
      <c r="AP198" s="7">
        <f t="shared" si="29"/>
        <v>150</v>
      </c>
      <c r="AQ198" s="7">
        <f t="shared" si="29"/>
        <v>0</v>
      </c>
      <c r="AR198" s="7">
        <f t="shared" si="29"/>
        <v>520</v>
      </c>
      <c r="AS198" s="7">
        <f t="shared" si="29"/>
        <v>440</v>
      </c>
      <c r="AT198" s="7">
        <f t="shared" si="29"/>
        <v>680</v>
      </c>
      <c r="AU198" s="7">
        <f t="shared" si="29"/>
        <v>1104</v>
      </c>
      <c r="AV198" s="7">
        <f t="shared" si="29"/>
        <v>49.3</v>
      </c>
      <c r="AW198" s="7">
        <f t="shared" si="17"/>
        <v>760</v>
      </c>
      <c r="AX198" s="7">
        <f t="shared" si="22"/>
        <v>101239.34</v>
      </c>
      <c r="AY198" s="7">
        <f t="shared" si="23"/>
        <v>17859.599999999999</v>
      </c>
      <c r="AZ198" s="7">
        <f t="shared" si="24"/>
        <v>0</v>
      </c>
      <c r="BA198" s="7">
        <f t="shared" si="25"/>
        <v>0</v>
      </c>
      <c r="BB198" s="7">
        <f t="shared" si="26"/>
        <v>785</v>
      </c>
      <c r="BC198" s="7">
        <f>IF(OR(ISERROR(+#REF!/($D198+$E198-$G198)*$G198+#REF!),LEFT(AA198,1)="x"),0,+#REF!/($D198+$E198-$G198)*$G198+#REF!)</f>
        <v>0</v>
      </c>
      <c r="BD198" s="7">
        <f>IF(OR(ISERROR(+AC198/($D198+$E198-$G198)*$G198+AC198),LEFT(Z198,1)="x"),0,+AC198/($D198+$E198-$G198)*$G198+AC198)</f>
        <v>13</v>
      </c>
    </row>
    <row r="199" spans="1:5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H199" s="7">
        <f t="shared" si="29"/>
        <v>0</v>
      </c>
      <c r="AI199" s="7">
        <f t="shared" si="29"/>
        <v>0</v>
      </c>
      <c r="AJ199" s="7">
        <f t="shared" si="29"/>
        <v>0</v>
      </c>
      <c r="AK199" s="7">
        <f t="shared" si="29"/>
        <v>0</v>
      </c>
      <c r="AL199" s="7">
        <f t="shared" si="29"/>
        <v>0</v>
      </c>
      <c r="AM199" s="7">
        <f t="shared" si="29"/>
        <v>0</v>
      </c>
      <c r="AN199" s="7">
        <f t="shared" si="29"/>
        <v>0</v>
      </c>
      <c r="AO199" s="7">
        <f t="shared" si="29"/>
        <v>0</v>
      </c>
      <c r="AP199" s="7">
        <f t="shared" si="29"/>
        <v>0</v>
      </c>
      <c r="AQ199" s="7">
        <f t="shared" si="29"/>
        <v>0</v>
      </c>
      <c r="AR199" s="7">
        <f t="shared" si="29"/>
        <v>0</v>
      </c>
      <c r="AS199" s="7">
        <f t="shared" si="29"/>
        <v>0</v>
      </c>
      <c r="AT199" s="7">
        <f t="shared" si="29"/>
        <v>0</v>
      </c>
      <c r="AU199" s="7">
        <f t="shared" si="29"/>
        <v>0</v>
      </c>
      <c r="AV199" s="7">
        <f t="shared" si="29"/>
        <v>0</v>
      </c>
      <c r="AW199" s="7">
        <f t="shared" si="17"/>
        <v>0</v>
      </c>
      <c r="AX199" s="7">
        <f t="shared" si="22"/>
        <v>0</v>
      </c>
      <c r="AY199" s="7">
        <f t="shared" si="23"/>
        <v>0</v>
      </c>
      <c r="AZ199" s="7">
        <f t="shared" si="24"/>
        <v>0</v>
      </c>
      <c r="BA199" s="7">
        <f t="shared" si="25"/>
        <v>0</v>
      </c>
      <c r="BB199" s="7">
        <f t="shared" si="26"/>
        <v>0</v>
      </c>
      <c r="BC199" s="7">
        <f>IF(OR(ISERROR(+#REF!/($D199+$E199-$G199)*$G199+#REF!),LEFT(AA199,1)="x"),0,+#REF!/($D199+$E199-$G199)*$G199+#REF!)</f>
        <v>0</v>
      </c>
      <c r="BD199" s="7">
        <f>IF(OR(ISERROR(+AC199/($D199+$E199-$G199)*$G199+AC199),LEFT(Z199,1)="x"),0,+AC199/($D199+$E199-$G199)*$G199+AC199)</f>
        <v>0</v>
      </c>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H200" s="7">
        <f t="shared" si="29"/>
        <v>0</v>
      </c>
      <c r="AI200" s="7">
        <f t="shared" si="29"/>
        <v>0</v>
      </c>
      <c r="AJ200" s="7">
        <f t="shared" si="29"/>
        <v>0</v>
      </c>
      <c r="AK200" s="7">
        <f t="shared" si="29"/>
        <v>0</v>
      </c>
      <c r="AL200" s="7">
        <f t="shared" si="29"/>
        <v>0</v>
      </c>
      <c r="AM200" s="7">
        <f t="shared" si="29"/>
        <v>0</v>
      </c>
      <c r="AN200" s="7">
        <f t="shared" si="29"/>
        <v>0</v>
      </c>
      <c r="AO200" s="7">
        <f t="shared" si="29"/>
        <v>0</v>
      </c>
      <c r="AP200" s="7">
        <f t="shared" si="29"/>
        <v>0</v>
      </c>
      <c r="AQ200" s="7">
        <f t="shared" si="29"/>
        <v>0</v>
      </c>
      <c r="AR200" s="7">
        <f t="shared" si="29"/>
        <v>0</v>
      </c>
      <c r="AS200" s="7">
        <f t="shared" si="29"/>
        <v>0</v>
      </c>
      <c r="AT200" s="7">
        <f t="shared" si="29"/>
        <v>0</v>
      </c>
      <c r="AU200" s="7">
        <f t="shared" si="29"/>
        <v>0</v>
      </c>
      <c r="AV200" s="7">
        <f t="shared" si="29"/>
        <v>0</v>
      </c>
      <c r="AW200" s="7">
        <f t="shared" si="17"/>
        <v>0</v>
      </c>
      <c r="AX200" s="7">
        <f t="shared" si="22"/>
        <v>0</v>
      </c>
      <c r="AY200" s="7">
        <f t="shared" si="23"/>
        <v>0</v>
      </c>
      <c r="AZ200" s="7">
        <f t="shared" si="24"/>
        <v>0</v>
      </c>
      <c r="BA200" s="7">
        <f t="shared" si="25"/>
        <v>0</v>
      </c>
      <c r="BB200" s="7">
        <f t="shared" si="26"/>
        <v>0</v>
      </c>
      <c r="BC200" s="7">
        <f>IF(OR(ISERROR(+#REF!/($D200+$E200-$G200)*$G200+#REF!),LEFT(AA200,1)="x"),0,+#REF!/($D200+$E200-$G200)*$G200+#REF!)</f>
        <v>0</v>
      </c>
      <c r="BD200" s="7">
        <f>IF(OR(ISERROR(+AC200/($D200+$E200-$G200)*$G200+AC200),LEFT(Z200,1)="x"),0,+AC200/($D200+$E200-$G200)*$G200+AC200)</f>
        <v>0</v>
      </c>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H201" s="7">
        <f t="shared" si="29"/>
        <v>0</v>
      </c>
      <c r="AI201" s="7">
        <f t="shared" si="29"/>
        <v>0</v>
      </c>
      <c r="AJ201" s="7">
        <f t="shared" si="29"/>
        <v>0</v>
      </c>
      <c r="AK201" s="7">
        <f t="shared" si="29"/>
        <v>0</v>
      </c>
      <c r="AL201" s="7">
        <f t="shared" si="29"/>
        <v>0</v>
      </c>
      <c r="AM201" s="7">
        <f t="shared" si="29"/>
        <v>0</v>
      </c>
      <c r="AN201" s="7">
        <f t="shared" si="29"/>
        <v>0</v>
      </c>
      <c r="AO201" s="7">
        <f t="shared" si="29"/>
        <v>0</v>
      </c>
      <c r="AP201" s="7">
        <f t="shared" si="29"/>
        <v>0</v>
      </c>
      <c r="AQ201" s="7">
        <f t="shared" si="29"/>
        <v>0</v>
      </c>
      <c r="AR201" s="7">
        <f t="shared" si="29"/>
        <v>0</v>
      </c>
      <c r="AS201" s="7">
        <f t="shared" si="29"/>
        <v>0</v>
      </c>
      <c r="AT201" s="7">
        <f t="shared" si="29"/>
        <v>0</v>
      </c>
      <c r="AU201" s="7">
        <f t="shared" si="29"/>
        <v>0</v>
      </c>
      <c r="AV201" s="7">
        <f t="shared" si="29"/>
        <v>0</v>
      </c>
      <c r="AW201" s="7">
        <f t="shared" si="17"/>
        <v>0</v>
      </c>
      <c r="AX201" s="7">
        <f t="shared" si="22"/>
        <v>0</v>
      </c>
      <c r="AY201" s="7">
        <f t="shared" si="23"/>
        <v>0</v>
      </c>
      <c r="AZ201" s="7">
        <f t="shared" si="24"/>
        <v>0</v>
      </c>
      <c r="BA201" s="7">
        <f t="shared" si="25"/>
        <v>0</v>
      </c>
      <c r="BB201" s="7">
        <f t="shared" si="26"/>
        <v>0</v>
      </c>
      <c r="BC201" s="7">
        <f>IF(OR(ISERROR(+#REF!/($D201+$E201-$G201)*$G201+#REF!),LEFT(AA201,1)="x"),0,+#REF!/($D201+$E201-$G201)*$G201+#REF!)</f>
        <v>0</v>
      </c>
      <c r="BD201" s="7">
        <f>IF(OR(ISERROR(+AC201/($D201+$E201-$G201)*$G201+AC201),LEFT(Z201,1)="x"),0,+AC201/($D201+$E201-$G201)*$G201+AC201)</f>
        <v>0</v>
      </c>
    </row>
    <row r="202" spans="1:57" ht="15.75">
      <c r="A202" s="52" t="s">
        <v>226</v>
      </c>
      <c r="B202" s="52"/>
      <c r="C202" s="52"/>
      <c r="D202" s="19">
        <f>E202-H202</f>
        <v>0</v>
      </c>
      <c r="E202" s="53">
        <f>D197+E197+F197</f>
        <v>60277.95</v>
      </c>
      <c r="F202" s="53" t="s">
        <v>20</v>
      </c>
      <c r="G202" s="17"/>
      <c r="H202" s="53">
        <f>SUM(G197:AC197)</f>
        <v>60277.95</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
      <c r="A203" s="17"/>
      <c r="B203" s="17"/>
      <c r="C203" s="17"/>
      <c r="D203" s="54">
        <f>IF(D202=0,0,"Error - check totals do not balance, please see column AF - at the right side of the expenditure table for corrections to be made")</f>
        <v>0</v>
      </c>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ht="15">
      <c r="A205" s="17"/>
      <c r="B205" s="17"/>
      <c r="C205" s="17"/>
      <c r="D205" s="54"/>
      <c r="E205" s="5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32">
      <c r="A209" s="161" t="s">
        <v>166</v>
      </c>
      <c r="B209" s="17"/>
      <c r="C209" s="17"/>
      <c r="D209" s="17"/>
      <c r="E209" s="639">
        <f>'Nov 17'!K10+L54+M54+N54+O54-D198</f>
        <v>52380.379999999976</v>
      </c>
      <c r="F209" s="639">
        <f>'Nov 17'!K11+P54+X198-O54</f>
        <v>87029.32</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32">
      <c r="A210" s="161"/>
      <c r="B210" s="17"/>
      <c r="C210" s="73"/>
      <c r="D210" s="73"/>
      <c r="E210" s="637"/>
      <c r="F210" s="6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32">
      <c r="A211" s="161" t="s">
        <v>63</v>
      </c>
      <c r="B211" s="17"/>
      <c r="C211" s="642"/>
      <c r="D211" s="642"/>
      <c r="E211" s="637" t="s">
        <v>20</v>
      </c>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32">
      <c r="B212" s="162" t="s">
        <v>187</v>
      </c>
      <c r="C212" s="642"/>
      <c r="D212" s="642"/>
      <c r="E212" s="637" t="s">
        <v>20</v>
      </c>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32">
      <c r="A213" s="17"/>
      <c r="B213" s="162" t="s">
        <v>164</v>
      </c>
      <c r="C213" s="642"/>
      <c r="D213" s="642"/>
      <c r="E213" s="637" t="s">
        <v>20</v>
      </c>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32">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32">
      <c r="A215" s="17"/>
      <c r="B215" s="17"/>
      <c r="C215" s="642"/>
      <c r="D215" s="642"/>
      <c r="E215" s="637"/>
      <c r="F215" s="6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32" ht="13.5" thickBot="1">
      <c r="A216" s="56" t="s">
        <v>165</v>
      </c>
      <c r="B216" s="56"/>
      <c r="C216" s="17"/>
      <c r="D216" s="17"/>
      <c r="E216" s="641">
        <f>E209+SUM(E211:E215)</f>
        <v>52380.379999999976</v>
      </c>
      <c r="F216" s="641">
        <f>F209+SUM(F211:F215)</f>
        <v>87029.32</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32" ht="13.5" thickTop="1">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32" s="17" customFormat="1">
      <c r="A218" s="56"/>
      <c r="E218" s="53"/>
      <c r="AD218" s="346"/>
      <c r="AE218" s="346"/>
      <c r="AF218" s="636"/>
    </row>
    <row r="219" spans="1:3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32" hidden="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32" hidden="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32" hidden="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32"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32"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5" hidden="1">
      <c r="B246" s="213"/>
      <c r="C246" s="18"/>
      <c r="D246" s="18"/>
      <c r="E246" s="18"/>
      <c r="F246" s="215"/>
      <c r="G246" s="18"/>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2.6" hidden="1" customHeight="1">
      <c r="B247" s="213" t="s">
        <v>196</v>
      </c>
      <c r="C247" s="214"/>
      <c r="D247" s="214">
        <f>$C$58+$C$59-D249</f>
        <v>0</v>
      </c>
      <c r="E247" s="18"/>
      <c r="F247" s="215" t="s">
        <v>197</v>
      </c>
      <c r="G247" s="18"/>
      <c r="H247" s="18"/>
      <c r="I247" s="18"/>
      <c r="J247" s="18"/>
      <c r="K247" s="18"/>
      <c r="L247" s="18"/>
      <c r="M247" s="18"/>
      <c r="N247" s="17"/>
      <c r="O247" s="17"/>
      <c r="P247" s="17"/>
      <c r="Q247" s="17"/>
      <c r="R247" s="17"/>
      <c r="S247" s="17"/>
      <c r="T247" s="17"/>
      <c r="U247" s="17"/>
      <c r="V247" s="17"/>
      <c r="W247" s="17"/>
      <c r="X247" s="17"/>
      <c r="Y247" s="17"/>
      <c r="Z247" s="17"/>
      <c r="AA247" s="17"/>
      <c r="AB247" s="17"/>
      <c r="AC247" s="17"/>
    </row>
    <row r="248" spans="1:29" ht="14.25" hidden="1" customHeight="1">
      <c r="B248" s="216" t="s">
        <v>64</v>
      </c>
      <c r="C248" s="18">
        <f>($C$58+$C$59-663)/113.8*13.8</f>
        <v>-80.398945518453431</v>
      </c>
      <c r="D248" s="18"/>
      <c r="E248" s="7"/>
      <c r="F248" s="393" t="s">
        <v>397</v>
      </c>
      <c r="G248" s="18"/>
      <c r="H248" s="18"/>
      <c r="I248" s="18"/>
      <c r="J248" s="18"/>
      <c r="K248" s="18"/>
      <c r="L248" s="18"/>
      <c r="M248" s="18"/>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8"/>
      <c r="I249" s="18"/>
      <c r="J249" s="18"/>
      <c r="K249" s="18"/>
      <c r="L249" s="18"/>
      <c r="M249" s="18"/>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8"/>
      <c r="I250" s="18"/>
      <c r="J250" s="18"/>
      <c r="K250" s="18"/>
      <c r="L250" s="18"/>
      <c r="M250" s="18"/>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8"/>
      <c r="I251" s="18"/>
      <c r="J251" s="18"/>
      <c r="K251" s="18"/>
      <c r="L251" s="18"/>
      <c r="M251" s="18"/>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8"/>
      <c r="I252" s="18"/>
      <c r="J252" s="18"/>
      <c r="K252" s="18"/>
      <c r="L252" s="18"/>
      <c r="M252" s="18"/>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8"/>
      <c r="I253" s="18"/>
      <c r="J253" s="18"/>
      <c r="K253" s="18"/>
      <c r="L253" s="18"/>
      <c r="M253" s="18"/>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8"/>
      <c r="I254" s="18"/>
      <c r="J254" s="18"/>
      <c r="K254" s="18"/>
      <c r="L254" s="18"/>
      <c r="M254" s="18"/>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8"/>
      <c r="I255" s="18"/>
      <c r="J255" s="18"/>
      <c r="K255" s="18"/>
      <c r="L255" s="18"/>
      <c r="M255" s="18"/>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8"/>
      <c r="I256" s="18"/>
      <c r="J256" s="18"/>
      <c r="K256" s="18"/>
      <c r="L256" s="18"/>
      <c r="M256" s="18"/>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8"/>
      <c r="I257" s="18"/>
      <c r="J257" s="18"/>
      <c r="K257" s="18"/>
      <c r="L257" s="18"/>
      <c r="M257" s="18"/>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8"/>
      <c r="I258" s="18"/>
      <c r="J258" s="18"/>
      <c r="K258" s="18"/>
      <c r="L258" s="18"/>
      <c r="M258" s="18"/>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8"/>
      <c r="I259" s="18"/>
      <c r="J259" s="18"/>
      <c r="K259" s="18"/>
      <c r="L259" s="18"/>
      <c r="M259" s="18"/>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8"/>
      <c r="I260" s="18"/>
      <c r="J260" s="18"/>
      <c r="K260" s="18"/>
      <c r="L260" s="18"/>
      <c r="M260" s="18"/>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c r="H261" s="18"/>
      <c r="I261" s="18"/>
      <c r="J261" s="18"/>
      <c r="K261" s="18"/>
      <c r="L261" s="18"/>
      <c r="M261" s="18"/>
      <c r="N261" s="17"/>
      <c r="O261" s="17"/>
      <c r="P261" s="17"/>
      <c r="Q261" s="17"/>
      <c r="R261" s="17"/>
      <c r="S261" s="17"/>
      <c r="T261" s="17"/>
      <c r="U261" s="17"/>
      <c r="V261" s="17"/>
      <c r="W261" s="17"/>
      <c r="X261" s="17"/>
      <c r="Y261" s="17"/>
      <c r="Z261" s="17"/>
      <c r="AA261" s="17"/>
      <c r="AB261" s="17"/>
      <c r="AC261" s="17"/>
    </row>
    <row r="262" spans="1:29" ht="15" hidden="1">
      <c r="B262" s="216"/>
      <c r="C262" s="214">
        <v>0</v>
      </c>
      <c r="D262" s="214">
        <f>MAX(C261:C262)</f>
        <v>0</v>
      </c>
      <c r="E262" s="220"/>
      <c r="H262" s="18"/>
      <c r="I262" s="18"/>
      <c r="J262" s="18"/>
      <c r="K262" s="18"/>
      <c r="L262" s="18"/>
      <c r="M262" s="18"/>
      <c r="N262" s="17"/>
      <c r="O262" s="17"/>
      <c r="P262" s="17"/>
      <c r="Q262" s="17"/>
      <c r="R262" s="17"/>
      <c r="S262" s="17"/>
      <c r="T262" s="17"/>
      <c r="U262" s="17"/>
      <c r="V262" s="17"/>
      <c r="W262" s="17"/>
      <c r="X262" s="17"/>
      <c r="Y262" s="17"/>
      <c r="Z262" s="17"/>
      <c r="AA262" s="17"/>
      <c r="AB262" s="17"/>
      <c r="AC262" s="17"/>
    </row>
    <row r="263" spans="1:29" ht="15" hidden="1">
      <c r="B263" s="216" t="s">
        <v>203</v>
      </c>
      <c r="C263" s="329">
        <v>0</v>
      </c>
      <c r="D263" s="329">
        <v>0</v>
      </c>
      <c r="E263" s="220"/>
    </row>
    <row r="264" spans="1:29" ht="15" hidden="1">
      <c r="B264" s="330" t="s">
        <v>204</v>
      </c>
      <c r="C264" s="20"/>
      <c r="E264" s="219">
        <f>D263+D262+D260+D258+D256</f>
        <v>0</v>
      </c>
    </row>
    <row r="265" spans="1:29" ht="15.75" hidden="1" thickBot="1">
      <c r="B265" s="330" t="s">
        <v>69</v>
      </c>
      <c r="C265" s="20"/>
      <c r="E265" s="331">
        <f>E254+E264</f>
        <v>0</v>
      </c>
    </row>
    <row r="266" spans="1:29" ht="13.5" hidden="1" thickTop="1"/>
    <row r="267" spans="1:29" hidden="1"/>
    <row r="268" spans="1:29" ht="15" hidden="1">
      <c r="A268" s="211" t="s">
        <v>318</v>
      </c>
      <c r="B268" s="17"/>
      <c r="D268" s="212"/>
      <c r="E268" s="17"/>
      <c r="F268" s="17"/>
    </row>
    <row r="269" spans="1:29" hidden="1">
      <c r="B269" s="18"/>
      <c r="C269" s="18"/>
      <c r="D269" s="18"/>
      <c r="E269" s="18"/>
      <c r="F269" s="18"/>
    </row>
    <row r="270" spans="1:29" ht="15" hidden="1">
      <c r="B270" s="213" t="s">
        <v>196</v>
      </c>
      <c r="C270" s="214"/>
      <c r="D270" s="214">
        <f>$C$58+$C$59-D272</f>
        <v>0</v>
      </c>
      <c r="E270" s="18"/>
      <c r="F270" s="215" t="s">
        <v>197</v>
      </c>
    </row>
    <row r="271" spans="1:29" hidden="1">
      <c r="B271" s="216" t="s">
        <v>64</v>
      </c>
      <c r="C271" s="18">
        <f>($C$58+$C$59-641)/113.8*13.8</f>
        <v>-77.7311072056239</v>
      </c>
      <c r="D271" s="18"/>
      <c r="E271" s="7"/>
      <c r="F271" s="393" t="s">
        <v>324</v>
      </c>
    </row>
    <row r="272" spans="1:29" hidden="1">
      <c r="B272" s="216"/>
      <c r="C272" s="214">
        <v>0</v>
      </c>
      <c r="D272" s="214">
        <f>MAX(C271:C272)</f>
        <v>0</v>
      </c>
      <c r="E272" s="7"/>
      <c r="F272" s="216"/>
    </row>
    <row r="273" spans="2:6" hidden="1">
      <c r="B273" s="216" t="s">
        <v>65</v>
      </c>
      <c r="C273" s="18">
        <f>IF((D248&lt;3454.17), ((D248-645)*0.12),((3539.58-645)*0.12))</f>
        <v>-77.399999999999991</v>
      </c>
      <c r="D273" s="18"/>
      <c r="E273" s="7"/>
      <c r="F273" s="393" t="s">
        <v>323</v>
      </c>
    </row>
    <row r="274" spans="2:6" hidden="1">
      <c r="B274" s="216"/>
      <c r="C274" s="214">
        <v>0</v>
      </c>
      <c r="D274" s="214">
        <f>MAX(C273:C274)</f>
        <v>0</v>
      </c>
      <c r="E274" s="7"/>
      <c r="F274" s="216"/>
    </row>
    <row r="275" spans="2:6" hidden="1">
      <c r="B275" s="216" t="s">
        <v>120</v>
      </c>
      <c r="C275" s="18">
        <f>(D248-3454.17)*0.02</f>
        <v>-69.083399999999997</v>
      </c>
      <c r="D275" s="18"/>
      <c r="E275" s="7"/>
      <c r="F275" s="393" t="s">
        <v>322</v>
      </c>
    </row>
    <row r="276" spans="2:6" hidden="1">
      <c r="B276" s="217"/>
      <c r="C276" s="214">
        <v>0</v>
      </c>
      <c r="D276" s="214">
        <f>MAX(C275:C276)</f>
        <v>0</v>
      </c>
      <c r="E276" s="7"/>
      <c r="F276" s="216"/>
    </row>
    <row r="277" spans="2:6" ht="15" hidden="1">
      <c r="B277" s="218" t="s">
        <v>198</v>
      </c>
      <c r="C277" s="71"/>
      <c r="D277" s="71"/>
      <c r="E277" s="219">
        <f>D276+D274+D272</f>
        <v>0</v>
      </c>
      <c r="F277" s="216"/>
    </row>
    <row r="278" spans="2:6" ht="15" hidden="1">
      <c r="D278" s="18"/>
      <c r="E278" s="220"/>
      <c r="F278" s="327" t="s">
        <v>210</v>
      </c>
    </row>
    <row r="279" spans="2:6" ht="15" hidden="1">
      <c r="B279" s="217" t="s">
        <v>199</v>
      </c>
      <c r="C279" s="328">
        <f>IF((D248&lt;12500),0,((D248-12500)*0.45))</f>
        <v>0</v>
      </c>
      <c r="D279" s="214">
        <f>C279</f>
        <v>0</v>
      </c>
      <c r="E279" s="220"/>
      <c r="F279" s="216"/>
    </row>
    <row r="280" spans="2:6" ht="15" hidden="1">
      <c r="B280" s="217" t="s">
        <v>200</v>
      </c>
      <c r="C280" s="20">
        <f>IF((D248&lt;12500),(((D248-8333.33)*0.4)+(786.67*0.4)),(((12500-8333.33)*0.4)+(786.67*0.4)))</f>
        <v>-3018.6640000000002</v>
      </c>
      <c r="D280" s="18"/>
      <c r="E280" s="220"/>
      <c r="F280" s="327" t="s">
        <v>209</v>
      </c>
    </row>
    <row r="281" spans="2:6" ht="15" hidden="1">
      <c r="B281" s="217"/>
      <c r="C281" s="214">
        <v>0</v>
      </c>
      <c r="D281" s="214">
        <f>MAX(C280:C281)</f>
        <v>0</v>
      </c>
      <c r="E281" s="220"/>
      <c r="F281" s="217"/>
    </row>
    <row r="282" spans="2:6" ht="15" hidden="1">
      <c r="B282" s="216" t="s">
        <v>201</v>
      </c>
      <c r="C282" s="20">
        <f>IF((D248&lt;8333.33),((D248-3454.17)*0.4),((8333.33-3454.17)*0.4))</f>
        <v>-1381.6680000000001</v>
      </c>
      <c r="D282" s="18"/>
      <c r="E282" s="220"/>
      <c r="F282" s="393" t="s">
        <v>321</v>
      </c>
    </row>
    <row r="283" spans="2:6" ht="15" hidden="1">
      <c r="B283" s="216"/>
      <c r="C283" s="214">
        <v>0</v>
      </c>
      <c r="D283" s="214">
        <f>MAX(C282:C283)</f>
        <v>0</v>
      </c>
      <c r="E283" s="220"/>
      <c r="F283" s="393" t="s">
        <v>320</v>
      </c>
    </row>
    <row r="284" spans="2:6" ht="15" hidden="1">
      <c r="B284" s="216" t="s">
        <v>202</v>
      </c>
      <c r="C284" s="20">
        <f>IF((D248&lt;3454.17),((D248-786.67)*0.2),(2667.5*0.2))</f>
        <v>-157.334</v>
      </c>
      <c r="D284" s="18"/>
      <c r="E284" s="221"/>
      <c r="F284" s="393" t="s">
        <v>319</v>
      </c>
    </row>
    <row r="285" spans="2:6" ht="15" hidden="1">
      <c r="B285" s="216"/>
      <c r="C285" s="214">
        <v>0</v>
      </c>
      <c r="D285" s="214">
        <f>MAX(C284:C285)</f>
        <v>0</v>
      </c>
      <c r="E285" s="220"/>
    </row>
    <row r="286" spans="2:6" ht="15" hidden="1">
      <c r="B286" s="216" t="s">
        <v>203</v>
      </c>
      <c r="C286" s="329">
        <v>0</v>
      </c>
      <c r="D286" s="329">
        <v>0</v>
      </c>
      <c r="E286" s="220"/>
    </row>
    <row r="287" spans="2:6" ht="15" hidden="1">
      <c r="B287" s="330" t="s">
        <v>204</v>
      </c>
      <c r="C287" s="20"/>
      <c r="E287" s="219">
        <f>D286+D285+D283+D281+D279</f>
        <v>0</v>
      </c>
    </row>
    <row r="288" spans="2:6"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sheetData>
  <phoneticPr fontId="0" type="noConversion"/>
  <conditionalFormatting sqref="G79 G95:G196">
    <cfRule type="expression" dxfId="186" priority="39" stopIfTrue="1">
      <formula>$E$12&gt;0</formula>
    </cfRule>
  </conditionalFormatting>
  <conditionalFormatting sqref="G79 G95:G196">
    <cfRule type="expression" dxfId="185" priority="40" stopIfTrue="1">
      <formula>$E$12&gt;0</formula>
    </cfRule>
    <cfRule type="expression" priority="41" stopIfTrue="1">
      <formula>$E$12 &gt;0</formula>
    </cfRule>
  </conditionalFormatting>
  <conditionalFormatting sqref="G79 G95:G196">
    <cfRule type="expression" dxfId="184" priority="38" stopIfTrue="1">
      <formula>"e12&gt;0"</formula>
    </cfRule>
  </conditionalFormatting>
  <conditionalFormatting sqref="G94">
    <cfRule type="expression" dxfId="183" priority="35" stopIfTrue="1">
      <formula>$E$12&gt;0</formula>
    </cfRule>
  </conditionalFormatting>
  <conditionalFormatting sqref="G94">
    <cfRule type="expression" dxfId="182" priority="36" stopIfTrue="1">
      <formula>$E$12&gt;0</formula>
    </cfRule>
    <cfRule type="expression" priority="37" stopIfTrue="1">
      <formula>$E$12 &gt;0</formula>
    </cfRule>
  </conditionalFormatting>
  <conditionalFormatting sqref="G94">
    <cfRule type="expression" dxfId="181" priority="34" stopIfTrue="1">
      <formula>"e12&gt;0"</formula>
    </cfRule>
  </conditionalFormatting>
  <conditionalFormatting sqref="G93">
    <cfRule type="expression" dxfId="180" priority="31" stopIfTrue="1">
      <formula>$E$12&gt;0</formula>
    </cfRule>
  </conditionalFormatting>
  <conditionalFormatting sqref="G93">
    <cfRule type="expression" dxfId="179" priority="32" stopIfTrue="1">
      <formula>$E$12&gt;0</formula>
    </cfRule>
    <cfRule type="expression" priority="33" stopIfTrue="1">
      <formula>$E$12 &gt;0</formula>
    </cfRule>
  </conditionalFormatting>
  <conditionalFormatting sqref="G93">
    <cfRule type="expression" dxfId="178" priority="30" stopIfTrue="1">
      <formula>"e12&gt;0"</formula>
    </cfRule>
  </conditionalFormatting>
  <conditionalFormatting sqref="G91">
    <cfRule type="expression" dxfId="177" priority="28" stopIfTrue="1">
      <formula>$E$12&gt;0</formula>
    </cfRule>
    <cfRule type="expression" priority="29" stopIfTrue="1">
      <formula>$E$12 &gt;0</formula>
    </cfRule>
  </conditionalFormatting>
  <conditionalFormatting sqref="G91">
    <cfRule type="expression" dxfId="176" priority="27" stopIfTrue="1">
      <formula>$E$12&gt;0</formula>
    </cfRule>
  </conditionalFormatting>
  <conditionalFormatting sqref="G91">
    <cfRule type="expression" dxfId="175" priority="26" stopIfTrue="1">
      <formula>"e12&gt;0"</formula>
    </cfRule>
  </conditionalFormatting>
  <conditionalFormatting sqref="G90">
    <cfRule type="expression" dxfId="174" priority="24" stopIfTrue="1">
      <formula>$E$12&gt;0</formula>
    </cfRule>
    <cfRule type="expression" priority="25" stopIfTrue="1">
      <formula>$E$12 &gt;0</formula>
    </cfRule>
  </conditionalFormatting>
  <conditionalFormatting sqref="G90">
    <cfRule type="expression" dxfId="173" priority="23" stopIfTrue="1">
      <formula>$E$12&gt;0</formula>
    </cfRule>
  </conditionalFormatting>
  <conditionalFormatting sqref="G90">
    <cfRule type="expression" dxfId="172" priority="22" stopIfTrue="1">
      <formula>"e12&gt;0"</formula>
    </cfRule>
  </conditionalFormatting>
  <conditionalFormatting sqref="G80:G82 G87:G88">
    <cfRule type="expression" dxfId="171" priority="15">
      <formula>$E$12&gt;0</formula>
    </cfRule>
  </conditionalFormatting>
  <conditionalFormatting sqref="G80:G82 G87:G88">
    <cfRule type="expression" dxfId="170" priority="16">
      <formula>$E$12&gt;0</formula>
    </cfRule>
  </conditionalFormatting>
  <conditionalFormatting sqref="G80:G82 G87:G88">
    <cfRule type="expression" dxfId="169" priority="17">
      <formula>"e12&gt;0"</formula>
    </cfRule>
  </conditionalFormatting>
  <conditionalFormatting sqref="G80:G82 G87:G88">
    <cfRule type="expression" dxfId="168" priority="18">
      <formula>$E$12&gt;0</formula>
    </cfRule>
  </conditionalFormatting>
  <conditionalFormatting sqref="G80:G82 G87:G88">
    <cfRule type="expression" dxfId="167" priority="19">
      <formula>$E$12</formula>
    </cfRule>
  </conditionalFormatting>
  <conditionalFormatting sqref="G80:G82 G87:G88">
    <cfRule type="expression" dxfId="166" priority="20">
      <formula>$E$12</formula>
    </cfRule>
  </conditionalFormatting>
  <conditionalFormatting sqref="G80:G82 G87:G88">
    <cfRule type="expression" dxfId="165" priority="21">
      <formula>"e12&gt;0"</formula>
    </cfRule>
  </conditionalFormatting>
  <conditionalFormatting sqref="G89">
    <cfRule type="expression" dxfId="164" priority="12">
      <formula>$E$12&gt;0</formula>
    </cfRule>
  </conditionalFormatting>
  <conditionalFormatting sqref="G89">
    <cfRule type="expression" dxfId="163" priority="13">
      <formula>$E$12&gt;0</formula>
    </cfRule>
  </conditionalFormatting>
  <conditionalFormatting sqref="G89">
    <cfRule type="expression" dxfId="162" priority="14">
      <formula>"e12&gt;0"</formula>
    </cfRule>
  </conditionalFormatting>
  <conditionalFormatting sqref="G83:G86">
    <cfRule type="expression" dxfId="161" priority="5">
      <formula>$E$12&gt;0</formula>
    </cfRule>
  </conditionalFormatting>
  <conditionalFormatting sqref="G83:G86">
    <cfRule type="expression" dxfId="160" priority="6">
      <formula>$E$12&gt;0</formula>
    </cfRule>
  </conditionalFormatting>
  <conditionalFormatting sqref="G83:G86">
    <cfRule type="expression" dxfId="159" priority="7">
      <formula>"e12&gt;0"</formula>
    </cfRule>
  </conditionalFormatting>
  <conditionalFormatting sqref="G83:G86">
    <cfRule type="expression" dxfId="158" priority="8">
      <formula>$E$12&gt;0</formula>
    </cfRule>
  </conditionalFormatting>
  <conditionalFormatting sqref="G83:G86">
    <cfRule type="expression" dxfId="157" priority="9">
      <formula>$E$12</formula>
    </cfRule>
  </conditionalFormatting>
  <conditionalFormatting sqref="G83:G86">
    <cfRule type="expression" dxfId="156" priority="10">
      <formula>$E$12</formula>
    </cfRule>
  </conditionalFormatting>
  <conditionalFormatting sqref="G83:G86">
    <cfRule type="expression" dxfId="155" priority="11">
      <formula>"e12&gt;0"</formula>
    </cfRule>
  </conditionalFormatting>
  <conditionalFormatting sqref="G92">
    <cfRule type="expression" dxfId="154" priority="2" stopIfTrue="1">
      <formula>$E$12&gt;0</formula>
    </cfRule>
  </conditionalFormatting>
  <conditionalFormatting sqref="G92">
    <cfRule type="expression" dxfId="153" priority="3" stopIfTrue="1">
      <formula>$E$12&gt;0</formula>
    </cfRule>
    <cfRule type="expression" priority="4" stopIfTrue="1">
      <formula>$E$12 &gt;0</formula>
    </cfRule>
  </conditionalFormatting>
  <conditionalFormatting sqref="G92">
    <cfRule type="expression" dxfId="152" priority="1" stopIfTrue="1">
      <formula>"e12&gt;0"</formula>
    </cfRule>
  </conditionalFormatting>
  <pageMargins left="0.74803149606299213" right="0.74803149606299213" top="0.98425196850393704" bottom="0.98425196850393704" header="0.51181102362204722" footer="0.51181102362204722"/>
  <pageSetup paperSize="9" scale="47" fitToHeight="4" orientation="landscape" horizontalDpi="300" verticalDpi="300" r:id="rId1"/>
  <headerFooter alignWithMargins="0">
    <oddFooter>&amp;C&amp;"Bodoni Bd BT,Bold Italic"&amp;9Page &amp;P of &amp;N</oddFooter>
  </headerFooter>
  <ignoredErrors>
    <ignoredError sqref="E216:F216 D41:E52 B4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5380" r:id="rId4" name="Check Box 20">
              <controlPr defaultSize="0" autoFill="0" autoLine="0" autoPict="0">
                <anchor moveWithCells="1">
                  <from>
                    <xdr:col>6</xdr:col>
                    <xdr:colOff>57150</xdr:colOff>
                    <xdr:row>214</xdr:row>
                    <xdr:rowOff>133350</xdr:rowOff>
                  </from>
                  <to>
                    <xdr:col>7</xdr:col>
                    <xdr:colOff>552450</xdr:colOff>
                    <xdr:row>215</xdr:row>
                    <xdr:rowOff>171450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BE294"/>
  <sheetViews>
    <sheetView showZeros="0" topLeftCell="A75" zoomScale="70" zoomScaleNormal="70" workbookViewId="0">
      <pane xSplit="7" topLeftCell="H1" activePane="topRight" state="frozen"/>
      <selection activeCell="L49" sqref="L49"/>
      <selection pane="topRight" activeCell="P18" sqref="P18"/>
    </sheetView>
  </sheetViews>
  <sheetFormatPr defaultColWidth="0" defaultRowHeight="12.75"/>
  <cols>
    <col min="1" max="1" width="10.7109375" style="7" customWidth="1"/>
    <col min="2" max="2" width="25.7109375" style="7" customWidth="1"/>
    <col min="3" max="3" width="17.7109375" style="7" customWidth="1"/>
    <col min="4" max="5" width="13.7109375" style="20" customWidth="1"/>
    <col min="6" max="6" width="17.85546875" style="20" customWidth="1"/>
    <col min="7"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1" width="10.42578125" style="629" hidden="1" customWidth="1"/>
    <col min="32" max="32" width="12.7109375" style="634" customWidth="1"/>
    <col min="33" max="33" width="17.140625" style="7" hidden="1" customWidth="1"/>
    <col min="34" max="16384" width="0" style="7" hidden="1"/>
  </cols>
  <sheetData>
    <row r="1" spans="1:29" ht="13.5" thickBot="1">
      <c r="A1" s="7">
        <v>0</v>
      </c>
    </row>
    <row r="2" spans="1:29" ht="29.45" customHeight="1" thickBot="1">
      <c r="A2" s="81" t="str">
        <f>'Nov 17'!A2</f>
        <v>Design-spectrum Limited</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86" t="s">
        <v>84</v>
      </c>
      <c r="B4" s="87"/>
      <c r="C4" s="85">
        <f>'Jun 18'!C4+31</f>
        <v>43288</v>
      </c>
      <c r="F4" s="21"/>
      <c r="G4" s="21"/>
      <c r="H4" s="21"/>
      <c r="I4" s="21"/>
      <c r="J4" s="21"/>
      <c r="K4" s="21"/>
      <c r="L4" s="21"/>
      <c r="M4" s="21"/>
      <c r="N4" s="21"/>
      <c r="O4" s="21"/>
      <c r="P4" s="21"/>
      <c r="Q4" s="22"/>
      <c r="R4" s="22"/>
      <c r="S4" s="22"/>
      <c r="T4" s="22"/>
      <c r="U4" s="22"/>
      <c r="V4" s="22"/>
      <c r="W4" s="22"/>
      <c r="X4" s="22"/>
      <c r="Y4" s="22"/>
      <c r="Z4" s="22"/>
      <c r="AA4" s="22"/>
      <c r="AB4" s="22"/>
      <c r="AC4" s="22"/>
    </row>
    <row r="6" spans="1:29" ht="13.5" thickBot="1"/>
    <row r="7" spans="1:29" ht="21" thickBot="1">
      <c r="A7" s="101" t="s">
        <v>0</v>
      </c>
      <c r="B7" s="102"/>
      <c r="C7" s="102"/>
      <c r="D7" s="102"/>
      <c r="E7" s="102"/>
      <c r="F7" s="102"/>
      <c r="G7" s="103"/>
      <c r="H7" s="23"/>
      <c r="I7" s="101" t="s">
        <v>211</v>
      </c>
      <c r="J7" s="102"/>
      <c r="K7" s="102"/>
      <c r="L7" s="103"/>
      <c r="M7" s="7"/>
    </row>
    <row r="8" spans="1:29" ht="13.5" thickBot="1">
      <c r="A8" s="24"/>
      <c r="B8" s="24"/>
      <c r="C8" s="24"/>
      <c r="D8" s="5"/>
      <c r="E8" s="5"/>
      <c r="F8" s="5"/>
      <c r="G8" s="5"/>
      <c r="H8" s="5"/>
      <c r="I8" s="5"/>
      <c r="J8" s="5"/>
      <c r="K8" s="5"/>
      <c r="L8" s="5"/>
      <c r="M8" s="5"/>
    </row>
    <row r="9" spans="1:29" ht="15.75" thickBot="1">
      <c r="A9" s="25" t="s">
        <v>2</v>
      </c>
      <c r="B9" s="24"/>
      <c r="C9" s="24"/>
      <c r="D9" s="26"/>
      <c r="E9" s="334" t="str">
        <f>'Jun 18'!E9</f>
        <v>n</v>
      </c>
      <c r="F9" s="5">
        <f>IF(E9="Both","enter sales invoices manually at row 30 onwards",0)</f>
        <v>0</v>
      </c>
      <c r="G9" s="5"/>
      <c r="H9" s="5"/>
      <c r="I9" s="5"/>
      <c r="J9" s="5"/>
      <c r="K9" s="5"/>
      <c r="L9" s="5"/>
      <c r="M9" s="5"/>
    </row>
    <row r="10" spans="1:29" ht="15.75" thickBot="1">
      <c r="A10" s="24"/>
      <c r="B10" s="24"/>
      <c r="C10" s="24"/>
      <c r="E10" s="27"/>
      <c r="F10" s="5"/>
      <c r="G10" s="5"/>
      <c r="H10" s="5"/>
      <c r="I10" s="5"/>
      <c r="J10" s="5"/>
      <c r="K10" s="5"/>
      <c r="L10" s="5"/>
      <c r="M10" s="5"/>
    </row>
    <row r="11" spans="1:29" ht="15.75" thickBot="1">
      <c r="A11" s="25" t="s">
        <v>4</v>
      </c>
      <c r="B11" s="24"/>
      <c r="C11" s="24"/>
      <c r="E11" s="334" t="str">
        <f>'Jun 18'!E11</f>
        <v>y</v>
      </c>
      <c r="F11" s="5"/>
      <c r="G11" s="5"/>
      <c r="H11" s="5"/>
      <c r="I11" s="5"/>
      <c r="J11" s="5"/>
      <c r="K11" s="65" t="s">
        <v>20</v>
      </c>
      <c r="L11" s="65"/>
      <c r="M11" s="5"/>
      <c r="N11" s="5"/>
      <c r="O11" s="14" t="s">
        <v>20</v>
      </c>
    </row>
    <row r="12" spans="1:29" ht="15.75" thickBot="1">
      <c r="A12" s="25" t="s">
        <v>306</v>
      </c>
      <c r="B12" s="24"/>
      <c r="C12" s="24"/>
      <c r="E12" s="335">
        <f>'Jun 18'!E12</f>
        <v>0.16500000000000001</v>
      </c>
      <c r="F12" s="5"/>
      <c r="G12" s="5"/>
      <c r="H12" s="5"/>
      <c r="I12" s="5"/>
      <c r="J12" s="5"/>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2"/>
      <c r="C16" s="33" t="s">
        <v>77</v>
      </c>
      <c r="D16" s="559">
        <f>'Jun 18'!D54</f>
        <v>0</v>
      </c>
      <c r="E16" s="559">
        <f>'Jun 18'!E54</f>
        <v>75900</v>
      </c>
      <c r="F16" s="559">
        <f>'Jun 18'!F54</f>
        <v>91080</v>
      </c>
      <c r="G16" s="259">
        <f>'Jun 18'!G54</f>
        <v>15180</v>
      </c>
      <c r="H16" s="34"/>
      <c r="I16" s="153" t="s">
        <v>20</v>
      </c>
      <c r="J16" s="152" t="s">
        <v>77</v>
      </c>
      <c r="K16" s="154"/>
      <c r="L16" s="486">
        <f>'Jun 18'!L54</f>
        <v>114180</v>
      </c>
      <c r="M16" s="263">
        <f>'Jun 18'!M54</f>
        <v>195.09</v>
      </c>
      <c r="N16" s="263">
        <f>'Jun 18'!N54</f>
        <v>0</v>
      </c>
      <c r="O16" s="263">
        <f>'Jun 18'!O54</f>
        <v>101044.25</v>
      </c>
      <c r="P16" s="257">
        <f>'Jun 18'!P54</f>
        <v>-177.45999999999998</v>
      </c>
      <c r="Q16" s="17"/>
    </row>
    <row r="17" spans="1:16">
      <c r="A17" s="555"/>
      <c r="B17" s="548" t="s">
        <v>489</v>
      </c>
      <c r="C17" s="256"/>
      <c r="D17" s="346">
        <f>IF(E$9="y",F17-G17,0)</f>
        <v>0</v>
      </c>
      <c r="E17" s="346">
        <f>IF(E$9="n",F17-G17,0)</f>
        <v>0</v>
      </c>
      <c r="F17" s="558"/>
      <c r="G17" s="551">
        <f t="shared" ref="G17:G52" si="0">IF(($E$11="n"),0,IF((LEFT(C17,1)="v"),F17,IF((LEFT(C17,1)="z"),0,F17*1/6)))</f>
        <v>0</v>
      </c>
      <c r="H17" s="34"/>
      <c r="I17" s="560"/>
      <c r="J17" s="565"/>
      <c r="K17" s="567"/>
      <c r="L17" s="585"/>
      <c r="M17" s="562"/>
      <c r="N17" s="562"/>
      <c r="O17" s="562"/>
      <c r="P17" s="563">
        <v>2.42</v>
      </c>
    </row>
    <row r="18" spans="1:16">
      <c r="A18" s="555"/>
      <c r="B18" s="1"/>
      <c r="C18" s="2"/>
      <c r="D18" s="346">
        <f t="shared" ref="D18:D52" si="1">IF(E$9="y",F18-G18,0)</f>
        <v>0</v>
      </c>
      <c r="E18" s="346">
        <f t="shared" ref="E18:E52" si="2">IF(E$9="n",F18-G18,0)</f>
        <v>0</v>
      </c>
      <c r="F18" s="558"/>
      <c r="G18" s="551">
        <f t="shared" si="0"/>
        <v>0</v>
      </c>
      <c r="H18" s="34"/>
      <c r="I18" s="560"/>
      <c r="J18" s="565"/>
      <c r="K18" s="567"/>
      <c r="L18" s="585"/>
      <c r="M18" s="562"/>
      <c r="N18" s="562"/>
      <c r="O18" s="562"/>
      <c r="P18" s="563"/>
    </row>
    <row r="19" spans="1:16">
      <c r="A19" s="555"/>
      <c r="B19" s="1"/>
      <c r="C19" s="2"/>
      <c r="D19" s="346">
        <f t="shared" si="1"/>
        <v>0</v>
      </c>
      <c r="E19" s="346">
        <f t="shared" si="2"/>
        <v>0</v>
      </c>
      <c r="F19" s="558"/>
      <c r="G19" s="551">
        <f t="shared" si="0"/>
        <v>0</v>
      </c>
      <c r="H19" s="34"/>
      <c r="I19" s="560"/>
      <c r="J19" s="565"/>
      <c r="K19" s="567"/>
      <c r="L19" s="585"/>
      <c r="M19" s="562"/>
      <c r="N19" s="562"/>
      <c r="O19" s="562"/>
      <c r="P19" s="563"/>
    </row>
    <row r="20" spans="1:16">
      <c r="A20" s="555"/>
      <c r="B20" s="1"/>
      <c r="C20" s="2"/>
      <c r="D20" s="346">
        <f t="shared" si="1"/>
        <v>0</v>
      </c>
      <c r="E20" s="346">
        <f t="shared" si="2"/>
        <v>0</v>
      </c>
      <c r="F20" s="558"/>
      <c r="G20" s="551">
        <f t="shared" si="0"/>
        <v>0</v>
      </c>
      <c r="H20" s="34"/>
      <c r="I20" s="560"/>
      <c r="J20" s="565"/>
      <c r="K20" s="567"/>
      <c r="L20" s="585"/>
      <c r="M20" s="562"/>
      <c r="N20" s="562"/>
      <c r="O20" s="562"/>
      <c r="P20" s="563"/>
    </row>
    <row r="21" spans="1:16">
      <c r="A21" s="555"/>
      <c r="B21" s="1"/>
      <c r="C21" s="2"/>
      <c r="D21" s="346">
        <f t="shared" si="1"/>
        <v>0</v>
      </c>
      <c r="E21" s="346">
        <f t="shared" si="2"/>
        <v>0</v>
      </c>
      <c r="F21" s="558"/>
      <c r="G21" s="551">
        <f t="shared" si="0"/>
        <v>0</v>
      </c>
      <c r="H21" s="34"/>
      <c r="I21" s="560"/>
      <c r="J21" s="565"/>
      <c r="K21" s="567"/>
      <c r="L21" s="585"/>
      <c r="M21" s="562"/>
      <c r="N21" s="562"/>
      <c r="O21" s="562"/>
      <c r="P21" s="563"/>
    </row>
    <row r="22" spans="1:16">
      <c r="A22" s="555"/>
      <c r="B22" s="1"/>
      <c r="C22" s="2"/>
      <c r="D22" s="346">
        <f t="shared" si="1"/>
        <v>0</v>
      </c>
      <c r="E22" s="346">
        <f t="shared" si="2"/>
        <v>0</v>
      </c>
      <c r="F22" s="558"/>
      <c r="G22" s="551">
        <f t="shared" si="0"/>
        <v>0</v>
      </c>
      <c r="H22" s="34"/>
      <c r="I22" s="560"/>
      <c r="J22" s="565"/>
      <c r="K22" s="567"/>
      <c r="L22" s="585"/>
      <c r="M22" s="562"/>
      <c r="N22" s="562"/>
      <c r="O22" s="562"/>
      <c r="P22" s="563"/>
    </row>
    <row r="23" spans="1:16">
      <c r="A23" s="555"/>
      <c r="B23" s="1"/>
      <c r="C23" s="2"/>
      <c r="D23" s="346">
        <f t="shared" si="1"/>
        <v>0</v>
      </c>
      <c r="E23" s="346">
        <f t="shared" si="2"/>
        <v>0</v>
      </c>
      <c r="F23" s="558"/>
      <c r="G23" s="551">
        <f t="shared" si="0"/>
        <v>0</v>
      </c>
      <c r="H23" s="34"/>
      <c r="I23" s="560"/>
      <c r="J23" s="565"/>
      <c r="K23" s="567"/>
      <c r="L23" s="585"/>
      <c r="M23" s="562"/>
      <c r="N23" s="562"/>
      <c r="O23" s="562"/>
      <c r="P23" s="563"/>
    </row>
    <row r="24" spans="1:16">
      <c r="A24" s="555"/>
      <c r="B24" s="1"/>
      <c r="C24" s="2"/>
      <c r="D24" s="346">
        <f t="shared" si="1"/>
        <v>0</v>
      </c>
      <c r="E24" s="346">
        <f t="shared" si="2"/>
        <v>0</v>
      </c>
      <c r="F24" s="558"/>
      <c r="G24" s="551">
        <f t="shared" si="0"/>
        <v>0</v>
      </c>
      <c r="H24" s="34"/>
      <c r="I24" s="560"/>
      <c r="J24" s="565"/>
      <c r="K24" s="567"/>
      <c r="L24" s="585"/>
      <c r="M24" s="562"/>
      <c r="N24" s="562"/>
      <c r="O24" s="562"/>
      <c r="P24" s="563"/>
    </row>
    <row r="25" spans="1:16">
      <c r="A25" s="555"/>
      <c r="B25" s="1"/>
      <c r="C25" s="2"/>
      <c r="D25" s="346">
        <f t="shared" si="1"/>
        <v>0</v>
      </c>
      <c r="E25" s="346">
        <f t="shared" si="2"/>
        <v>0</v>
      </c>
      <c r="F25" s="558"/>
      <c r="G25" s="551">
        <f t="shared" si="0"/>
        <v>0</v>
      </c>
      <c r="H25" s="34"/>
      <c r="I25" s="560"/>
      <c r="J25" s="565"/>
      <c r="K25" s="567"/>
      <c r="L25" s="585"/>
      <c r="M25" s="562"/>
      <c r="N25" s="562"/>
      <c r="O25" s="562"/>
      <c r="P25" s="563"/>
    </row>
    <row r="26" spans="1:16">
      <c r="A26" s="555"/>
      <c r="B26" s="1"/>
      <c r="C26" s="2"/>
      <c r="D26" s="346">
        <f t="shared" si="1"/>
        <v>0</v>
      </c>
      <c r="E26" s="346">
        <f t="shared" si="2"/>
        <v>0</v>
      </c>
      <c r="F26" s="558"/>
      <c r="G26" s="551">
        <f t="shared" si="0"/>
        <v>0</v>
      </c>
      <c r="H26" s="34"/>
      <c r="I26" s="560"/>
      <c r="J26" s="565"/>
      <c r="K26" s="567"/>
      <c r="L26" s="585"/>
      <c r="M26" s="562"/>
      <c r="N26" s="562"/>
      <c r="O26" s="562"/>
      <c r="P26" s="563"/>
    </row>
    <row r="27" spans="1:16">
      <c r="A27" s="555"/>
      <c r="B27" s="1"/>
      <c r="C27" s="2"/>
      <c r="D27" s="346">
        <f t="shared" si="1"/>
        <v>0</v>
      </c>
      <c r="E27" s="346">
        <f t="shared" si="2"/>
        <v>0</v>
      </c>
      <c r="F27" s="558"/>
      <c r="G27" s="551">
        <f t="shared" si="0"/>
        <v>0</v>
      </c>
      <c r="H27" s="34"/>
      <c r="I27" s="560"/>
      <c r="J27" s="565"/>
      <c r="K27" s="567"/>
      <c r="L27" s="585"/>
      <c r="M27" s="562"/>
      <c r="N27" s="562"/>
      <c r="O27" s="562"/>
      <c r="P27" s="563"/>
    </row>
    <row r="28" spans="1:16">
      <c r="A28" s="555"/>
      <c r="B28" s="1"/>
      <c r="C28" s="2"/>
      <c r="D28" s="346">
        <f t="shared" si="1"/>
        <v>0</v>
      </c>
      <c r="E28" s="346">
        <f t="shared" si="2"/>
        <v>0</v>
      </c>
      <c r="F28" s="558"/>
      <c r="G28" s="551">
        <f t="shared" si="0"/>
        <v>0</v>
      </c>
      <c r="H28" s="34"/>
      <c r="I28" s="560"/>
      <c r="J28" s="565"/>
      <c r="K28" s="567"/>
      <c r="L28" s="585"/>
      <c r="M28" s="562"/>
      <c r="N28" s="562"/>
      <c r="O28" s="562"/>
      <c r="P28" s="563"/>
    </row>
    <row r="29" spans="1:16">
      <c r="A29" s="555"/>
      <c r="B29" s="1"/>
      <c r="C29" s="2"/>
      <c r="D29" s="346">
        <f t="shared" si="1"/>
        <v>0</v>
      </c>
      <c r="E29" s="346">
        <f t="shared" si="2"/>
        <v>0</v>
      </c>
      <c r="F29" s="558"/>
      <c r="G29" s="551">
        <f t="shared" si="0"/>
        <v>0</v>
      </c>
      <c r="H29" s="34"/>
      <c r="I29" s="560"/>
      <c r="J29" s="565"/>
      <c r="K29" s="567"/>
      <c r="L29" s="585"/>
      <c r="M29" s="562"/>
      <c r="N29" s="562"/>
      <c r="O29" s="562"/>
      <c r="P29" s="563"/>
    </row>
    <row r="30" spans="1:16">
      <c r="A30" s="555"/>
      <c r="B30" s="1"/>
      <c r="C30" s="2"/>
      <c r="D30" s="346">
        <f t="shared" si="1"/>
        <v>0</v>
      </c>
      <c r="E30" s="346">
        <f t="shared" si="2"/>
        <v>0</v>
      </c>
      <c r="F30" s="558"/>
      <c r="G30" s="551">
        <f t="shared" si="0"/>
        <v>0</v>
      </c>
      <c r="H30" s="34"/>
      <c r="I30" s="560"/>
      <c r="J30" s="565"/>
      <c r="K30" s="567"/>
      <c r="L30" s="585"/>
      <c r="M30" s="562"/>
      <c r="N30" s="562"/>
      <c r="O30" s="562"/>
      <c r="P30" s="563"/>
    </row>
    <row r="31" spans="1:16">
      <c r="A31" s="555"/>
      <c r="B31" s="1"/>
      <c r="C31" s="2"/>
      <c r="D31" s="346">
        <f t="shared" si="1"/>
        <v>0</v>
      </c>
      <c r="E31" s="346">
        <f t="shared" si="2"/>
        <v>0</v>
      </c>
      <c r="F31" s="558"/>
      <c r="G31" s="551">
        <f t="shared" si="0"/>
        <v>0</v>
      </c>
      <c r="H31" s="34"/>
      <c r="I31" s="560"/>
      <c r="J31" s="565"/>
      <c r="K31" s="567"/>
      <c r="L31" s="585"/>
      <c r="M31" s="562"/>
      <c r="N31" s="562"/>
      <c r="O31" s="562"/>
      <c r="P31" s="563"/>
    </row>
    <row r="32" spans="1:16">
      <c r="A32" s="555"/>
      <c r="B32" s="1"/>
      <c r="C32" s="2"/>
      <c r="D32" s="346">
        <f t="shared" si="1"/>
        <v>0</v>
      </c>
      <c r="E32" s="346">
        <f t="shared" si="2"/>
        <v>0</v>
      </c>
      <c r="F32" s="558"/>
      <c r="G32" s="551">
        <f t="shared" si="0"/>
        <v>0</v>
      </c>
      <c r="H32" s="34"/>
      <c r="I32" s="560"/>
      <c r="J32" s="565"/>
      <c r="K32" s="567"/>
      <c r="L32" s="585"/>
      <c r="M32" s="562"/>
      <c r="N32" s="562"/>
      <c r="O32" s="562"/>
      <c r="P32" s="563"/>
    </row>
    <row r="33" spans="1:16">
      <c r="A33" s="555"/>
      <c r="B33" s="1"/>
      <c r="C33" s="2"/>
      <c r="D33" s="346">
        <f t="shared" si="1"/>
        <v>0</v>
      </c>
      <c r="E33" s="346">
        <f t="shared" si="2"/>
        <v>0</v>
      </c>
      <c r="F33" s="558"/>
      <c r="G33" s="551">
        <f t="shared" si="0"/>
        <v>0</v>
      </c>
      <c r="H33" s="34"/>
      <c r="I33" s="560"/>
      <c r="J33" s="565"/>
      <c r="K33" s="567"/>
      <c r="L33" s="585"/>
      <c r="M33" s="562"/>
      <c r="N33" s="562"/>
      <c r="O33" s="562"/>
      <c r="P33" s="563"/>
    </row>
    <row r="34" spans="1:16">
      <c r="A34" s="555"/>
      <c r="B34" s="1"/>
      <c r="C34" s="2"/>
      <c r="D34" s="346">
        <f t="shared" si="1"/>
        <v>0</v>
      </c>
      <c r="E34" s="346">
        <f t="shared" si="2"/>
        <v>0</v>
      </c>
      <c r="F34" s="558"/>
      <c r="G34" s="551">
        <f t="shared" si="0"/>
        <v>0</v>
      </c>
      <c r="H34" s="34"/>
      <c r="I34" s="560"/>
      <c r="J34" s="565"/>
      <c r="K34" s="567"/>
      <c r="L34" s="585"/>
      <c r="M34" s="562"/>
      <c r="N34" s="562"/>
      <c r="O34" s="562"/>
      <c r="P34" s="563"/>
    </row>
    <row r="35" spans="1:16">
      <c r="A35" s="555"/>
      <c r="B35" s="1"/>
      <c r="C35" s="2"/>
      <c r="D35" s="346">
        <f t="shared" si="1"/>
        <v>0</v>
      </c>
      <c r="E35" s="346">
        <f t="shared" si="2"/>
        <v>0</v>
      </c>
      <c r="F35" s="558"/>
      <c r="G35" s="551">
        <f t="shared" si="0"/>
        <v>0</v>
      </c>
      <c r="H35" s="34"/>
      <c r="I35" s="560"/>
      <c r="J35" s="565"/>
      <c r="K35" s="567"/>
      <c r="L35" s="585"/>
      <c r="M35" s="562"/>
      <c r="N35" s="562"/>
      <c r="O35" s="562"/>
      <c r="P35" s="563"/>
    </row>
    <row r="36" spans="1:16">
      <c r="A36" s="555"/>
      <c r="B36" s="1"/>
      <c r="C36" s="2"/>
      <c r="D36" s="346">
        <f t="shared" si="1"/>
        <v>0</v>
      </c>
      <c r="E36" s="346">
        <f t="shared" si="2"/>
        <v>0</v>
      </c>
      <c r="F36" s="558"/>
      <c r="G36" s="551">
        <f t="shared" si="0"/>
        <v>0</v>
      </c>
      <c r="H36" s="34"/>
      <c r="I36" s="560"/>
      <c r="J36" s="565"/>
      <c r="K36" s="567"/>
      <c r="L36" s="585"/>
      <c r="M36" s="562"/>
      <c r="N36" s="562"/>
      <c r="O36" s="562"/>
      <c r="P36" s="563"/>
    </row>
    <row r="37" spans="1:16">
      <c r="A37" s="555"/>
      <c r="B37" s="1"/>
      <c r="C37" s="2"/>
      <c r="D37" s="346">
        <f t="shared" si="1"/>
        <v>0</v>
      </c>
      <c r="E37" s="346">
        <f t="shared" si="2"/>
        <v>0</v>
      </c>
      <c r="F37" s="558"/>
      <c r="G37" s="551">
        <f t="shared" si="0"/>
        <v>0</v>
      </c>
      <c r="H37" s="34"/>
      <c r="I37" s="560"/>
      <c r="J37" s="565"/>
      <c r="K37" s="567"/>
      <c r="L37" s="585"/>
      <c r="M37" s="562"/>
      <c r="N37" s="562"/>
      <c r="O37" s="562"/>
      <c r="P37" s="563"/>
    </row>
    <row r="38" spans="1:16">
      <c r="A38" s="555"/>
      <c r="B38" s="1"/>
      <c r="C38" s="2"/>
      <c r="D38" s="346">
        <f t="shared" si="1"/>
        <v>0</v>
      </c>
      <c r="E38" s="346">
        <f t="shared" si="2"/>
        <v>0</v>
      </c>
      <c r="F38" s="558"/>
      <c r="G38" s="551">
        <f t="shared" si="0"/>
        <v>0</v>
      </c>
      <c r="H38" s="34"/>
      <c r="I38" s="560"/>
      <c r="J38" s="565"/>
      <c r="K38" s="567"/>
      <c r="L38" s="585"/>
      <c r="M38" s="562"/>
      <c r="N38" s="562"/>
      <c r="O38" s="562"/>
      <c r="P38" s="563"/>
    </row>
    <row r="39" spans="1:16" hidden="1">
      <c r="A39" s="555"/>
      <c r="B39" s="1"/>
      <c r="C39" s="2"/>
      <c r="D39" s="346">
        <f t="shared" si="1"/>
        <v>0</v>
      </c>
      <c r="E39" s="346">
        <f t="shared" si="2"/>
        <v>0</v>
      </c>
      <c r="F39" s="558"/>
      <c r="G39" s="551">
        <f t="shared" si="0"/>
        <v>0</v>
      </c>
      <c r="H39" s="34"/>
      <c r="I39" s="560"/>
      <c r="J39" s="565"/>
      <c r="K39" s="567"/>
      <c r="L39" s="585"/>
      <c r="M39" s="562"/>
      <c r="N39" s="562"/>
      <c r="O39" s="562"/>
      <c r="P39" s="563"/>
    </row>
    <row r="40" spans="1:16" hidden="1">
      <c r="A40" s="555"/>
      <c r="B40" s="1"/>
      <c r="C40" s="2"/>
      <c r="D40" s="346">
        <f t="shared" si="1"/>
        <v>0</v>
      </c>
      <c r="E40" s="346">
        <f t="shared" si="2"/>
        <v>0</v>
      </c>
      <c r="F40" s="558"/>
      <c r="G40" s="551">
        <f t="shared" si="0"/>
        <v>0</v>
      </c>
      <c r="H40" s="34"/>
      <c r="I40" s="560"/>
      <c r="J40" s="565"/>
      <c r="K40" s="567"/>
      <c r="L40" s="585"/>
      <c r="M40" s="562"/>
      <c r="N40" s="562"/>
      <c r="O40" s="562"/>
      <c r="P40" s="563"/>
    </row>
    <row r="41" spans="1:16" hidden="1">
      <c r="A41" s="555"/>
      <c r="B41" s="549">
        <f>IF(E9="Both","Enter manual values here",0)</f>
        <v>0</v>
      </c>
      <c r="C41" s="2"/>
      <c r="D41" s="552">
        <f t="shared" si="1"/>
        <v>0</v>
      </c>
      <c r="E41" s="552">
        <f t="shared" si="2"/>
        <v>0</v>
      </c>
      <c r="F41" s="558"/>
      <c r="G41" s="551">
        <f t="shared" si="0"/>
        <v>0</v>
      </c>
      <c r="H41" s="34"/>
      <c r="I41" s="560"/>
      <c r="J41" s="565"/>
      <c r="K41" s="567"/>
      <c r="L41" s="585"/>
      <c r="M41" s="562"/>
      <c r="N41" s="562"/>
      <c r="O41" s="562"/>
      <c r="P41" s="563"/>
    </row>
    <row r="42" spans="1:16" hidden="1">
      <c r="A42" s="555"/>
      <c r="B42" s="1"/>
      <c r="C42" s="2"/>
      <c r="D42" s="552">
        <f t="shared" si="1"/>
        <v>0</v>
      </c>
      <c r="E42" s="552">
        <f t="shared" si="2"/>
        <v>0</v>
      </c>
      <c r="F42" s="558"/>
      <c r="G42" s="551">
        <f t="shared" si="0"/>
        <v>0</v>
      </c>
      <c r="H42" s="34"/>
      <c r="I42" s="560"/>
      <c r="J42" s="565"/>
      <c r="K42" s="567"/>
      <c r="L42" s="585"/>
      <c r="M42" s="562"/>
      <c r="N42" s="562"/>
      <c r="O42" s="562"/>
      <c r="P42" s="563"/>
    </row>
    <row r="43" spans="1:16" hidden="1">
      <c r="A43" s="555"/>
      <c r="B43" s="1"/>
      <c r="C43" s="2"/>
      <c r="D43" s="552">
        <f t="shared" si="1"/>
        <v>0</v>
      </c>
      <c r="E43" s="552">
        <f t="shared" si="2"/>
        <v>0</v>
      </c>
      <c r="F43" s="558"/>
      <c r="G43" s="551">
        <f t="shared" si="0"/>
        <v>0</v>
      </c>
      <c r="H43" s="34"/>
      <c r="I43" s="560"/>
      <c r="J43" s="565"/>
      <c r="K43" s="567"/>
      <c r="L43" s="585"/>
      <c r="M43" s="562"/>
      <c r="N43" s="562"/>
      <c r="O43" s="562"/>
      <c r="P43" s="563"/>
    </row>
    <row r="44" spans="1:16" hidden="1">
      <c r="A44" s="555"/>
      <c r="B44" s="1"/>
      <c r="C44" s="2"/>
      <c r="D44" s="552">
        <f t="shared" si="1"/>
        <v>0</v>
      </c>
      <c r="E44" s="552">
        <f t="shared" si="2"/>
        <v>0</v>
      </c>
      <c r="F44" s="558"/>
      <c r="G44" s="551">
        <f t="shared" si="0"/>
        <v>0</v>
      </c>
      <c r="H44" s="34"/>
      <c r="I44" s="560"/>
      <c r="J44" s="565"/>
      <c r="K44" s="567"/>
      <c r="L44" s="585"/>
      <c r="M44" s="562"/>
      <c r="N44" s="562"/>
      <c r="O44" s="562"/>
      <c r="P44" s="563"/>
    </row>
    <row r="45" spans="1:16" hidden="1">
      <c r="A45" s="555"/>
      <c r="B45" s="1"/>
      <c r="C45" s="2"/>
      <c r="D45" s="552">
        <f t="shared" si="1"/>
        <v>0</v>
      </c>
      <c r="E45" s="552">
        <f t="shared" si="2"/>
        <v>0</v>
      </c>
      <c r="F45" s="558"/>
      <c r="G45" s="551">
        <f t="shared" si="0"/>
        <v>0</v>
      </c>
      <c r="H45" s="34"/>
      <c r="I45" s="560"/>
      <c r="J45" s="565"/>
      <c r="K45" s="567"/>
      <c r="L45" s="585"/>
      <c r="M45" s="562"/>
      <c r="N45" s="562"/>
      <c r="O45" s="562"/>
      <c r="P45" s="563"/>
    </row>
    <row r="46" spans="1:16" hidden="1">
      <c r="A46" s="555"/>
      <c r="B46" s="1"/>
      <c r="C46" s="2"/>
      <c r="D46" s="552">
        <f t="shared" si="1"/>
        <v>0</v>
      </c>
      <c r="E46" s="552">
        <f t="shared" si="2"/>
        <v>0</v>
      </c>
      <c r="F46" s="558"/>
      <c r="G46" s="551">
        <f t="shared" si="0"/>
        <v>0</v>
      </c>
      <c r="H46" s="34"/>
      <c r="I46" s="560"/>
      <c r="J46" s="565"/>
      <c r="K46" s="567"/>
      <c r="L46" s="585"/>
      <c r="M46" s="562"/>
      <c r="N46" s="562"/>
      <c r="O46" s="562"/>
      <c r="P46" s="563"/>
    </row>
    <row r="47" spans="1:16" hidden="1">
      <c r="A47" s="555"/>
      <c r="B47" s="1"/>
      <c r="C47" s="2"/>
      <c r="D47" s="552">
        <f t="shared" si="1"/>
        <v>0</v>
      </c>
      <c r="E47" s="552">
        <f t="shared" si="2"/>
        <v>0</v>
      </c>
      <c r="F47" s="558"/>
      <c r="G47" s="551">
        <f t="shared" si="0"/>
        <v>0</v>
      </c>
      <c r="H47" s="34"/>
      <c r="I47" s="560"/>
      <c r="J47" s="565"/>
      <c r="K47" s="567"/>
      <c r="L47" s="585"/>
      <c r="M47" s="562"/>
      <c r="N47" s="562"/>
      <c r="O47" s="562"/>
      <c r="P47" s="563"/>
    </row>
    <row r="48" spans="1:16" hidden="1">
      <c r="A48" s="555"/>
      <c r="B48" s="1"/>
      <c r="C48" s="2"/>
      <c r="D48" s="552">
        <f t="shared" si="1"/>
        <v>0</v>
      </c>
      <c r="E48" s="552">
        <f t="shared" si="2"/>
        <v>0</v>
      </c>
      <c r="F48" s="558"/>
      <c r="G48" s="551">
        <f t="shared" si="0"/>
        <v>0</v>
      </c>
      <c r="H48" s="34"/>
      <c r="I48" s="560"/>
      <c r="J48" s="565"/>
      <c r="K48" s="567"/>
      <c r="L48" s="585"/>
      <c r="M48" s="562"/>
      <c r="N48" s="562"/>
      <c r="O48" s="562"/>
      <c r="P48" s="563"/>
    </row>
    <row r="49" spans="1:32" hidden="1">
      <c r="A49" s="555"/>
      <c r="B49" s="1"/>
      <c r="C49" s="2"/>
      <c r="D49" s="552">
        <f t="shared" si="1"/>
        <v>0</v>
      </c>
      <c r="E49" s="552">
        <f t="shared" si="2"/>
        <v>0</v>
      </c>
      <c r="F49" s="558"/>
      <c r="G49" s="551">
        <f t="shared" si="0"/>
        <v>0</v>
      </c>
      <c r="H49" s="34"/>
      <c r="I49" s="560"/>
      <c r="J49" s="565"/>
      <c r="K49" s="567"/>
      <c r="L49" s="585"/>
      <c r="M49" s="562"/>
      <c r="N49" s="562"/>
      <c r="O49" s="562"/>
      <c r="P49" s="563"/>
    </row>
    <row r="50" spans="1:32" hidden="1">
      <c r="A50" s="555"/>
      <c r="B50" s="1"/>
      <c r="C50" s="2"/>
      <c r="D50" s="552">
        <f t="shared" si="1"/>
        <v>0</v>
      </c>
      <c r="E50" s="552">
        <f t="shared" si="2"/>
        <v>0</v>
      </c>
      <c r="F50" s="558"/>
      <c r="G50" s="551">
        <f t="shared" si="0"/>
        <v>0</v>
      </c>
      <c r="H50" s="34"/>
      <c r="I50" s="560"/>
      <c r="J50" s="565"/>
      <c r="K50" s="567"/>
      <c r="L50" s="585"/>
      <c r="M50" s="562"/>
      <c r="N50" s="562"/>
      <c r="O50" s="562"/>
      <c r="P50" s="563"/>
    </row>
    <row r="51" spans="1:32" hidden="1">
      <c r="A51" s="555"/>
      <c r="B51" s="1"/>
      <c r="C51" s="2"/>
      <c r="D51" s="552">
        <f t="shared" si="1"/>
        <v>0</v>
      </c>
      <c r="E51" s="552">
        <f t="shared" si="2"/>
        <v>0</v>
      </c>
      <c r="F51" s="558"/>
      <c r="G51" s="551">
        <f t="shared" si="0"/>
        <v>0</v>
      </c>
      <c r="H51" s="34"/>
      <c r="I51" s="560"/>
      <c r="J51" s="565"/>
      <c r="K51" s="567"/>
      <c r="L51" s="585"/>
      <c r="M51" s="562"/>
      <c r="N51" s="562"/>
      <c r="O51" s="562"/>
      <c r="P51" s="563"/>
    </row>
    <row r="52" spans="1:32" ht="13.5" thickBot="1">
      <c r="A52" s="556"/>
      <c r="B52" s="3"/>
      <c r="C52" s="4"/>
      <c r="D52" s="552">
        <f t="shared" si="1"/>
        <v>0</v>
      </c>
      <c r="E52" s="552">
        <f t="shared" si="2"/>
        <v>0</v>
      </c>
      <c r="F52" s="558"/>
      <c r="G52" s="551">
        <f t="shared" si="0"/>
        <v>0</v>
      </c>
      <c r="H52" s="34"/>
      <c r="I52" s="561"/>
      <c r="J52" s="566"/>
      <c r="K52" s="568"/>
      <c r="L52" s="586"/>
      <c r="M52" s="564"/>
      <c r="N52" s="564"/>
      <c r="O52" s="564"/>
      <c r="P52" s="587"/>
    </row>
    <row r="53" spans="1:32" s="10" customFormat="1" ht="14.25">
      <c r="A53" s="264" t="s">
        <v>26</v>
      </c>
      <c r="B53" s="90"/>
      <c r="C53" s="91"/>
      <c r="D53" s="92">
        <f>SUM(D17:D52)</f>
        <v>0</v>
      </c>
      <c r="E53" s="92">
        <f>SUM(E17:E52)</f>
        <v>0</v>
      </c>
      <c r="F53" s="92">
        <f>SUM(F17:F52)</f>
        <v>0</v>
      </c>
      <c r="G53" s="208">
        <f>SUM(G17:G52)</f>
        <v>0</v>
      </c>
      <c r="H53" s="588"/>
      <c r="I53" s="589" t="s">
        <v>26</v>
      </c>
      <c r="J53" s="91"/>
      <c r="K53" s="590"/>
      <c r="L53" s="92">
        <f>SUM(L17:L52)</f>
        <v>0</v>
      </c>
      <c r="M53" s="92">
        <f>SUM(M17:M52)</f>
        <v>0</v>
      </c>
      <c r="N53" s="92">
        <f>SUM(N17:N52)</f>
        <v>0</v>
      </c>
      <c r="O53" s="92">
        <f>SUM(O17:O52)</f>
        <v>0</v>
      </c>
      <c r="P53" s="208">
        <f>SUM(P17:P52)</f>
        <v>2.42</v>
      </c>
      <c r="AD53" s="630"/>
      <c r="AE53" s="630"/>
      <c r="AF53" s="634"/>
    </row>
    <row r="54" spans="1:32" s="10" customFormat="1" ht="13.5" thickBot="1">
      <c r="A54" s="265" t="s">
        <v>27</v>
      </c>
      <c r="B54" s="38"/>
      <c r="C54" s="38"/>
      <c r="D54" s="643">
        <f>SUM(D16:D52)</f>
        <v>0</v>
      </c>
      <c r="E54" s="643">
        <f>SUM(E16:E52)</f>
        <v>75900</v>
      </c>
      <c r="F54" s="643">
        <f>SUM(F16:F52)</f>
        <v>91080</v>
      </c>
      <c r="G54" s="644">
        <f>SUM(G16:G52)</f>
        <v>15180</v>
      </c>
      <c r="H54" s="588"/>
      <c r="I54" s="591" t="s">
        <v>27</v>
      </c>
      <c r="J54" s="38"/>
      <c r="K54" s="151"/>
      <c r="L54" s="643">
        <f>SUM(L16:L52)</f>
        <v>114180</v>
      </c>
      <c r="M54" s="643">
        <f>SUM(M16:M52)</f>
        <v>195.09</v>
      </c>
      <c r="N54" s="643">
        <f>SUM(N16:N52)</f>
        <v>0</v>
      </c>
      <c r="O54" s="643">
        <f>SUM(O16:O52)</f>
        <v>101044.25</v>
      </c>
      <c r="P54" s="645">
        <f>SUM(P16:P52)</f>
        <v>-175.04</v>
      </c>
      <c r="AD54" s="630"/>
      <c r="AE54" s="630"/>
      <c r="AF54" s="634"/>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c r="N57" s="18"/>
    </row>
    <row r="58" spans="1:32" ht="18" hidden="1">
      <c r="A58" s="66" t="s">
        <v>28</v>
      </c>
      <c r="B58" s="17"/>
      <c r="C58" s="75">
        <f>IF(E9="y",G59*0.95-(SUM(H197:K197)),0)</f>
        <v>0</v>
      </c>
      <c r="E58" s="113" t="s">
        <v>136</v>
      </c>
      <c r="F58" s="70" t="s">
        <v>138</v>
      </c>
      <c r="G58" s="70" t="s">
        <v>137</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0</v>
      </c>
      <c r="F60" s="70">
        <f>+G60-E60</f>
        <v>0</v>
      </c>
      <c r="G60" s="70">
        <f>IF(E59+E60&lt;&gt;0,E60/(E59+E60)*(G61-G62),0)</f>
        <v>0</v>
      </c>
      <c r="H60" s="18"/>
      <c r="I60" s="18"/>
      <c r="J60" s="18"/>
      <c r="K60" s="18"/>
      <c r="L60" s="18"/>
      <c r="M60" s="18"/>
    </row>
    <row r="61" spans="1:32" hidden="1">
      <c r="A61" s="16"/>
      <c r="B61" s="17"/>
      <c r="C61" s="16"/>
      <c r="D61" s="70" t="s">
        <v>16</v>
      </c>
      <c r="E61" s="70">
        <f>+F53</f>
        <v>0</v>
      </c>
      <c r="F61" s="70">
        <f>+G61-E61</f>
        <v>0</v>
      </c>
      <c r="G61" s="70">
        <f>+E61</f>
        <v>0</v>
      </c>
      <c r="H61" s="18"/>
      <c r="I61" s="18"/>
      <c r="J61" s="18"/>
      <c r="K61" s="18"/>
      <c r="L61" s="18"/>
      <c r="M61" s="18"/>
    </row>
    <row r="62" spans="1:32" hidden="1">
      <c r="A62" s="67" t="s">
        <v>29</v>
      </c>
      <c r="B62" s="17"/>
      <c r="C62" s="70">
        <f>IF(E243&lt;=0,0,IF(C4&lt;42095,E265,E243))</f>
        <v>0</v>
      </c>
      <c r="D62" s="70" t="s">
        <v>17</v>
      </c>
      <c r="E62" s="70">
        <f>+G53</f>
        <v>0</v>
      </c>
      <c r="F62" s="70">
        <f>+G62-E62</f>
        <v>0</v>
      </c>
      <c r="G62" s="70">
        <f>IF(E12&gt;0,(G61)*E12,E62)</f>
        <v>0</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D73" s="7"/>
      <c r="E73" s="7"/>
      <c r="F73" s="7"/>
      <c r="G73" s="7"/>
      <c r="H73" s="7"/>
      <c r="I73" s="7"/>
      <c r="J73" s="7"/>
      <c r="K73" s="7"/>
      <c r="L73" s="7"/>
      <c r="M73" s="7"/>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5"/>
    </row>
    <row r="75" spans="1:56" ht="15">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5" t="s">
        <v>20</v>
      </c>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0"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row>
    <row r="78" spans="1:56" ht="13.5" thickBot="1">
      <c r="A78" s="580" t="s">
        <v>11</v>
      </c>
      <c r="B78" s="580" t="s">
        <v>13</v>
      </c>
      <c r="C78" s="594" t="s">
        <v>38</v>
      </c>
      <c r="D78" s="569" t="s">
        <v>39</v>
      </c>
      <c r="E78" s="569" t="s">
        <v>40</v>
      </c>
      <c r="F78" s="569" t="s">
        <v>155</v>
      </c>
      <c r="G78" s="595" t="s">
        <v>17</v>
      </c>
      <c r="H78" s="571" t="s">
        <v>294</v>
      </c>
      <c r="I78" s="570" t="s">
        <v>42</v>
      </c>
      <c r="J78" s="571" t="s">
        <v>127</v>
      </c>
      <c r="K78" s="570" t="s">
        <v>44</v>
      </c>
      <c r="L78" s="597" t="s">
        <v>161</v>
      </c>
      <c r="M78" s="597" t="s">
        <v>160</v>
      </c>
      <c r="N78" s="597" t="s">
        <v>49</v>
      </c>
      <c r="O78" s="570" t="s">
        <v>132</v>
      </c>
      <c r="P78" s="570" t="s">
        <v>45</v>
      </c>
      <c r="Q78" s="570" t="s">
        <v>46</v>
      </c>
      <c r="R78" s="571" t="s">
        <v>171</v>
      </c>
      <c r="S78" s="570" t="s">
        <v>113</v>
      </c>
      <c r="T78" s="571" t="s">
        <v>57</v>
      </c>
      <c r="U78" s="570" t="s">
        <v>50</v>
      </c>
      <c r="V78" s="571" t="s">
        <v>207</v>
      </c>
      <c r="W78" s="571" t="s">
        <v>175</v>
      </c>
      <c r="X78" s="571" t="s">
        <v>302</v>
      </c>
      <c r="Y78" s="570" t="s">
        <v>121</v>
      </c>
      <c r="Z78" s="571" t="s">
        <v>173</v>
      </c>
      <c r="AA78" s="571" t="s">
        <v>302</v>
      </c>
      <c r="AB78" s="597" t="s">
        <v>152</v>
      </c>
      <c r="AC78" s="570" t="s">
        <v>51</v>
      </c>
      <c r="AF78" s="634" t="s">
        <v>52</v>
      </c>
    </row>
    <row r="79" spans="1:56">
      <c r="A79" s="258"/>
      <c r="B79" s="44" t="s">
        <v>77</v>
      </c>
      <c r="C79" s="45"/>
      <c r="D79" s="615">
        <f>'Jun 18'!D198</f>
        <v>191914.27000000002</v>
      </c>
      <c r="E79" s="616">
        <f>'Jun 18'!E198</f>
        <v>1420</v>
      </c>
      <c r="F79" s="615">
        <f>'Jun 18'!F198</f>
        <v>0</v>
      </c>
      <c r="G79" s="617">
        <f>'Jun 18'!G198</f>
        <v>0</v>
      </c>
      <c r="H79" s="625">
        <f>'Jun 18'!H198</f>
        <v>1790</v>
      </c>
      <c r="I79" s="559">
        <f>'Jun 18'!I198</f>
        <v>1318</v>
      </c>
      <c r="J79" s="559">
        <f>'Jun 18'!J198</f>
        <v>370</v>
      </c>
      <c r="K79" s="559">
        <f>'Jun 18'!K198</f>
        <v>0</v>
      </c>
      <c r="L79" s="559">
        <f>'Jun 18'!L198</f>
        <v>15992</v>
      </c>
      <c r="M79" s="559">
        <f>'Jun 18'!M198</f>
        <v>264.02999999999997</v>
      </c>
      <c r="N79" s="559">
        <f>'Jun 18'!N198</f>
        <v>50000</v>
      </c>
      <c r="O79" s="559">
        <f>'Jun 18'!O198</f>
        <v>0</v>
      </c>
      <c r="P79" s="559">
        <f>'Jun 18'!P198</f>
        <v>150</v>
      </c>
      <c r="Q79" s="559">
        <f>'Jun 18'!Q198</f>
        <v>0</v>
      </c>
      <c r="R79" s="559">
        <f>'Jun 18'!R198</f>
        <v>520</v>
      </c>
      <c r="S79" s="559">
        <f>'Jun 18'!S198</f>
        <v>440</v>
      </c>
      <c r="T79" s="559">
        <f>'Jun 18'!T198</f>
        <v>680</v>
      </c>
      <c r="U79" s="559">
        <f>'Jun 18'!U198</f>
        <v>1104</v>
      </c>
      <c r="V79" s="559">
        <f>'Jun 18'!V198</f>
        <v>49.3</v>
      </c>
      <c r="W79" s="559">
        <f>'Jun 18'!W198</f>
        <v>760</v>
      </c>
      <c r="X79" s="559">
        <f>'Jun 18'!X198</f>
        <v>101239.34</v>
      </c>
      <c r="Y79" s="559">
        <f>'Jun 18'!Y198</f>
        <v>17859.599999999999</v>
      </c>
      <c r="Z79" s="559">
        <f>'Jun 18'!Z198</f>
        <v>0</v>
      </c>
      <c r="AA79" s="559">
        <f>'Jun 18'!AA198</f>
        <v>0</v>
      </c>
      <c r="AB79" s="559">
        <f>'Jun 18'!AB198</f>
        <v>785</v>
      </c>
      <c r="AC79" s="259">
        <f>'Jun 18'!AC198</f>
        <v>13</v>
      </c>
      <c r="AG79" s="43">
        <f>IF(AF79=0,0,"ERROR HERE")</f>
        <v>0</v>
      </c>
      <c r="AH79" s="7">
        <f t="shared" ref="AH79:AQ84" si="3">IF(OR(ISERROR(+H79/($D79+$E79-$G79)*$G79+H79),LEFT(F79,1)="x"),0,+H79/($D79+$E79-$G79)*$G79+H79)</f>
        <v>1790</v>
      </c>
      <c r="AI79" s="7">
        <f t="shared" si="3"/>
        <v>1318</v>
      </c>
      <c r="AJ79" s="7">
        <f t="shared" si="3"/>
        <v>370</v>
      </c>
      <c r="AK79" s="7">
        <f t="shared" si="3"/>
        <v>0</v>
      </c>
      <c r="AL79" s="7">
        <f t="shared" si="3"/>
        <v>15992</v>
      </c>
      <c r="AM79" s="7">
        <f t="shared" si="3"/>
        <v>264.02999999999997</v>
      </c>
      <c r="AN79" s="7">
        <f t="shared" si="3"/>
        <v>50000</v>
      </c>
      <c r="AO79" s="7">
        <f t="shared" si="3"/>
        <v>0</v>
      </c>
      <c r="AP79" s="7">
        <f t="shared" si="3"/>
        <v>150</v>
      </c>
      <c r="AQ79" s="7">
        <f t="shared" si="3"/>
        <v>0</v>
      </c>
      <c r="AR79" s="7">
        <f t="shared" ref="AR79:BA84" si="4">IF(OR(ISERROR(+R79/($D79+$E79-$G79)*$G79+R79),LEFT(P79,1)="x"),0,+R79/($D79+$E79-$G79)*$G79+R79)</f>
        <v>520</v>
      </c>
      <c r="AS79" s="7">
        <f t="shared" si="4"/>
        <v>440</v>
      </c>
      <c r="AT79" s="7">
        <f t="shared" si="4"/>
        <v>680</v>
      </c>
      <c r="AU79" s="7">
        <f t="shared" si="4"/>
        <v>1104</v>
      </c>
      <c r="AV79" s="7">
        <f t="shared" si="4"/>
        <v>49.3</v>
      </c>
      <c r="AW79" s="7">
        <f t="shared" si="4"/>
        <v>760</v>
      </c>
      <c r="AX79" s="7">
        <f t="shared" si="4"/>
        <v>101239.34</v>
      </c>
      <c r="AY79" s="7">
        <f t="shared" si="4"/>
        <v>17859.599999999999</v>
      </c>
      <c r="AZ79" s="7">
        <f t="shared" si="4"/>
        <v>0</v>
      </c>
      <c r="BA79" s="7">
        <f t="shared" si="4"/>
        <v>0</v>
      </c>
      <c r="BB79" s="7">
        <f>IF(OR(ISERROR(+AB79/($D79+$E79-$G79)*$G79+AB79),LEFT(Z79,1)="x"),0,+AB79/($D79+$E79-$G79)*$G79+AB79)</f>
        <v>785</v>
      </c>
      <c r="BC79" s="7">
        <f>IF(OR(ISERROR(+#REF!/($D79+$E79-$G79)*$G79+#REF!),LEFT(AA79,1)="x"),0,+#REF!/($D79+$E79-$G79)*$G79+#REF!)</f>
        <v>0</v>
      </c>
      <c r="BD79" s="7">
        <f>IF(OR(ISERROR(+AC79/($D79+$E79-$G79)*$G79+AC79),LEFT(Z79,1)="x"),0,+AC79/($D79+$E79-$G79)*$G79+AC79)</f>
        <v>13</v>
      </c>
    </row>
    <row r="80" spans="1:56">
      <c r="A80" s="555" t="s">
        <v>20</v>
      </c>
      <c r="B80" s="719" t="s">
        <v>462</v>
      </c>
      <c r="C80" s="719"/>
      <c r="D80" s="720">
        <v>812</v>
      </c>
      <c r="E80" s="721"/>
      <c r="F80" s="722"/>
      <c r="G80" s="723"/>
      <c r="H80" s="724"/>
      <c r="I80" s="724"/>
      <c r="J80" s="724"/>
      <c r="K80" s="725"/>
      <c r="L80" s="720">
        <v>812</v>
      </c>
      <c r="M80" s="725"/>
      <c r="N80" s="725"/>
      <c r="O80" s="725"/>
      <c r="P80" s="725"/>
      <c r="Q80" s="725"/>
      <c r="R80" s="726"/>
      <c r="S80" s="727"/>
      <c r="T80" s="725"/>
      <c r="U80" s="726"/>
      <c r="V80" s="726"/>
      <c r="W80" s="727"/>
      <c r="X80" s="562"/>
      <c r="Y80" s="562"/>
      <c r="Z80" s="562"/>
      <c r="AA80" s="562"/>
      <c r="AB80" s="562"/>
      <c r="AC80" s="563"/>
      <c r="AD80" s="629">
        <f>SUM(G80:AC80)</f>
        <v>812</v>
      </c>
      <c r="AE80" s="629">
        <f>SUM(D80:F80)</f>
        <v>812</v>
      </c>
      <c r="AF80" s="634">
        <f>AD80-AE80</f>
        <v>0</v>
      </c>
      <c r="AG80" s="43">
        <f>IF(AF80=0,0,"ERROR HERE")</f>
        <v>0</v>
      </c>
      <c r="AH80" s="7">
        <f t="shared" si="3"/>
        <v>0</v>
      </c>
      <c r="AI80" s="7">
        <f t="shared" si="3"/>
        <v>0</v>
      </c>
      <c r="AJ80" s="7">
        <f t="shared" si="3"/>
        <v>0</v>
      </c>
      <c r="AK80" s="7">
        <f t="shared" si="3"/>
        <v>0</v>
      </c>
      <c r="AL80" s="7">
        <f t="shared" si="3"/>
        <v>812</v>
      </c>
      <c r="AM80" s="7">
        <f t="shared" si="3"/>
        <v>0</v>
      </c>
      <c r="AN80" s="7">
        <f t="shared" si="3"/>
        <v>0</v>
      </c>
      <c r="AO80" s="7">
        <f t="shared" si="3"/>
        <v>0</v>
      </c>
      <c r="AP80" s="7">
        <f t="shared" si="3"/>
        <v>0</v>
      </c>
      <c r="AQ80" s="7">
        <f t="shared" si="3"/>
        <v>0</v>
      </c>
      <c r="AR80" s="7">
        <f t="shared" si="4"/>
        <v>0</v>
      </c>
      <c r="AS80" s="7">
        <f t="shared" si="4"/>
        <v>0</v>
      </c>
      <c r="AT80" s="7">
        <f t="shared" si="4"/>
        <v>0</v>
      </c>
      <c r="AU80" s="7">
        <f t="shared" si="4"/>
        <v>0</v>
      </c>
      <c r="AV80" s="7">
        <f t="shared" si="4"/>
        <v>0</v>
      </c>
      <c r="AW80" s="7">
        <f t="shared" si="4"/>
        <v>0</v>
      </c>
      <c r="AX80" s="7">
        <f t="shared" si="4"/>
        <v>0</v>
      </c>
      <c r="AY80" s="7">
        <f t="shared" si="4"/>
        <v>0</v>
      </c>
      <c r="AZ80" s="7">
        <f t="shared" si="4"/>
        <v>0</v>
      </c>
      <c r="BA80" s="7">
        <f t="shared" si="4"/>
        <v>0</v>
      </c>
      <c r="BB80" s="7">
        <f>IF(OR(ISERROR(+AB80/($D80+$E80-$G80)*$G80+AB80),LEFT(Z80,1)="x"),0,+AB80/($D80+$E80-$G80)*$G80+AB80)</f>
        <v>0</v>
      </c>
      <c r="BC80" s="7">
        <f>IF(OR(ISERROR(+#REF!/($D80+$E80-$G80)*$G80+#REF!),LEFT(AA80,1)="x"),0,+#REF!/($D80+$E80-$G80)*$G80+#REF!)</f>
        <v>0</v>
      </c>
      <c r="BD80" s="7">
        <f>IF(OR(ISERROR(+AC80/($D80+$E80-$G80)*$G80+AC80),LEFT(Z80,1)="x"),0,+AC80/($D80+$E80-$G80)*$G80+AC80)</f>
        <v>0</v>
      </c>
    </row>
    <row r="81" spans="1:57">
      <c r="A81" s="555"/>
      <c r="B81" s="719" t="s">
        <v>463</v>
      </c>
      <c r="C81" s="719"/>
      <c r="D81" s="719">
        <v>800</v>
      </c>
      <c r="E81" s="721"/>
      <c r="F81" s="722"/>
      <c r="G81" s="723"/>
      <c r="H81" s="724"/>
      <c r="I81" s="724"/>
      <c r="J81" s="724"/>
      <c r="K81" s="725"/>
      <c r="L81" s="719">
        <v>800</v>
      </c>
      <c r="M81" s="725"/>
      <c r="N81" s="725"/>
      <c r="O81" s="725"/>
      <c r="P81" s="725"/>
      <c r="Q81" s="725"/>
      <c r="R81" s="726"/>
      <c r="S81" s="727"/>
      <c r="T81" s="725"/>
      <c r="U81" s="726"/>
      <c r="V81" s="726"/>
      <c r="W81" s="727"/>
      <c r="X81" s="562"/>
      <c r="Y81" s="562"/>
      <c r="Z81" s="562"/>
      <c r="AA81" s="562"/>
      <c r="AB81" s="562"/>
      <c r="AC81" s="563"/>
      <c r="AD81" s="629">
        <f t="shared" ref="AD81:AD144" si="5">SUM(G81:AC81)</f>
        <v>800</v>
      </c>
      <c r="AE81" s="629">
        <f>SUM(D81:F81)</f>
        <v>800</v>
      </c>
      <c r="AF81" s="634">
        <f>AD81-AE81</f>
        <v>0</v>
      </c>
      <c r="AG81" s="43"/>
    </row>
    <row r="82" spans="1:57">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562"/>
      <c r="Y82" s="562"/>
      <c r="Z82" s="562"/>
      <c r="AA82" s="562"/>
      <c r="AB82" s="562"/>
      <c r="AC82" s="563"/>
      <c r="AD82" s="629">
        <f t="shared" si="5"/>
        <v>138</v>
      </c>
      <c r="AE82" s="629">
        <f t="shared" ref="AE82:AE145" si="6">SUM(D82:F82)</f>
        <v>138</v>
      </c>
      <c r="AF82" s="634">
        <f t="shared" ref="AF82:AF145" si="7">AD82-AE82</f>
        <v>0</v>
      </c>
      <c r="AG82" s="43">
        <f>IF(AF82=0,0,"ERROR HERE")</f>
        <v>0</v>
      </c>
      <c r="AH82" s="7">
        <f t="shared" si="3"/>
        <v>0</v>
      </c>
      <c r="AI82" s="7">
        <f t="shared" si="3"/>
        <v>0</v>
      </c>
      <c r="AJ82" s="7">
        <f t="shared" si="3"/>
        <v>0</v>
      </c>
      <c r="AK82" s="7">
        <f t="shared" si="3"/>
        <v>0</v>
      </c>
      <c r="AL82" s="7">
        <f t="shared" si="3"/>
        <v>0</v>
      </c>
      <c r="AM82" s="7">
        <f t="shared" si="3"/>
        <v>0</v>
      </c>
      <c r="AN82" s="7">
        <f t="shared" si="3"/>
        <v>0</v>
      </c>
      <c r="AO82" s="7">
        <f t="shared" si="3"/>
        <v>0</v>
      </c>
      <c r="AP82" s="7">
        <f t="shared" si="3"/>
        <v>0</v>
      </c>
      <c r="AQ82" s="7">
        <f t="shared" si="3"/>
        <v>0</v>
      </c>
      <c r="AR82" s="7">
        <f t="shared" si="4"/>
        <v>0</v>
      </c>
      <c r="AS82" s="7">
        <f t="shared" si="4"/>
        <v>0</v>
      </c>
      <c r="AT82" s="7">
        <f t="shared" si="4"/>
        <v>0</v>
      </c>
      <c r="AU82" s="7">
        <f t="shared" si="4"/>
        <v>138</v>
      </c>
      <c r="AV82" s="7">
        <f t="shared" si="4"/>
        <v>0</v>
      </c>
      <c r="AW82" s="7">
        <f t="shared" si="4"/>
        <v>0</v>
      </c>
      <c r="AX82" s="7">
        <f t="shared" si="4"/>
        <v>0</v>
      </c>
      <c r="AY82" s="7">
        <f t="shared" si="4"/>
        <v>0</v>
      </c>
      <c r="AZ82" s="7">
        <f t="shared" si="4"/>
        <v>0</v>
      </c>
      <c r="BA82" s="7">
        <f t="shared" si="4"/>
        <v>0</v>
      </c>
      <c r="BB82" s="7">
        <f>IF(OR(ISERROR(+AB82/($D82+$E82-$G82)*$G82+AB82),LEFT(Z82,1)="x"),0,+AB82/($D82+$E82-$G82)*$G82+AB82)</f>
        <v>0</v>
      </c>
      <c r="BC82" s="7">
        <f>IF(OR(ISERROR(+#REF!/($D82+$E82-$G82)*$G82+#REF!),LEFT(AA82,1)="x"),0,+#REF!/($D82+$E82-$G82)*$G82+#REF!)</f>
        <v>0</v>
      </c>
      <c r="BD82" s="7">
        <f>IF(OR(ISERROR(+AC82/($D82+$E82-$G82)*$G82+AC82),LEFT(Z82,1)="x"),0,+AC82/($D82+$E82-$G82)*$G82+AC82)</f>
        <v>0</v>
      </c>
    </row>
    <row r="83" spans="1:57">
      <c r="A83" s="555"/>
      <c r="B83" s="719" t="s">
        <v>465</v>
      </c>
      <c r="C83" s="719"/>
      <c r="D83" s="721"/>
      <c r="E83" s="719">
        <v>170</v>
      </c>
      <c r="F83" s="722"/>
      <c r="G83" s="723"/>
      <c r="H83" s="724"/>
      <c r="I83" s="719">
        <v>170</v>
      </c>
      <c r="J83" s="724"/>
      <c r="K83" s="725"/>
      <c r="L83" s="725"/>
      <c r="M83" s="725"/>
      <c r="N83" s="725"/>
      <c r="O83" s="725"/>
      <c r="P83" s="725"/>
      <c r="Q83" s="725"/>
      <c r="R83" s="726"/>
      <c r="S83" s="727"/>
      <c r="T83" s="725"/>
      <c r="U83" s="726"/>
      <c r="V83" s="726"/>
      <c r="W83" s="727"/>
      <c r="X83" s="562"/>
      <c r="Y83" s="562"/>
      <c r="Z83" s="562"/>
      <c r="AA83" s="562"/>
      <c r="AB83" s="562"/>
      <c r="AC83" s="563"/>
      <c r="AD83" s="629">
        <f t="shared" si="5"/>
        <v>170</v>
      </c>
      <c r="AE83" s="629">
        <f t="shared" si="6"/>
        <v>170</v>
      </c>
      <c r="AF83" s="634">
        <f t="shared" si="7"/>
        <v>0</v>
      </c>
      <c r="AG83" s="43">
        <f>IF(AF83=0,0,"ERROR HERE - CHECK NUMBER IS CORRECTLY EXTENDED")</f>
        <v>0</v>
      </c>
      <c r="AH83" s="7">
        <f t="shared" si="3"/>
        <v>0</v>
      </c>
      <c r="AI83" s="7">
        <f t="shared" si="3"/>
        <v>170</v>
      </c>
      <c r="AJ83" s="7">
        <f t="shared" si="3"/>
        <v>0</v>
      </c>
      <c r="AK83" s="7">
        <f t="shared" si="3"/>
        <v>0</v>
      </c>
      <c r="AL83" s="7">
        <f t="shared" si="3"/>
        <v>0</v>
      </c>
      <c r="AM83" s="7">
        <f t="shared" si="3"/>
        <v>0</v>
      </c>
      <c r="AN83" s="7">
        <f t="shared" si="3"/>
        <v>0</v>
      </c>
      <c r="AO83" s="7">
        <f t="shared" si="3"/>
        <v>0</v>
      </c>
      <c r="AP83" s="7">
        <f t="shared" si="3"/>
        <v>0</v>
      </c>
      <c r="AQ83" s="7">
        <f t="shared" si="3"/>
        <v>0</v>
      </c>
      <c r="AR83" s="7">
        <f t="shared" si="4"/>
        <v>0</v>
      </c>
      <c r="AS83" s="7">
        <f t="shared" si="4"/>
        <v>0</v>
      </c>
      <c r="AT83" s="7">
        <f t="shared" si="4"/>
        <v>0</v>
      </c>
      <c r="AU83" s="7">
        <f t="shared" si="4"/>
        <v>0</v>
      </c>
      <c r="AV83" s="7">
        <f t="shared" si="4"/>
        <v>0</v>
      </c>
      <c r="AW83" s="7">
        <f t="shared" si="4"/>
        <v>0</v>
      </c>
      <c r="AX83" s="7">
        <f t="shared" si="4"/>
        <v>0</v>
      </c>
      <c r="AY83" s="7">
        <f t="shared" si="4"/>
        <v>0</v>
      </c>
      <c r="AZ83" s="7">
        <f t="shared" si="4"/>
        <v>0</v>
      </c>
      <c r="BA83" s="7">
        <f t="shared" si="4"/>
        <v>0</v>
      </c>
      <c r="BB83" s="7">
        <f>IF(OR(ISERROR(+AB83/($D83+$E83-$G83)*$G83+AB83),LEFT(Z83,1)="x"),0,+AB83/($D83+$E83-$G83)*$G83+AB83)</f>
        <v>0</v>
      </c>
      <c r="BC83" s="7">
        <f>IF(OR(ISERROR(+#REF!/($D83+$E83-$G83)*$G83+#REF!),LEFT(AA83,1)="x"),0,+#REF!/($D83+$E83-$G83)*$G83+#REF!)</f>
        <v>0</v>
      </c>
      <c r="BD83" s="7">
        <f>IF(OR(ISERROR(+#REF!/($D83+$E83-$G83)*$G83+#REF!),LEFT(AB83,1)="x"),0,+#REF!/($D83+$E83-$G83)*$G83+#REF!)</f>
        <v>0</v>
      </c>
      <c r="BE83" s="7" t="e">
        <f>IF(OR(ISERROR(+AC83/($D83+$E83-$G83)*$G83+AC83),LEFT(#REF!,1)="x"),0,+AC83/($D83+$E83-$G83)*$G83+AC83)</f>
        <v>#REF!</v>
      </c>
    </row>
    <row r="84" spans="1:57">
      <c r="A84" s="555"/>
      <c r="B84" s="719" t="s">
        <v>466</v>
      </c>
      <c r="C84" s="719"/>
      <c r="D84" s="721"/>
      <c r="E84" s="719">
        <v>10</v>
      </c>
      <c r="F84" s="722"/>
      <c r="G84" s="723"/>
      <c r="H84" s="724"/>
      <c r="I84" s="724"/>
      <c r="J84" s="724"/>
      <c r="K84" s="725"/>
      <c r="L84" s="725"/>
      <c r="M84" s="725"/>
      <c r="N84" s="725"/>
      <c r="O84" s="725"/>
      <c r="P84" s="719">
        <v>10</v>
      </c>
      <c r="Q84" s="725"/>
      <c r="R84" s="726"/>
      <c r="S84" s="727"/>
      <c r="T84" s="725"/>
      <c r="U84" s="726"/>
      <c r="V84" s="726"/>
      <c r="W84" s="727"/>
      <c r="X84" s="562"/>
      <c r="Y84" s="562"/>
      <c r="Z84" s="562"/>
      <c r="AA84" s="562"/>
      <c r="AB84" s="562"/>
      <c r="AC84" s="563"/>
      <c r="AD84" s="629">
        <f t="shared" si="5"/>
        <v>10</v>
      </c>
      <c r="AE84" s="629">
        <f t="shared" si="6"/>
        <v>10</v>
      </c>
      <c r="AF84" s="634">
        <f t="shared" si="7"/>
        <v>0</v>
      </c>
      <c r="AG84" s="43">
        <f>IF(AF84=0,0,"ERROR HERE")</f>
        <v>0</v>
      </c>
      <c r="AH84" s="7">
        <f t="shared" si="3"/>
        <v>0</v>
      </c>
      <c r="AI84" s="7">
        <f t="shared" si="3"/>
        <v>0</v>
      </c>
      <c r="AJ84" s="7">
        <f t="shared" si="3"/>
        <v>0</v>
      </c>
      <c r="AK84" s="7">
        <f t="shared" si="3"/>
        <v>0</v>
      </c>
      <c r="AL84" s="7">
        <f t="shared" si="3"/>
        <v>0</v>
      </c>
      <c r="AM84" s="7">
        <f t="shared" si="3"/>
        <v>0</v>
      </c>
      <c r="AN84" s="7">
        <f t="shared" si="3"/>
        <v>0</v>
      </c>
      <c r="AO84" s="7">
        <f t="shared" si="3"/>
        <v>0</v>
      </c>
      <c r="AP84" s="7">
        <f t="shared" si="3"/>
        <v>10</v>
      </c>
      <c r="AQ84" s="7">
        <f t="shared" si="3"/>
        <v>0</v>
      </c>
      <c r="AR84" s="7">
        <f t="shared" si="4"/>
        <v>0</v>
      </c>
      <c r="AS84" s="7">
        <f t="shared" si="4"/>
        <v>0</v>
      </c>
      <c r="AT84" s="7">
        <f t="shared" si="4"/>
        <v>0</v>
      </c>
      <c r="AU84" s="7">
        <f t="shared" si="4"/>
        <v>0</v>
      </c>
      <c r="AV84" s="7">
        <f t="shared" si="4"/>
        <v>0</v>
      </c>
      <c r="AW84" s="7">
        <f t="shared" si="4"/>
        <v>0</v>
      </c>
      <c r="AX84" s="7">
        <f t="shared" si="4"/>
        <v>0</v>
      </c>
      <c r="AY84" s="7">
        <f t="shared" si="4"/>
        <v>0</v>
      </c>
      <c r="AZ84" s="7">
        <f t="shared" si="4"/>
        <v>0</v>
      </c>
      <c r="BA84" s="7">
        <f t="shared" si="4"/>
        <v>0</v>
      </c>
      <c r="BB84" s="7">
        <f>IF(OR(ISERROR(+AB84/($D84+$E84-$G84)*$G84+AB84),LEFT(Z84,1)="x"),0,+AB84/($D84+$E84-$G84)*$G84+AB84)</f>
        <v>0</v>
      </c>
      <c r="BC84" s="7">
        <f>IF(OR(ISERROR(+#REF!/($D84+$E84-$G84)*$G84+#REF!),LEFT(AA84,1)="x"),0,+#REF!/($D84+$E84-$G84)*$G84+#REF!)</f>
        <v>0</v>
      </c>
      <c r="BD84" s="7">
        <f>IF(OR(ISERROR(+#REF!/($D84+$E84-$G84)*$G84+#REF!),LEFT(AB84,1)="x"),0,+#REF!/($D84+$E84-$G84)*$G84+#REF!)</f>
        <v>0</v>
      </c>
      <c r="BE84" s="7" t="e">
        <f>IF(OR(ISERROR(+AC84/($D84+$E84-$G84)*$G84+AC84),LEFT(#REF!,1)="x"),0,+AC84/($D84+$E84-$G84)*$G84+AC84)</f>
        <v>#REF!</v>
      </c>
    </row>
    <row r="85" spans="1:57">
      <c r="A85" s="555"/>
      <c r="B85" s="719" t="s">
        <v>467</v>
      </c>
      <c r="C85" s="719"/>
      <c r="D85" s="721"/>
      <c r="E85" s="719">
        <v>95</v>
      </c>
      <c r="F85" s="722"/>
      <c r="G85" s="723"/>
      <c r="H85" s="724"/>
      <c r="I85" s="724"/>
      <c r="J85" s="724"/>
      <c r="K85" s="725"/>
      <c r="L85" s="725"/>
      <c r="M85" s="725"/>
      <c r="N85" s="725"/>
      <c r="O85" s="725"/>
      <c r="P85" s="725"/>
      <c r="Q85" s="725"/>
      <c r="R85" s="726"/>
      <c r="S85" s="727"/>
      <c r="T85" s="725"/>
      <c r="U85" s="719"/>
      <c r="V85" s="726"/>
      <c r="W85" s="719">
        <v>95</v>
      </c>
      <c r="X85" s="562"/>
      <c r="Y85" s="562"/>
      <c r="Z85" s="562"/>
      <c r="AA85" s="562"/>
      <c r="AB85" s="562"/>
      <c r="AC85" s="563"/>
      <c r="AD85" s="629">
        <f t="shared" si="5"/>
        <v>95</v>
      </c>
      <c r="AE85" s="629">
        <f t="shared" si="6"/>
        <v>95</v>
      </c>
      <c r="AF85" s="634">
        <f t="shared" si="7"/>
        <v>0</v>
      </c>
      <c r="AG85" s="43"/>
    </row>
    <row r="86" spans="1:57">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562"/>
      <c r="Y86" s="562"/>
      <c r="Z86" s="562"/>
      <c r="AA86" s="562"/>
      <c r="AB86" s="562"/>
      <c r="AC86" s="563"/>
      <c r="AD86" s="629">
        <f t="shared" si="5"/>
        <v>85</v>
      </c>
      <c r="AE86" s="629">
        <f t="shared" si="6"/>
        <v>85</v>
      </c>
      <c r="AF86" s="634">
        <f t="shared" si="7"/>
        <v>0</v>
      </c>
      <c r="AG86" s="43"/>
    </row>
    <row r="87" spans="1:57">
      <c r="A87" s="555"/>
      <c r="B87" s="719" t="s">
        <v>493</v>
      </c>
      <c r="C87" s="719"/>
      <c r="D87" s="721"/>
      <c r="E87" s="719">
        <v>215</v>
      </c>
      <c r="F87" s="722"/>
      <c r="G87" s="723"/>
      <c r="H87" s="719">
        <v>215</v>
      </c>
      <c r="I87" s="724"/>
      <c r="J87" s="724"/>
      <c r="K87" s="725"/>
      <c r="L87" s="725"/>
      <c r="M87" s="725"/>
      <c r="N87" s="725"/>
      <c r="O87" s="725"/>
      <c r="P87" s="725"/>
      <c r="Q87" s="725"/>
      <c r="R87" s="726"/>
      <c r="S87" s="727"/>
      <c r="T87" s="719"/>
      <c r="U87" s="726"/>
      <c r="V87" s="726"/>
      <c r="W87" s="727"/>
      <c r="X87" s="562"/>
      <c r="Y87" s="562"/>
      <c r="Z87" s="562"/>
      <c r="AA87" s="562"/>
      <c r="AB87" s="562"/>
      <c r="AC87" s="563"/>
      <c r="AD87" s="629">
        <f t="shared" si="5"/>
        <v>215</v>
      </c>
      <c r="AE87" s="629">
        <f t="shared" si="6"/>
        <v>215</v>
      </c>
      <c r="AF87" s="634">
        <f t="shared" si="7"/>
        <v>0</v>
      </c>
      <c r="AG87" s="43"/>
    </row>
    <row r="88" spans="1:57">
      <c r="A88" s="555"/>
      <c r="B88" s="719"/>
      <c r="C88" s="719"/>
      <c r="D88" s="721"/>
      <c r="E88" s="719"/>
      <c r="F88" s="722"/>
      <c r="G88" s="723"/>
      <c r="H88" s="719"/>
      <c r="I88" s="724"/>
      <c r="J88" s="724"/>
      <c r="K88" s="725"/>
      <c r="L88" s="725"/>
      <c r="M88" s="725"/>
      <c r="N88" s="725"/>
      <c r="O88" s="725"/>
      <c r="P88" s="725"/>
      <c r="Q88" s="725"/>
      <c r="R88" s="726"/>
      <c r="S88" s="727"/>
      <c r="T88" s="725"/>
      <c r="U88" s="726"/>
      <c r="V88" s="726"/>
      <c r="W88" s="727"/>
      <c r="X88" s="562"/>
      <c r="Y88" s="562"/>
      <c r="Z88" s="562"/>
      <c r="AA88" s="562"/>
      <c r="AB88" s="562"/>
      <c r="AC88" s="563"/>
      <c r="AD88" s="629">
        <f t="shared" si="5"/>
        <v>0</v>
      </c>
      <c r="AE88" s="629">
        <f t="shared" si="6"/>
        <v>0</v>
      </c>
      <c r="AF88" s="634">
        <f t="shared" si="7"/>
        <v>0</v>
      </c>
      <c r="AG88" s="43"/>
    </row>
    <row r="89" spans="1:57">
      <c r="A89" s="555"/>
      <c r="B89" s="719" t="s">
        <v>471</v>
      </c>
      <c r="C89" s="719"/>
      <c r="D89" s="721"/>
      <c r="E89" s="721">
        <v>55</v>
      </c>
      <c r="F89" s="728"/>
      <c r="G89" s="729"/>
      <c r="H89" s="724"/>
      <c r="I89" s="724"/>
      <c r="J89" s="724"/>
      <c r="K89" s="725"/>
      <c r="L89" s="725"/>
      <c r="M89" s="725"/>
      <c r="N89" s="725"/>
      <c r="O89" s="725"/>
      <c r="P89" s="725"/>
      <c r="Q89" s="725"/>
      <c r="R89" s="725"/>
      <c r="S89" s="725">
        <v>55</v>
      </c>
      <c r="T89" s="725"/>
      <c r="U89" s="725"/>
      <c r="V89" s="725"/>
      <c r="W89" s="725"/>
      <c r="X89" s="562"/>
      <c r="Y89" s="562"/>
      <c r="Z89" s="562"/>
      <c r="AA89" s="562"/>
      <c r="AB89" s="562"/>
      <c r="AC89" s="563"/>
      <c r="AD89" s="629">
        <f t="shared" si="5"/>
        <v>55</v>
      </c>
      <c r="AE89" s="629">
        <f t="shared" si="6"/>
        <v>55</v>
      </c>
      <c r="AF89" s="634">
        <f t="shared" si="7"/>
        <v>0</v>
      </c>
      <c r="AG89" s="43"/>
    </row>
    <row r="90" spans="1:57">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562"/>
      <c r="Y90" s="562"/>
      <c r="Z90" s="562"/>
      <c r="AA90" s="562"/>
      <c r="AB90" s="562"/>
      <c r="AC90" s="563"/>
      <c r="AD90" s="629">
        <f t="shared" si="5"/>
        <v>65</v>
      </c>
      <c r="AE90" s="629">
        <f t="shared" si="6"/>
        <v>65</v>
      </c>
      <c r="AF90" s="634">
        <f t="shared" si="7"/>
        <v>0</v>
      </c>
      <c r="AG90" s="43"/>
    </row>
    <row r="91" spans="1:57">
      <c r="A91" s="555"/>
      <c r="B91" s="605" t="s">
        <v>43</v>
      </c>
      <c r="C91" s="607"/>
      <c r="D91" s="608"/>
      <c r="E91" s="608">
        <v>65</v>
      </c>
      <c r="F91" s="608"/>
      <c r="G91" s="609"/>
      <c r="H91" s="585"/>
      <c r="I91" s="562"/>
      <c r="J91" s="562">
        <v>65</v>
      </c>
      <c r="K91" s="562"/>
      <c r="L91" s="562"/>
      <c r="M91" s="562"/>
      <c r="N91" s="602" t="s">
        <v>241</v>
      </c>
      <c r="O91" s="562"/>
      <c r="P91" s="562"/>
      <c r="Q91" s="562"/>
      <c r="R91" s="562"/>
      <c r="S91" s="562"/>
      <c r="T91" s="562"/>
      <c r="U91" s="562"/>
      <c r="V91" s="562"/>
      <c r="W91" s="562"/>
      <c r="X91" s="562"/>
      <c r="Y91" s="562"/>
      <c r="Z91" s="562"/>
      <c r="AA91" s="562"/>
      <c r="AB91" s="562"/>
      <c r="AC91" s="563"/>
      <c r="AD91" s="629">
        <f t="shared" si="5"/>
        <v>65</v>
      </c>
      <c r="AE91" s="629">
        <f t="shared" si="6"/>
        <v>65</v>
      </c>
      <c r="AF91" s="634">
        <f t="shared" si="7"/>
        <v>0</v>
      </c>
      <c r="AG91" s="43"/>
    </row>
    <row r="92" spans="1:57">
      <c r="A92" s="555"/>
      <c r="B92" s="605" t="s">
        <v>174</v>
      </c>
      <c r="C92" s="607"/>
      <c r="D92" s="739">
        <v>5.5</v>
      </c>
      <c r="E92" s="608"/>
      <c r="F92" s="609"/>
      <c r="G92" s="609"/>
      <c r="H92" s="603"/>
      <c r="I92" s="562"/>
      <c r="J92" s="562"/>
      <c r="K92" s="562"/>
      <c r="L92" s="562"/>
      <c r="M92" s="562"/>
      <c r="N92" s="562"/>
      <c r="O92" s="562"/>
      <c r="P92" s="562"/>
      <c r="Q92" s="562"/>
      <c r="R92" s="562"/>
      <c r="S92" s="562"/>
      <c r="T92" s="562"/>
      <c r="U92" s="562"/>
      <c r="V92" s="740">
        <v>5.5</v>
      </c>
      <c r="W92" s="562"/>
      <c r="X92" s="562"/>
      <c r="Y92" s="562"/>
      <c r="Z92" s="562"/>
      <c r="AA92" s="562"/>
      <c r="AB92" s="562"/>
      <c r="AC92" s="563"/>
      <c r="AD92" s="629">
        <f t="shared" si="5"/>
        <v>5.5</v>
      </c>
      <c r="AE92" s="629">
        <f t="shared" si="6"/>
        <v>5.5</v>
      </c>
      <c r="AF92" s="634">
        <f t="shared" si="7"/>
        <v>0</v>
      </c>
      <c r="AG92" s="43"/>
    </row>
    <row r="93" spans="1:57" ht="25.5">
      <c r="A93" s="555"/>
      <c r="B93" s="764" t="s">
        <v>497</v>
      </c>
      <c r="C93" s="607"/>
      <c r="D93" s="609">
        <v>21280.33</v>
      </c>
      <c r="E93" s="608"/>
      <c r="F93" s="609"/>
      <c r="G93" s="609"/>
      <c r="H93" s="603"/>
      <c r="I93" s="562"/>
      <c r="J93" s="562"/>
      <c r="K93" s="562"/>
      <c r="L93" s="562"/>
      <c r="M93" s="562"/>
      <c r="N93" s="562"/>
      <c r="O93" s="562"/>
      <c r="P93" s="562"/>
      <c r="Q93" s="562"/>
      <c r="R93" s="562"/>
      <c r="S93" s="562"/>
      <c r="T93" s="562"/>
      <c r="U93" s="562"/>
      <c r="V93" s="562"/>
      <c r="W93" s="562"/>
      <c r="X93" s="562"/>
      <c r="Y93" s="562"/>
      <c r="Z93" s="562">
        <v>21280.33</v>
      </c>
      <c r="AA93" s="562"/>
      <c r="AB93" s="562"/>
      <c r="AC93" s="563"/>
      <c r="AD93" s="629">
        <f t="shared" si="5"/>
        <v>21280.33</v>
      </c>
      <c r="AE93" s="629">
        <f t="shared" si="6"/>
        <v>21280.33</v>
      </c>
      <c r="AF93" s="634">
        <f t="shared" si="7"/>
        <v>0</v>
      </c>
      <c r="AG93" s="43"/>
    </row>
    <row r="94" spans="1:57">
      <c r="A94" s="555"/>
      <c r="B94" s="623"/>
      <c r="C94" s="607"/>
      <c r="D94" s="609"/>
      <c r="E94" s="608"/>
      <c r="F94" s="609"/>
      <c r="G94" s="609"/>
      <c r="H94" s="603"/>
      <c r="I94" s="562"/>
      <c r="J94" s="562"/>
      <c r="K94" s="562"/>
      <c r="L94" s="562"/>
      <c r="M94" s="562"/>
      <c r="N94" s="562"/>
      <c r="O94" s="562"/>
      <c r="P94" s="562"/>
      <c r="Q94" s="562"/>
      <c r="R94" s="562"/>
      <c r="S94" s="562"/>
      <c r="T94" s="562"/>
      <c r="U94" s="562"/>
      <c r="V94" s="562"/>
      <c r="W94" s="562"/>
      <c r="X94" s="562"/>
      <c r="Y94" s="562"/>
      <c r="Z94" s="562"/>
      <c r="AA94" s="562"/>
      <c r="AB94" s="562"/>
      <c r="AC94" s="563"/>
      <c r="AD94" s="629">
        <f t="shared" si="5"/>
        <v>0</v>
      </c>
      <c r="AE94" s="629">
        <f t="shared" si="6"/>
        <v>0</v>
      </c>
      <c r="AF94" s="634">
        <f t="shared" si="7"/>
        <v>0</v>
      </c>
      <c r="AG94" s="43"/>
    </row>
    <row r="95" spans="1:57">
      <c r="A95" s="555"/>
      <c r="B95" s="623"/>
      <c r="C95" s="607"/>
      <c r="D95" s="609"/>
      <c r="E95" s="608"/>
      <c r="F95" s="609"/>
      <c r="G95" s="609"/>
      <c r="H95" s="603"/>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5"/>
        <v>0</v>
      </c>
      <c r="AE95" s="629">
        <f t="shared" si="6"/>
        <v>0</v>
      </c>
      <c r="AF95" s="634">
        <f t="shared" si="7"/>
        <v>0</v>
      </c>
      <c r="AG95" s="43"/>
    </row>
    <row r="96" spans="1:57">
      <c r="A96" s="555"/>
      <c r="B96" s="623"/>
      <c r="C96" s="607"/>
      <c r="D96" s="609"/>
      <c r="E96" s="608"/>
      <c r="F96" s="609"/>
      <c r="G96" s="609"/>
      <c r="H96" s="603"/>
      <c r="I96" s="562"/>
      <c r="J96" s="562"/>
      <c r="K96" s="562"/>
      <c r="L96" s="562"/>
      <c r="M96" s="562"/>
      <c r="N96" s="562"/>
      <c r="O96" s="562"/>
      <c r="P96" s="562"/>
      <c r="Q96" s="562"/>
      <c r="R96" s="562"/>
      <c r="S96" s="562"/>
      <c r="T96" s="562"/>
      <c r="U96" s="562"/>
      <c r="V96" s="562"/>
      <c r="W96" s="562"/>
      <c r="X96" s="562"/>
      <c r="Y96" s="562"/>
      <c r="Z96" s="562"/>
      <c r="AA96" s="562"/>
      <c r="AB96" s="562"/>
      <c r="AC96" s="563"/>
      <c r="AD96" s="629">
        <f t="shared" si="5"/>
        <v>0</v>
      </c>
      <c r="AE96" s="629">
        <f t="shared" si="6"/>
        <v>0</v>
      </c>
      <c r="AF96" s="634">
        <f t="shared" si="7"/>
        <v>0</v>
      </c>
      <c r="AG96" s="43"/>
    </row>
    <row r="97" spans="1:33">
      <c r="A97" s="555"/>
      <c r="B97" s="623"/>
      <c r="C97" s="607"/>
      <c r="D97" s="609"/>
      <c r="E97" s="608"/>
      <c r="F97" s="609"/>
      <c r="G97" s="609"/>
      <c r="H97" s="603"/>
      <c r="I97" s="562"/>
      <c r="J97" s="562"/>
      <c r="K97" s="562"/>
      <c r="L97" s="562"/>
      <c r="M97" s="562"/>
      <c r="N97" s="562"/>
      <c r="O97" s="562"/>
      <c r="P97" s="562"/>
      <c r="Q97" s="562"/>
      <c r="R97" s="562"/>
      <c r="S97" s="562"/>
      <c r="T97" s="562"/>
      <c r="U97" s="562"/>
      <c r="V97" s="562"/>
      <c r="W97" s="562"/>
      <c r="X97" s="562"/>
      <c r="Y97" s="562"/>
      <c r="Z97" s="562"/>
      <c r="AA97" s="562"/>
      <c r="AB97" s="562"/>
      <c r="AC97" s="563"/>
      <c r="AD97" s="629">
        <f t="shared" si="5"/>
        <v>0</v>
      </c>
      <c r="AE97" s="629">
        <f t="shared" si="6"/>
        <v>0</v>
      </c>
      <c r="AF97" s="634">
        <f t="shared" si="7"/>
        <v>0</v>
      </c>
      <c r="AG97" s="43"/>
    </row>
    <row r="98" spans="1:33">
      <c r="A98" s="555"/>
      <c r="B98" s="623"/>
      <c r="C98" s="607"/>
      <c r="D98" s="609"/>
      <c r="E98" s="608"/>
      <c r="F98" s="609"/>
      <c r="G98" s="609"/>
      <c r="H98" s="603"/>
      <c r="I98" s="562"/>
      <c r="J98" s="562"/>
      <c r="K98" s="562"/>
      <c r="L98" s="562"/>
      <c r="M98" s="562"/>
      <c r="N98" s="562"/>
      <c r="O98" s="562"/>
      <c r="P98" s="562"/>
      <c r="Q98" s="562"/>
      <c r="R98" s="562"/>
      <c r="S98" s="562"/>
      <c r="T98" s="562"/>
      <c r="U98" s="562"/>
      <c r="V98" s="562"/>
      <c r="W98" s="562"/>
      <c r="X98" s="562"/>
      <c r="Y98" s="562"/>
      <c r="Z98" s="562"/>
      <c r="AA98" s="562"/>
      <c r="AB98" s="562"/>
      <c r="AC98" s="563"/>
      <c r="AD98" s="629">
        <f t="shared" si="5"/>
        <v>0</v>
      </c>
      <c r="AE98" s="629">
        <f t="shared" si="6"/>
        <v>0</v>
      </c>
      <c r="AF98" s="634">
        <f t="shared" si="7"/>
        <v>0</v>
      </c>
      <c r="AG98" s="43"/>
    </row>
    <row r="99" spans="1:33">
      <c r="A99" s="555"/>
      <c r="B99" s="623"/>
      <c r="C99" s="607"/>
      <c r="D99" s="609"/>
      <c r="E99" s="608"/>
      <c r="F99" s="609"/>
      <c r="G99" s="609"/>
      <c r="H99" s="603"/>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5"/>
        <v>0</v>
      </c>
      <c r="AE99" s="629">
        <f t="shared" si="6"/>
        <v>0</v>
      </c>
      <c r="AF99" s="634">
        <f t="shared" si="7"/>
        <v>0</v>
      </c>
      <c r="AG99" s="43"/>
    </row>
    <row r="100" spans="1:33">
      <c r="A100" s="555"/>
      <c r="B100" s="623"/>
      <c r="C100" s="607"/>
      <c r="D100" s="609"/>
      <c r="E100" s="608"/>
      <c r="F100" s="609"/>
      <c r="G100" s="609"/>
      <c r="H100" s="603"/>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5"/>
        <v>0</v>
      </c>
      <c r="AE100" s="629">
        <f t="shared" si="6"/>
        <v>0</v>
      </c>
      <c r="AF100" s="634">
        <f t="shared" si="7"/>
        <v>0</v>
      </c>
      <c r="AG100" s="43"/>
    </row>
    <row r="101" spans="1:33">
      <c r="A101" s="555"/>
      <c r="B101" s="623"/>
      <c r="C101" s="607"/>
      <c r="D101" s="609"/>
      <c r="E101" s="608"/>
      <c r="F101" s="609"/>
      <c r="G101" s="609"/>
      <c r="H101" s="603"/>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5"/>
        <v>0</v>
      </c>
      <c r="AE101" s="629">
        <f t="shared" si="6"/>
        <v>0</v>
      </c>
      <c r="AF101" s="634">
        <f t="shared" si="7"/>
        <v>0</v>
      </c>
      <c r="AG101" s="43"/>
    </row>
    <row r="102" spans="1:33">
      <c r="A102" s="555"/>
      <c r="B102" s="623"/>
      <c r="C102" s="607"/>
      <c r="D102" s="609"/>
      <c r="E102" s="608"/>
      <c r="F102" s="609"/>
      <c r="G102" s="609"/>
      <c r="H102" s="603"/>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5"/>
        <v>0</v>
      </c>
      <c r="AE102" s="629">
        <f t="shared" si="6"/>
        <v>0</v>
      </c>
      <c r="AF102" s="634">
        <f t="shared" si="7"/>
        <v>0</v>
      </c>
      <c r="AG102" s="43"/>
    </row>
    <row r="103" spans="1:33">
      <c r="A103" s="555"/>
      <c r="B103" s="623"/>
      <c r="C103" s="607"/>
      <c r="D103" s="609"/>
      <c r="E103" s="608"/>
      <c r="F103" s="609"/>
      <c r="G103" s="609"/>
      <c r="H103" s="603"/>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5"/>
        <v>0</v>
      </c>
      <c r="AE103" s="629">
        <f t="shared" si="6"/>
        <v>0</v>
      </c>
      <c r="AF103" s="634">
        <f t="shared" si="7"/>
        <v>0</v>
      </c>
      <c r="AG103" s="43"/>
    </row>
    <row r="104" spans="1:33">
      <c r="A104" s="555"/>
      <c r="B104" s="623"/>
      <c r="C104" s="607"/>
      <c r="D104" s="609"/>
      <c r="E104" s="608"/>
      <c r="F104" s="609"/>
      <c r="G104" s="609"/>
      <c r="H104" s="603"/>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5"/>
        <v>0</v>
      </c>
      <c r="AE104" s="629">
        <f t="shared" si="6"/>
        <v>0</v>
      </c>
      <c r="AF104" s="634">
        <f t="shared" si="7"/>
        <v>0</v>
      </c>
      <c r="AG104" s="43"/>
    </row>
    <row r="105" spans="1:33">
      <c r="A105" s="555"/>
      <c r="B105" s="623"/>
      <c r="C105" s="607"/>
      <c r="D105" s="609"/>
      <c r="E105" s="608"/>
      <c r="F105" s="609"/>
      <c r="G105" s="609"/>
      <c r="H105" s="603"/>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5"/>
        <v>0</v>
      </c>
      <c r="AE105" s="629">
        <f t="shared" si="6"/>
        <v>0</v>
      </c>
      <c r="AF105" s="634">
        <f t="shared" si="7"/>
        <v>0</v>
      </c>
      <c r="AG105" s="43"/>
    </row>
    <row r="106" spans="1:33">
      <c r="A106" s="555"/>
      <c r="B106" s="623"/>
      <c r="C106" s="607"/>
      <c r="D106" s="609"/>
      <c r="E106" s="608"/>
      <c r="F106" s="609"/>
      <c r="G106" s="609"/>
      <c r="H106" s="603"/>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5"/>
        <v>0</v>
      </c>
      <c r="AE106" s="629">
        <f t="shared" si="6"/>
        <v>0</v>
      </c>
      <c r="AF106" s="634">
        <f t="shared" si="7"/>
        <v>0</v>
      </c>
      <c r="AG106" s="43"/>
    </row>
    <row r="107" spans="1:33" ht="13.5" thickBot="1">
      <c r="A107" s="555"/>
      <c r="B107" s="623"/>
      <c r="C107" s="607"/>
      <c r="D107" s="609"/>
      <c r="E107" s="608"/>
      <c r="F107" s="609"/>
      <c r="G107" s="609"/>
      <c r="H107" s="603"/>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5"/>
        <v>0</v>
      </c>
      <c r="AE107" s="629">
        <f t="shared" si="6"/>
        <v>0</v>
      </c>
      <c r="AF107" s="634">
        <f t="shared" si="7"/>
        <v>0</v>
      </c>
      <c r="AG107" s="43"/>
    </row>
    <row r="108" spans="1:33" hidden="1">
      <c r="A108" s="555"/>
      <c r="B108" s="623"/>
      <c r="C108" s="607"/>
      <c r="D108" s="609"/>
      <c r="E108" s="608"/>
      <c r="F108" s="609"/>
      <c r="G108" s="609"/>
      <c r="H108" s="603"/>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5"/>
        <v>0</v>
      </c>
      <c r="AE108" s="629">
        <f t="shared" si="6"/>
        <v>0</v>
      </c>
      <c r="AF108" s="634">
        <f t="shared" si="7"/>
        <v>0</v>
      </c>
      <c r="AG108" s="43"/>
    </row>
    <row r="109" spans="1:33" hidden="1">
      <c r="A109" s="555"/>
      <c r="B109" s="623"/>
      <c r="C109" s="607"/>
      <c r="D109" s="609"/>
      <c r="E109" s="608"/>
      <c r="F109" s="609"/>
      <c r="G109" s="609"/>
      <c r="H109" s="603"/>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5"/>
        <v>0</v>
      </c>
      <c r="AE109" s="629">
        <f t="shared" si="6"/>
        <v>0</v>
      </c>
      <c r="AF109" s="634">
        <f t="shared" si="7"/>
        <v>0</v>
      </c>
      <c r="AG109" s="43"/>
    </row>
    <row r="110" spans="1:33" hidden="1">
      <c r="A110" s="555"/>
      <c r="B110" s="623"/>
      <c r="C110" s="607"/>
      <c r="D110" s="609"/>
      <c r="E110" s="608"/>
      <c r="F110" s="609"/>
      <c r="G110" s="609"/>
      <c r="H110" s="603"/>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5"/>
        <v>0</v>
      </c>
      <c r="AE110" s="629">
        <f t="shared" si="6"/>
        <v>0</v>
      </c>
      <c r="AF110" s="634">
        <f t="shared" si="7"/>
        <v>0</v>
      </c>
      <c r="AG110" s="43"/>
    </row>
    <row r="111" spans="1:33" hidden="1">
      <c r="A111" s="555"/>
      <c r="B111" s="623"/>
      <c r="C111" s="607"/>
      <c r="D111" s="609"/>
      <c r="E111" s="608"/>
      <c r="F111" s="609"/>
      <c r="G111" s="609"/>
      <c r="H111" s="603"/>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5"/>
        <v>0</v>
      </c>
      <c r="AE111" s="629">
        <f t="shared" si="6"/>
        <v>0</v>
      </c>
      <c r="AF111" s="634">
        <f t="shared" si="7"/>
        <v>0</v>
      </c>
      <c r="AG111" s="43"/>
    </row>
    <row r="112" spans="1:33" hidden="1">
      <c r="A112" s="555"/>
      <c r="B112" s="623"/>
      <c r="C112" s="607"/>
      <c r="D112" s="609"/>
      <c r="E112" s="608"/>
      <c r="F112" s="609"/>
      <c r="G112" s="609"/>
      <c r="H112" s="603"/>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5"/>
        <v>0</v>
      </c>
      <c r="AE112" s="629">
        <f t="shared" si="6"/>
        <v>0</v>
      </c>
      <c r="AF112" s="634">
        <f t="shared" si="7"/>
        <v>0</v>
      </c>
      <c r="AG112" s="43"/>
    </row>
    <row r="113" spans="1:33" hidden="1">
      <c r="A113" s="555"/>
      <c r="B113" s="623"/>
      <c r="C113" s="607"/>
      <c r="D113" s="609"/>
      <c r="E113" s="608"/>
      <c r="F113" s="609"/>
      <c r="G113" s="609"/>
      <c r="H113" s="603"/>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5"/>
        <v>0</v>
      </c>
      <c r="AE113" s="629">
        <f t="shared" si="6"/>
        <v>0</v>
      </c>
      <c r="AF113" s="634">
        <f t="shared" si="7"/>
        <v>0</v>
      </c>
      <c r="AG113" s="43"/>
    </row>
    <row r="114" spans="1:33" hidden="1">
      <c r="A114" s="555"/>
      <c r="B114" s="623"/>
      <c r="C114" s="607"/>
      <c r="D114" s="609"/>
      <c r="E114" s="608"/>
      <c r="F114" s="609"/>
      <c r="G114" s="609"/>
      <c r="H114" s="603"/>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5"/>
        <v>0</v>
      </c>
      <c r="AE114" s="629">
        <f t="shared" si="6"/>
        <v>0</v>
      </c>
      <c r="AF114" s="634">
        <f t="shared" si="7"/>
        <v>0</v>
      </c>
      <c r="AG114" s="43"/>
    </row>
    <row r="115" spans="1:33" hidden="1">
      <c r="A115" s="555"/>
      <c r="B115" s="623"/>
      <c r="C115" s="607"/>
      <c r="D115" s="609"/>
      <c r="E115" s="608"/>
      <c r="F115" s="609"/>
      <c r="G115" s="609"/>
      <c r="H115" s="603"/>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5"/>
        <v>0</v>
      </c>
      <c r="AE115" s="629">
        <f t="shared" si="6"/>
        <v>0</v>
      </c>
      <c r="AF115" s="634">
        <f t="shared" si="7"/>
        <v>0</v>
      </c>
      <c r="AG115" s="43"/>
    </row>
    <row r="116" spans="1:33" hidden="1">
      <c r="A116" s="555"/>
      <c r="B116" s="623"/>
      <c r="C116" s="607"/>
      <c r="D116" s="609"/>
      <c r="E116" s="608"/>
      <c r="F116" s="609"/>
      <c r="G116" s="609"/>
      <c r="H116" s="603"/>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5"/>
        <v>0</v>
      </c>
      <c r="AE116" s="629">
        <f t="shared" si="6"/>
        <v>0</v>
      </c>
      <c r="AF116" s="634">
        <f t="shared" si="7"/>
        <v>0</v>
      </c>
      <c r="AG116" s="43"/>
    </row>
    <row r="117" spans="1:33" hidden="1">
      <c r="A117" s="555"/>
      <c r="B117" s="623"/>
      <c r="C117" s="607"/>
      <c r="D117" s="609"/>
      <c r="E117" s="608"/>
      <c r="F117" s="609"/>
      <c r="G117" s="609"/>
      <c r="H117" s="603"/>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5"/>
        <v>0</v>
      </c>
      <c r="AE117" s="629">
        <f t="shared" si="6"/>
        <v>0</v>
      </c>
      <c r="AF117" s="634">
        <f t="shared" si="7"/>
        <v>0</v>
      </c>
      <c r="AG117" s="43"/>
    </row>
    <row r="118" spans="1:33" hidden="1">
      <c r="A118" s="555"/>
      <c r="B118" s="623"/>
      <c r="C118" s="607"/>
      <c r="D118" s="609"/>
      <c r="E118" s="608"/>
      <c r="F118" s="609"/>
      <c r="G118" s="609"/>
      <c r="H118" s="603"/>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5"/>
        <v>0</v>
      </c>
      <c r="AE118" s="629">
        <f t="shared" si="6"/>
        <v>0</v>
      </c>
      <c r="AF118" s="634">
        <f t="shared" si="7"/>
        <v>0</v>
      </c>
      <c r="AG118" s="43"/>
    </row>
    <row r="119" spans="1:33" hidden="1">
      <c r="A119" s="555"/>
      <c r="B119" s="623"/>
      <c r="C119" s="607"/>
      <c r="D119" s="609"/>
      <c r="E119" s="608"/>
      <c r="F119" s="609"/>
      <c r="G119" s="609"/>
      <c r="H119" s="603"/>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5"/>
        <v>0</v>
      </c>
      <c r="AE119" s="629">
        <f t="shared" si="6"/>
        <v>0</v>
      </c>
      <c r="AF119" s="634">
        <f t="shared" si="7"/>
        <v>0</v>
      </c>
      <c r="AG119" s="43"/>
    </row>
    <row r="120" spans="1:33" hidden="1">
      <c r="A120" s="555"/>
      <c r="B120" s="623"/>
      <c r="C120" s="607"/>
      <c r="D120" s="609"/>
      <c r="E120" s="608"/>
      <c r="F120" s="609"/>
      <c r="G120" s="609"/>
      <c r="H120" s="603"/>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5"/>
        <v>0</v>
      </c>
      <c r="AE120" s="629">
        <f t="shared" si="6"/>
        <v>0</v>
      </c>
      <c r="AF120" s="634">
        <f t="shared" si="7"/>
        <v>0</v>
      </c>
      <c r="AG120" s="43"/>
    </row>
    <row r="121" spans="1:33" hidden="1">
      <c r="A121" s="555"/>
      <c r="B121" s="623"/>
      <c r="C121" s="607"/>
      <c r="D121" s="609"/>
      <c r="E121" s="608"/>
      <c r="F121" s="609"/>
      <c r="G121" s="609"/>
      <c r="H121" s="603"/>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5"/>
        <v>0</v>
      </c>
      <c r="AE121" s="629">
        <f t="shared" si="6"/>
        <v>0</v>
      </c>
      <c r="AF121" s="634">
        <f t="shared" si="7"/>
        <v>0</v>
      </c>
      <c r="AG121" s="43"/>
    </row>
    <row r="122" spans="1:33" hidden="1">
      <c r="A122" s="555"/>
      <c r="B122" s="623"/>
      <c r="C122" s="607"/>
      <c r="D122" s="609"/>
      <c r="E122" s="608"/>
      <c r="F122" s="609"/>
      <c r="G122" s="609"/>
      <c r="H122" s="603"/>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5"/>
        <v>0</v>
      </c>
      <c r="AE122" s="629">
        <f t="shared" si="6"/>
        <v>0</v>
      </c>
      <c r="AF122" s="634">
        <f t="shared" si="7"/>
        <v>0</v>
      </c>
      <c r="AG122" s="43"/>
    </row>
    <row r="123" spans="1:33" hidden="1">
      <c r="A123" s="555"/>
      <c r="B123" s="623"/>
      <c r="C123" s="607"/>
      <c r="D123" s="609"/>
      <c r="E123" s="608"/>
      <c r="F123" s="609"/>
      <c r="G123" s="609"/>
      <c r="H123" s="603"/>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5"/>
        <v>0</v>
      </c>
      <c r="AE123" s="629">
        <f t="shared" si="6"/>
        <v>0</v>
      </c>
      <c r="AF123" s="634">
        <f t="shared" si="7"/>
        <v>0</v>
      </c>
      <c r="AG123" s="43"/>
    </row>
    <row r="124" spans="1:33" hidden="1">
      <c r="A124" s="555"/>
      <c r="B124" s="623"/>
      <c r="C124" s="607"/>
      <c r="D124" s="609"/>
      <c r="E124" s="608"/>
      <c r="F124" s="609"/>
      <c r="G124" s="609"/>
      <c r="H124" s="603"/>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5"/>
        <v>0</v>
      </c>
      <c r="AE124" s="629">
        <f t="shared" si="6"/>
        <v>0</v>
      </c>
      <c r="AF124" s="634">
        <f t="shared" si="7"/>
        <v>0</v>
      </c>
      <c r="AG124" s="43"/>
    </row>
    <row r="125" spans="1:33" hidden="1">
      <c r="A125" s="555"/>
      <c r="B125" s="623"/>
      <c r="C125" s="607"/>
      <c r="D125" s="609"/>
      <c r="E125" s="608"/>
      <c r="F125" s="609"/>
      <c r="G125" s="609"/>
      <c r="H125" s="603"/>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5"/>
        <v>0</v>
      </c>
      <c r="AE125" s="629">
        <f t="shared" si="6"/>
        <v>0</v>
      </c>
      <c r="AF125" s="634">
        <f t="shared" si="7"/>
        <v>0</v>
      </c>
      <c r="AG125" s="43"/>
    </row>
    <row r="126" spans="1:33" hidden="1">
      <c r="A126" s="555"/>
      <c r="B126" s="623"/>
      <c r="C126" s="607"/>
      <c r="D126" s="609"/>
      <c r="E126" s="608"/>
      <c r="F126" s="609"/>
      <c r="G126" s="609"/>
      <c r="H126" s="603"/>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5"/>
        <v>0</v>
      </c>
      <c r="AE126" s="629">
        <f t="shared" si="6"/>
        <v>0</v>
      </c>
      <c r="AF126" s="634">
        <f t="shared" si="7"/>
        <v>0</v>
      </c>
      <c r="AG126" s="43"/>
    </row>
    <row r="127" spans="1:33" hidden="1">
      <c r="A127" s="555"/>
      <c r="B127" s="623"/>
      <c r="C127" s="607"/>
      <c r="D127" s="609"/>
      <c r="E127" s="608"/>
      <c r="F127" s="609"/>
      <c r="G127" s="609"/>
      <c r="H127" s="603"/>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5"/>
        <v>0</v>
      </c>
      <c r="AE127" s="629">
        <f t="shared" si="6"/>
        <v>0</v>
      </c>
      <c r="AF127" s="634">
        <f t="shared" si="7"/>
        <v>0</v>
      </c>
      <c r="AG127" s="43"/>
    </row>
    <row r="128" spans="1:33" hidden="1">
      <c r="A128" s="555"/>
      <c r="B128" s="623"/>
      <c r="C128" s="607"/>
      <c r="D128" s="609"/>
      <c r="E128" s="608"/>
      <c r="F128" s="609"/>
      <c r="G128" s="609"/>
      <c r="H128" s="603"/>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5"/>
        <v>0</v>
      </c>
      <c r="AE128" s="629">
        <f t="shared" si="6"/>
        <v>0</v>
      </c>
      <c r="AF128" s="634">
        <f t="shared" si="7"/>
        <v>0</v>
      </c>
      <c r="AG128" s="43"/>
    </row>
    <row r="129" spans="1:33" hidden="1">
      <c r="A129" s="555"/>
      <c r="B129" s="623"/>
      <c r="C129" s="607"/>
      <c r="D129" s="609"/>
      <c r="E129" s="608"/>
      <c r="F129" s="609"/>
      <c r="G129" s="609"/>
      <c r="H129" s="603"/>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5"/>
        <v>0</v>
      </c>
      <c r="AE129" s="629">
        <f t="shared" si="6"/>
        <v>0</v>
      </c>
      <c r="AF129" s="634">
        <f t="shared" si="7"/>
        <v>0</v>
      </c>
      <c r="AG129" s="43"/>
    </row>
    <row r="130" spans="1:33" hidden="1">
      <c r="A130" s="555"/>
      <c r="B130" s="623"/>
      <c r="C130" s="607"/>
      <c r="D130" s="609"/>
      <c r="E130" s="608"/>
      <c r="F130" s="609"/>
      <c r="G130" s="609"/>
      <c r="H130" s="603"/>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5"/>
        <v>0</v>
      </c>
      <c r="AE130" s="629">
        <f t="shared" si="6"/>
        <v>0</v>
      </c>
      <c r="AF130" s="634">
        <f t="shared" si="7"/>
        <v>0</v>
      </c>
      <c r="AG130" s="43"/>
    </row>
    <row r="131" spans="1:33" hidden="1">
      <c r="A131" s="555"/>
      <c r="B131" s="623"/>
      <c r="C131" s="607"/>
      <c r="D131" s="609"/>
      <c r="E131" s="608"/>
      <c r="F131" s="609"/>
      <c r="G131" s="609"/>
      <c r="H131" s="603"/>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5"/>
        <v>0</v>
      </c>
      <c r="AE131" s="629">
        <f t="shared" si="6"/>
        <v>0</v>
      </c>
      <c r="AF131" s="634">
        <f t="shared" si="7"/>
        <v>0</v>
      </c>
      <c r="AG131" s="43"/>
    </row>
    <row r="132" spans="1:33" hidden="1">
      <c r="A132" s="555"/>
      <c r="B132" s="623"/>
      <c r="C132" s="607"/>
      <c r="D132" s="609"/>
      <c r="E132" s="608"/>
      <c r="F132" s="609"/>
      <c r="G132" s="609"/>
      <c r="H132" s="603"/>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5"/>
        <v>0</v>
      </c>
      <c r="AE132" s="629">
        <f t="shared" si="6"/>
        <v>0</v>
      </c>
      <c r="AF132" s="634">
        <f t="shared" si="7"/>
        <v>0</v>
      </c>
      <c r="AG132" s="43"/>
    </row>
    <row r="133" spans="1:33" hidden="1">
      <c r="A133" s="555"/>
      <c r="B133" s="623"/>
      <c r="C133" s="607"/>
      <c r="D133" s="609"/>
      <c r="E133" s="608"/>
      <c r="F133" s="609"/>
      <c r="G133" s="609"/>
      <c r="H133" s="603"/>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5"/>
        <v>0</v>
      </c>
      <c r="AE133" s="629">
        <f t="shared" si="6"/>
        <v>0</v>
      </c>
      <c r="AF133" s="634">
        <f t="shared" si="7"/>
        <v>0</v>
      </c>
      <c r="AG133" s="43"/>
    </row>
    <row r="134" spans="1:33" hidden="1">
      <c r="A134" s="555"/>
      <c r="B134" s="623"/>
      <c r="C134" s="607"/>
      <c r="D134" s="609"/>
      <c r="E134" s="608"/>
      <c r="F134" s="609"/>
      <c r="G134" s="609"/>
      <c r="H134" s="603"/>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5"/>
        <v>0</v>
      </c>
      <c r="AE134" s="629">
        <f t="shared" si="6"/>
        <v>0</v>
      </c>
      <c r="AF134" s="634">
        <f t="shared" si="7"/>
        <v>0</v>
      </c>
      <c r="AG134" s="43"/>
    </row>
    <row r="135" spans="1:33" hidden="1">
      <c r="A135" s="555"/>
      <c r="B135" s="623"/>
      <c r="C135" s="607"/>
      <c r="D135" s="609"/>
      <c r="E135" s="608"/>
      <c r="F135" s="609"/>
      <c r="G135" s="609"/>
      <c r="H135" s="603"/>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5"/>
        <v>0</v>
      </c>
      <c r="AE135" s="629">
        <f t="shared" si="6"/>
        <v>0</v>
      </c>
      <c r="AF135" s="634">
        <f t="shared" si="7"/>
        <v>0</v>
      </c>
      <c r="AG135" s="43"/>
    </row>
    <row r="136" spans="1:33" hidden="1">
      <c r="A136" s="555"/>
      <c r="B136" s="623"/>
      <c r="C136" s="607"/>
      <c r="D136" s="609"/>
      <c r="E136" s="608"/>
      <c r="F136" s="609"/>
      <c r="G136" s="609"/>
      <c r="H136" s="603"/>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5"/>
        <v>0</v>
      </c>
      <c r="AE136" s="629">
        <f t="shared" si="6"/>
        <v>0</v>
      </c>
      <c r="AF136" s="634">
        <f t="shared" si="7"/>
        <v>0</v>
      </c>
      <c r="AG136" s="43"/>
    </row>
    <row r="137" spans="1:33" hidden="1">
      <c r="A137" s="555"/>
      <c r="B137" s="623"/>
      <c r="C137" s="607"/>
      <c r="D137" s="609"/>
      <c r="E137" s="608"/>
      <c r="F137" s="609"/>
      <c r="G137" s="609"/>
      <c r="H137" s="603"/>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5"/>
        <v>0</v>
      </c>
      <c r="AE137" s="629">
        <f t="shared" si="6"/>
        <v>0</v>
      </c>
      <c r="AF137" s="634">
        <f t="shared" si="7"/>
        <v>0</v>
      </c>
      <c r="AG137" s="43"/>
    </row>
    <row r="138" spans="1:33" hidden="1">
      <c r="A138" s="555"/>
      <c r="B138" s="623"/>
      <c r="C138" s="607"/>
      <c r="D138" s="609"/>
      <c r="E138" s="608"/>
      <c r="F138" s="609"/>
      <c r="G138" s="609"/>
      <c r="H138" s="603"/>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5"/>
        <v>0</v>
      </c>
      <c r="AE138" s="629">
        <f t="shared" si="6"/>
        <v>0</v>
      </c>
      <c r="AF138" s="634">
        <f t="shared" si="7"/>
        <v>0</v>
      </c>
      <c r="AG138" s="43"/>
    </row>
    <row r="139" spans="1:33" hidden="1">
      <c r="A139" s="555"/>
      <c r="B139" s="623"/>
      <c r="C139" s="607"/>
      <c r="D139" s="609"/>
      <c r="E139" s="608"/>
      <c r="F139" s="609"/>
      <c r="G139" s="609"/>
      <c r="H139" s="603"/>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5"/>
        <v>0</v>
      </c>
      <c r="AE139" s="629">
        <f t="shared" si="6"/>
        <v>0</v>
      </c>
      <c r="AF139" s="634">
        <f t="shared" si="7"/>
        <v>0</v>
      </c>
      <c r="AG139" s="43"/>
    </row>
    <row r="140" spans="1:33" hidden="1">
      <c r="A140" s="555"/>
      <c r="B140" s="623"/>
      <c r="C140" s="607"/>
      <c r="D140" s="609"/>
      <c r="E140" s="608"/>
      <c r="F140" s="609"/>
      <c r="G140" s="609"/>
      <c r="H140" s="603"/>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5"/>
        <v>0</v>
      </c>
      <c r="AE140" s="629">
        <f t="shared" si="6"/>
        <v>0</v>
      </c>
      <c r="AF140" s="634">
        <f t="shared" si="7"/>
        <v>0</v>
      </c>
      <c r="AG140" s="43"/>
    </row>
    <row r="141" spans="1:33" hidden="1">
      <c r="A141" s="555"/>
      <c r="B141" s="623"/>
      <c r="C141" s="607"/>
      <c r="D141" s="609"/>
      <c r="E141" s="608"/>
      <c r="F141" s="609"/>
      <c r="G141" s="609"/>
      <c r="H141" s="603"/>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5"/>
        <v>0</v>
      </c>
      <c r="AE141" s="629">
        <f t="shared" si="6"/>
        <v>0</v>
      </c>
      <c r="AF141" s="634">
        <f t="shared" si="7"/>
        <v>0</v>
      </c>
      <c r="AG141" s="43"/>
    </row>
    <row r="142" spans="1:33" hidden="1">
      <c r="A142" s="555"/>
      <c r="B142" s="623"/>
      <c r="C142" s="607"/>
      <c r="D142" s="609"/>
      <c r="E142" s="608"/>
      <c r="F142" s="609"/>
      <c r="G142" s="609"/>
      <c r="H142" s="603"/>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5"/>
        <v>0</v>
      </c>
      <c r="AE142" s="629">
        <f t="shared" si="6"/>
        <v>0</v>
      </c>
      <c r="AF142" s="634">
        <f t="shared" si="7"/>
        <v>0</v>
      </c>
      <c r="AG142" s="43"/>
    </row>
    <row r="143" spans="1:33" hidden="1">
      <c r="A143" s="555"/>
      <c r="B143" s="623"/>
      <c r="C143" s="607"/>
      <c r="D143" s="609"/>
      <c r="E143" s="608"/>
      <c r="F143" s="609"/>
      <c r="G143" s="609"/>
      <c r="H143" s="603"/>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5"/>
        <v>0</v>
      </c>
      <c r="AE143" s="629">
        <f t="shared" si="6"/>
        <v>0</v>
      </c>
      <c r="AF143" s="634">
        <f t="shared" si="7"/>
        <v>0</v>
      </c>
      <c r="AG143" s="43"/>
    </row>
    <row r="144" spans="1:33" hidden="1">
      <c r="A144" s="555"/>
      <c r="B144" s="623"/>
      <c r="C144" s="607"/>
      <c r="D144" s="609"/>
      <c r="E144" s="608"/>
      <c r="F144" s="609"/>
      <c r="G144" s="609"/>
      <c r="H144" s="603"/>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si="5"/>
        <v>0</v>
      </c>
      <c r="AE144" s="629">
        <f t="shared" si="6"/>
        <v>0</v>
      </c>
      <c r="AF144" s="634">
        <f t="shared" si="7"/>
        <v>0</v>
      </c>
      <c r="AG144" s="43"/>
    </row>
    <row r="145" spans="1:33" hidden="1">
      <c r="A145" s="555"/>
      <c r="B145" s="623"/>
      <c r="C145" s="607"/>
      <c r="D145" s="609"/>
      <c r="E145" s="608"/>
      <c r="F145" s="609"/>
      <c r="G145" s="609"/>
      <c r="H145" s="603"/>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ref="AD145:AD196" si="8">SUM(G145:AC145)</f>
        <v>0</v>
      </c>
      <c r="AE145" s="629">
        <f t="shared" si="6"/>
        <v>0</v>
      </c>
      <c r="AF145" s="634">
        <f t="shared" si="7"/>
        <v>0</v>
      </c>
      <c r="AG145" s="43"/>
    </row>
    <row r="146" spans="1:33" hidden="1">
      <c r="A146" s="555"/>
      <c r="B146" s="623"/>
      <c r="C146" s="607"/>
      <c r="D146" s="609"/>
      <c r="E146" s="608"/>
      <c r="F146" s="609"/>
      <c r="G146" s="609"/>
      <c r="H146" s="603"/>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8"/>
        <v>0</v>
      </c>
      <c r="AE146" s="629">
        <f t="shared" ref="AE146:AE196" si="9">SUM(D146:F146)</f>
        <v>0</v>
      </c>
      <c r="AF146" s="634">
        <f t="shared" ref="AF146:AF196" si="10">AD146-AE146</f>
        <v>0</v>
      </c>
      <c r="AG146" s="43"/>
    </row>
    <row r="147" spans="1:33" hidden="1">
      <c r="A147" s="555"/>
      <c r="B147" s="623"/>
      <c r="C147" s="607"/>
      <c r="D147" s="609"/>
      <c r="E147" s="608"/>
      <c r="F147" s="609"/>
      <c r="G147" s="609"/>
      <c r="H147" s="603"/>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8"/>
        <v>0</v>
      </c>
      <c r="AE147" s="629">
        <f t="shared" si="9"/>
        <v>0</v>
      </c>
      <c r="AF147" s="634">
        <f t="shared" si="10"/>
        <v>0</v>
      </c>
      <c r="AG147" s="43"/>
    </row>
    <row r="148" spans="1:33" hidden="1">
      <c r="A148" s="555"/>
      <c r="B148" s="623"/>
      <c r="C148" s="607"/>
      <c r="D148" s="609"/>
      <c r="E148" s="608"/>
      <c r="F148" s="609"/>
      <c r="G148" s="609"/>
      <c r="H148" s="603"/>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8"/>
        <v>0</v>
      </c>
      <c r="AE148" s="629">
        <f t="shared" si="9"/>
        <v>0</v>
      </c>
      <c r="AF148" s="634">
        <f t="shared" si="10"/>
        <v>0</v>
      </c>
      <c r="AG148" s="43"/>
    </row>
    <row r="149" spans="1:33" hidden="1">
      <c r="A149" s="555"/>
      <c r="B149" s="623"/>
      <c r="C149" s="607"/>
      <c r="D149" s="609"/>
      <c r="E149" s="608"/>
      <c r="F149" s="609"/>
      <c r="G149" s="609"/>
      <c r="H149" s="603"/>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8"/>
        <v>0</v>
      </c>
      <c r="AE149" s="629">
        <f t="shared" si="9"/>
        <v>0</v>
      </c>
      <c r="AF149" s="634">
        <f t="shared" si="10"/>
        <v>0</v>
      </c>
      <c r="AG149" s="43"/>
    </row>
    <row r="150" spans="1:33" hidden="1">
      <c r="A150" s="555"/>
      <c r="B150" s="623"/>
      <c r="C150" s="607"/>
      <c r="D150" s="609"/>
      <c r="E150" s="608"/>
      <c r="F150" s="609"/>
      <c r="G150" s="609"/>
      <c r="H150" s="603"/>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8"/>
        <v>0</v>
      </c>
      <c r="AE150" s="629">
        <f t="shared" si="9"/>
        <v>0</v>
      </c>
      <c r="AF150" s="634">
        <f t="shared" si="10"/>
        <v>0</v>
      </c>
      <c r="AG150" s="43"/>
    </row>
    <row r="151" spans="1:33" hidden="1">
      <c r="A151" s="555"/>
      <c r="B151" s="623"/>
      <c r="C151" s="607"/>
      <c r="D151" s="609"/>
      <c r="E151" s="608"/>
      <c r="F151" s="609"/>
      <c r="G151" s="609"/>
      <c r="H151" s="603"/>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8"/>
        <v>0</v>
      </c>
      <c r="AE151" s="629">
        <f t="shared" si="9"/>
        <v>0</v>
      </c>
      <c r="AF151" s="634">
        <f t="shared" si="10"/>
        <v>0</v>
      </c>
      <c r="AG151" s="43"/>
    </row>
    <row r="152" spans="1:33" hidden="1">
      <c r="A152" s="555"/>
      <c r="B152" s="623"/>
      <c r="C152" s="607"/>
      <c r="D152" s="609"/>
      <c r="E152" s="608"/>
      <c r="F152" s="609"/>
      <c r="G152" s="609"/>
      <c r="H152" s="603"/>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8"/>
        <v>0</v>
      </c>
      <c r="AE152" s="629">
        <f t="shared" si="9"/>
        <v>0</v>
      </c>
      <c r="AF152" s="634">
        <f t="shared" si="10"/>
        <v>0</v>
      </c>
      <c r="AG152" s="43"/>
    </row>
    <row r="153" spans="1:33" hidden="1">
      <c r="A153" s="555"/>
      <c r="B153" s="623"/>
      <c r="C153" s="607"/>
      <c r="D153" s="609"/>
      <c r="E153" s="608"/>
      <c r="F153" s="609"/>
      <c r="G153" s="609"/>
      <c r="H153" s="603"/>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8"/>
        <v>0</v>
      </c>
      <c r="AE153" s="629">
        <f t="shared" si="9"/>
        <v>0</v>
      </c>
      <c r="AF153" s="634">
        <f t="shared" si="10"/>
        <v>0</v>
      </c>
      <c r="AG153" s="43"/>
    </row>
    <row r="154" spans="1:33" hidden="1">
      <c r="A154" s="555"/>
      <c r="B154" s="623"/>
      <c r="C154" s="607"/>
      <c r="D154" s="609"/>
      <c r="E154" s="608"/>
      <c r="F154" s="609"/>
      <c r="G154" s="609"/>
      <c r="H154" s="603"/>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8"/>
        <v>0</v>
      </c>
      <c r="AE154" s="629">
        <f t="shared" si="9"/>
        <v>0</v>
      </c>
      <c r="AF154" s="634">
        <f t="shared" si="10"/>
        <v>0</v>
      </c>
      <c r="AG154" s="43"/>
    </row>
    <row r="155" spans="1:33" hidden="1">
      <c r="A155" s="555"/>
      <c r="B155" s="623"/>
      <c r="C155" s="607"/>
      <c r="D155" s="609"/>
      <c r="E155" s="608"/>
      <c r="F155" s="609"/>
      <c r="G155" s="609"/>
      <c r="H155" s="603"/>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8"/>
        <v>0</v>
      </c>
      <c r="AE155" s="629">
        <f t="shared" si="9"/>
        <v>0</v>
      </c>
      <c r="AF155" s="634">
        <f t="shared" si="10"/>
        <v>0</v>
      </c>
      <c r="AG155" s="43"/>
    </row>
    <row r="156" spans="1:33" hidden="1">
      <c r="A156" s="555"/>
      <c r="B156" s="623"/>
      <c r="C156" s="607"/>
      <c r="D156" s="609"/>
      <c r="E156" s="608"/>
      <c r="F156" s="609"/>
      <c r="G156" s="609"/>
      <c r="H156" s="603"/>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8"/>
        <v>0</v>
      </c>
      <c r="AE156" s="629">
        <f t="shared" si="9"/>
        <v>0</v>
      </c>
      <c r="AF156" s="634">
        <f t="shared" si="10"/>
        <v>0</v>
      </c>
      <c r="AG156" s="43"/>
    </row>
    <row r="157" spans="1:33" hidden="1">
      <c r="A157" s="555"/>
      <c r="B157" s="623"/>
      <c r="C157" s="607"/>
      <c r="D157" s="609"/>
      <c r="E157" s="608"/>
      <c r="F157" s="609"/>
      <c r="G157" s="609"/>
      <c r="H157" s="603"/>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8"/>
        <v>0</v>
      </c>
      <c r="AE157" s="629">
        <f t="shared" si="9"/>
        <v>0</v>
      </c>
      <c r="AF157" s="634">
        <f t="shared" si="10"/>
        <v>0</v>
      </c>
      <c r="AG157" s="43"/>
    </row>
    <row r="158" spans="1:33" hidden="1">
      <c r="A158" s="555"/>
      <c r="B158" s="623"/>
      <c r="C158" s="607"/>
      <c r="D158" s="609"/>
      <c r="E158" s="608"/>
      <c r="F158" s="609"/>
      <c r="G158" s="609"/>
      <c r="H158" s="603"/>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8"/>
        <v>0</v>
      </c>
      <c r="AE158" s="629">
        <f t="shared" si="9"/>
        <v>0</v>
      </c>
      <c r="AF158" s="634">
        <f t="shared" si="10"/>
        <v>0</v>
      </c>
      <c r="AG158" s="43"/>
    </row>
    <row r="159" spans="1:33" hidden="1">
      <c r="A159" s="555"/>
      <c r="B159" s="623"/>
      <c r="C159" s="607"/>
      <c r="D159" s="609"/>
      <c r="E159" s="608"/>
      <c r="F159" s="609"/>
      <c r="G159" s="609"/>
      <c r="H159" s="603"/>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8"/>
        <v>0</v>
      </c>
      <c r="AE159" s="629">
        <f t="shared" si="9"/>
        <v>0</v>
      </c>
      <c r="AF159" s="634">
        <f t="shared" si="10"/>
        <v>0</v>
      </c>
      <c r="AG159" s="43"/>
    </row>
    <row r="160" spans="1:33" hidden="1">
      <c r="A160" s="555"/>
      <c r="B160" s="623"/>
      <c r="C160" s="607"/>
      <c r="D160" s="609"/>
      <c r="E160" s="608"/>
      <c r="F160" s="609"/>
      <c r="G160" s="609"/>
      <c r="H160" s="603"/>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8"/>
        <v>0</v>
      </c>
      <c r="AE160" s="629">
        <f t="shared" si="9"/>
        <v>0</v>
      </c>
      <c r="AF160" s="634">
        <f t="shared" si="10"/>
        <v>0</v>
      </c>
      <c r="AG160" s="43"/>
    </row>
    <row r="161" spans="1:57" hidden="1">
      <c r="A161" s="555"/>
      <c r="B161" s="623"/>
      <c r="C161" s="607"/>
      <c r="D161" s="609"/>
      <c r="E161" s="608"/>
      <c r="F161" s="609"/>
      <c r="G161" s="609"/>
      <c r="H161" s="603"/>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8"/>
        <v>0</v>
      </c>
      <c r="AE161" s="629">
        <f t="shared" si="9"/>
        <v>0</v>
      </c>
      <c r="AF161" s="634">
        <f t="shared" si="10"/>
        <v>0</v>
      </c>
      <c r="AG161" s="43"/>
    </row>
    <row r="162" spans="1:57" hidden="1">
      <c r="A162" s="555"/>
      <c r="B162" s="623"/>
      <c r="C162" s="607"/>
      <c r="D162" s="609"/>
      <c r="E162" s="608"/>
      <c r="F162" s="609"/>
      <c r="G162" s="609"/>
      <c r="H162" s="603"/>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8"/>
        <v>0</v>
      </c>
      <c r="AE162" s="629">
        <f t="shared" si="9"/>
        <v>0</v>
      </c>
      <c r="AF162" s="634">
        <f t="shared" si="10"/>
        <v>0</v>
      </c>
      <c r="AG162" s="43"/>
    </row>
    <row r="163" spans="1:57" hidden="1">
      <c r="A163" s="555"/>
      <c r="B163" s="623"/>
      <c r="C163" s="607"/>
      <c r="D163" s="609"/>
      <c r="E163" s="608"/>
      <c r="F163" s="609"/>
      <c r="G163" s="609"/>
      <c r="H163" s="603"/>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8"/>
        <v>0</v>
      </c>
      <c r="AE163" s="629">
        <f t="shared" si="9"/>
        <v>0</v>
      </c>
      <c r="AF163" s="634">
        <f t="shared" si="10"/>
        <v>0</v>
      </c>
      <c r="AG163" s="43">
        <f t="shared" ref="AG163:AG168" si="11">IF(AF163=0,0,"ERROR HERE")</f>
        <v>0</v>
      </c>
      <c r="AH163" s="7">
        <f t="shared" ref="AH163:AQ168" si="12">IF(OR(ISERROR(+H163/($D163+$E163-$G163)*$G163+H163),LEFT(F163,1)="x"),0,+H163/($D163+$E163-$G163)*$G163+H163)</f>
        <v>0</v>
      </c>
      <c r="AI163" s="7">
        <f t="shared" si="12"/>
        <v>0</v>
      </c>
      <c r="AJ163" s="7">
        <f t="shared" si="12"/>
        <v>0</v>
      </c>
      <c r="AK163" s="7">
        <f t="shared" si="12"/>
        <v>0</v>
      </c>
      <c r="AL163" s="7">
        <f t="shared" si="12"/>
        <v>0</v>
      </c>
      <c r="AM163" s="7">
        <f t="shared" si="12"/>
        <v>0</v>
      </c>
      <c r="AN163" s="7">
        <f t="shared" si="12"/>
        <v>0</v>
      </c>
      <c r="AO163" s="7">
        <f t="shared" si="12"/>
        <v>0</v>
      </c>
      <c r="AP163" s="7">
        <f t="shared" si="12"/>
        <v>0</v>
      </c>
      <c r="AQ163" s="7">
        <f t="shared" si="12"/>
        <v>0</v>
      </c>
      <c r="AR163" s="7">
        <f t="shared" ref="AR163:BA168" si="13">IF(OR(ISERROR(+R163/($D163+$E163-$G163)*$G163+R163),LEFT(P163,1)="x"),0,+R163/($D163+$E163-$G163)*$G163+R163)</f>
        <v>0</v>
      </c>
      <c r="AS163" s="7">
        <f t="shared" si="13"/>
        <v>0</v>
      </c>
      <c r="AT163" s="7">
        <f t="shared" si="13"/>
        <v>0</v>
      </c>
      <c r="AU163" s="7">
        <f t="shared" si="13"/>
        <v>0</v>
      </c>
      <c r="AV163" s="7">
        <f t="shared" si="13"/>
        <v>0</v>
      </c>
      <c r="AW163" s="7">
        <f t="shared" si="13"/>
        <v>0</v>
      </c>
      <c r="AX163" s="7">
        <f t="shared" si="13"/>
        <v>0</v>
      </c>
      <c r="AY163" s="7">
        <f t="shared" si="13"/>
        <v>0</v>
      </c>
      <c r="AZ163" s="7">
        <f t="shared" si="13"/>
        <v>0</v>
      </c>
      <c r="BA163" s="7">
        <f t="shared" si="13"/>
        <v>0</v>
      </c>
      <c r="BB163" s="7">
        <f t="shared" ref="BB163:BB168" si="14">IF(OR(ISERROR(+AB163/($D163+$E163-$G163)*$G163+AB163),LEFT(Z163,1)="x"),0,+AB163/($D163+$E163-$G163)*$G163+AB163)</f>
        <v>0</v>
      </c>
      <c r="BC163" s="7">
        <f>IF(OR(ISERROR(+#REF!/($D163+$E163-$G163)*$G163+#REF!),LEFT(AA163,1)="x"),0,+#REF!/($D163+$E163-$G163)*$G163+#REF!)</f>
        <v>0</v>
      </c>
      <c r="BD163" s="7">
        <f>IF(OR(ISERROR(+#REF!/($D163+$E163-$G163)*$G163+#REF!),LEFT(AB163,1)="x"),0,+#REF!/($D163+$E163-$G163)*$G163+#REF!)</f>
        <v>0</v>
      </c>
      <c r="BE163" s="7" t="e">
        <f>IF(OR(ISERROR(+AC163/($D163+$E163-$G163)*$G163+AC163),LEFT(#REF!,1)="x"),0,+AC163/($D163+$E163-$G163)*$G163+AC163)</f>
        <v>#REF!</v>
      </c>
    </row>
    <row r="164" spans="1:57" hidden="1">
      <c r="A164" s="555"/>
      <c r="B164" s="623"/>
      <c r="C164" s="607"/>
      <c r="D164" s="609"/>
      <c r="E164" s="608"/>
      <c r="F164" s="609"/>
      <c r="G164" s="609"/>
      <c r="H164" s="603"/>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8"/>
        <v>0</v>
      </c>
      <c r="AE164" s="629">
        <f t="shared" si="9"/>
        <v>0</v>
      </c>
      <c r="AF164" s="634">
        <f t="shared" si="10"/>
        <v>0</v>
      </c>
      <c r="AG164" s="43">
        <f t="shared" si="11"/>
        <v>0</v>
      </c>
      <c r="AH164" s="7">
        <f t="shared" si="12"/>
        <v>0</v>
      </c>
      <c r="AI164" s="7">
        <f t="shared" si="12"/>
        <v>0</v>
      </c>
      <c r="AJ164" s="7">
        <f t="shared" si="12"/>
        <v>0</v>
      </c>
      <c r="AK164" s="7">
        <f t="shared" si="12"/>
        <v>0</v>
      </c>
      <c r="AL164" s="7">
        <f t="shared" si="12"/>
        <v>0</v>
      </c>
      <c r="AM164" s="7">
        <f t="shared" si="12"/>
        <v>0</v>
      </c>
      <c r="AN164" s="7">
        <f t="shared" si="12"/>
        <v>0</v>
      </c>
      <c r="AO164" s="7">
        <f t="shared" si="12"/>
        <v>0</v>
      </c>
      <c r="AP164" s="7">
        <f t="shared" si="12"/>
        <v>0</v>
      </c>
      <c r="AQ164" s="7">
        <f t="shared" si="12"/>
        <v>0</v>
      </c>
      <c r="AR164" s="7">
        <f t="shared" si="13"/>
        <v>0</v>
      </c>
      <c r="AS164" s="7">
        <f t="shared" si="13"/>
        <v>0</v>
      </c>
      <c r="AT164" s="7">
        <f t="shared" si="13"/>
        <v>0</v>
      </c>
      <c r="AU164" s="7">
        <f t="shared" si="13"/>
        <v>0</v>
      </c>
      <c r="AV164" s="7">
        <f t="shared" si="13"/>
        <v>0</v>
      </c>
      <c r="AW164" s="7">
        <f t="shared" si="13"/>
        <v>0</v>
      </c>
      <c r="AX164" s="7">
        <f t="shared" si="13"/>
        <v>0</v>
      </c>
      <c r="AY164" s="7">
        <f t="shared" si="13"/>
        <v>0</v>
      </c>
      <c r="AZ164" s="7">
        <f t="shared" si="13"/>
        <v>0</v>
      </c>
      <c r="BA164" s="7">
        <f t="shared" si="13"/>
        <v>0</v>
      </c>
      <c r="BB164" s="7">
        <f t="shared" si="14"/>
        <v>0</v>
      </c>
      <c r="BC164" s="7">
        <f>IF(OR(ISERROR(+#REF!/($D164+$E164-$G164)*$G164+#REF!),LEFT(AA164,1)="x"),0,+#REF!/($D164+$E164-$G164)*$G164+#REF!)</f>
        <v>0</v>
      </c>
      <c r="BD164" s="7">
        <f>IF(OR(ISERROR(+#REF!/($D164+$E164-$G164)*$G164+#REF!),LEFT(AB164,1)="x"),0,+#REF!/($D164+$E164-$G164)*$G164+#REF!)</f>
        <v>0</v>
      </c>
      <c r="BE164" s="7" t="e">
        <f>IF(OR(ISERROR(+AC164/($D164+$E164-$G164)*$G164+AC164),LEFT(#REF!,1)="x"),0,+AC164/($D164+$E164-$G164)*$G164+AC164)</f>
        <v>#REF!</v>
      </c>
    </row>
    <row r="165" spans="1:57" hidden="1">
      <c r="A165" s="555"/>
      <c r="B165" s="623"/>
      <c r="C165" s="607"/>
      <c r="D165" s="609"/>
      <c r="E165" s="608"/>
      <c r="F165" s="609"/>
      <c r="G165" s="609"/>
      <c r="H165" s="603"/>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8"/>
        <v>0</v>
      </c>
      <c r="AE165" s="629">
        <f t="shared" si="9"/>
        <v>0</v>
      </c>
      <c r="AF165" s="634">
        <f t="shared" si="10"/>
        <v>0</v>
      </c>
      <c r="AG165" s="43">
        <f t="shared" si="11"/>
        <v>0</v>
      </c>
      <c r="AH165" s="7">
        <f t="shared" si="12"/>
        <v>0</v>
      </c>
      <c r="AI165" s="7">
        <f t="shared" si="12"/>
        <v>0</v>
      </c>
      <c r="AJ165" s="7">
        <f t="shared" si="12"/>
        <v>0</v>
      </c>
      <c r="AK165" s="7">
        <f t="shared" si="12"/>
        <v>0</v>
      </c>
      <c r="AL165" s="7">
        <f t="shared" si="12"/>
        <v>0</v>
      </c>
      <c r="AM165" s="7">
        <f t="shared" si="12"/>
        <v>0</v>
      </c>
      <c r="AN165" s="7">
        <f t="shared" si="12"/>
        <v>0</v>
      </c>
      <c r="AO165" s="7">
        <f t="shared" si="12"/>
        <v>0</v>
      </c>
      <c r="AP165" s="7">
        <f t="shared" si="12"/>
        <v>0</v>
      </c>
      <c r="AQ165" s="7">
        <f t="shared" si="12"/>
        <v>0</v>
      </c>
      <c r="AR165" s="7">
        <f t="shared" si="13"/>
        <v>0</v>
      </c>
      <c r="AS165" s="7">
        <f t="shared" si="13"/>
        <v>0</v>
      </c>
      <c r="AT165" s="7">
        <f t="shared" si="13"/>
        <v>0</v>
      </c>
      <c r="AU165" s="7">
        <f t="shared" si="13"/>
        <v>0</v>
      </c>
      <c r="AV165" s="7">
        <f t="shared" si="13"/>
        <v>0</v>
      </c>
      <c r="AW165" s="7">
        <f t="shared" si="13"/>
        <v>0</v>
      </c>
      <c r="AX165" s="7">
        <f t="shared" si="13"/>
        <v>0</v>
      </c>
      <c r="AY165" s="7">
        <f t="shared" si="13"/>
        <v>0</v>
      </c>
      <c r="AZ165" s="7">
        <f t="shared" si="13"/>
        <v>0</v>
      </c>
      <c r="BA165" s="7">
        <f t="shared" si="13"/>
        <v>0</v>
      </c>
      <c r="BB165" s="7">
        <f t="shared" si="14"/>
        <v>0</v>
      </c>
      <c r="BC165" s="7">
        <f>IF(OR(ISERROR(+#REF!/($D165+$E165-$G165)*$G165+#REF!),LEFT(AA165,1)="x"),0,+#REF!/($D165+$E165-$G165)*$G165+#REF!)</f>
        <v>0</v>
      </c>
      <c r="BD165" s="7">
        <f>IF(OR(ISERROR(+#REF!/($D165+$E165-$G165)*$G165+#REF!),LEFT(AB165,1)="x"),0,+#REF!/($D165+$E165-$G165)*$G165+#REF!)</f>
        <v>0</v>
      </c>
      <c r="BE165" s="7" t="e">
        <f>IF(OR(ISERROR(+AC165/($D165+$E165-$G165)*$G165+AC165),LEFT(#REF!,1)="x"),0,+AC165/($D165+$E165-$G165)*$G165+AC165)</f>
        <v>#REF!</v>
      </c>
    </row>
    <row r="166" spans="1:57" hidden="1">
      <c r="A166" s="555"/>
      <c r="B166" s="623"/>
      <c r="C166" s="607"/>
      <c r="D166" s="609"/>
      <c r="E166" s="608"/>
      <c r="F166" s="609"/>
      <c r="G166" s="609"/>
      <c r="H166" s="603"/>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8"/>
        <v>0</v>
      </c>
      <c r="AE166" s="629">
        <f t="shared" si="9"/>
        <v>0</v>
      </c>
      <c r="AF166" s="634">
        <f t="shared" si="10"/>
        <v>0</v>
      </c>
      <c r="AG166" s="43">
        <f t="shared" si="11"/>
        <v>0</v>
      </c>
      <c r="AH166" s="7">
        <f t="shared" si="12"/>
        <v>0</v>
      </c>
      <c r="AI166" s="7">
        <f t="shared" si="12"/>
        <v>0</v>
      </c>
      <c r="AJ166" s="7">
        <f t="shared" si="12"/>
        <v>0</v>
      </c>
      <c r="AK166" s="7">
        <f t="shared" si="12"/>
        <v>0</v>
      </c>
      <c r="AL166" s="7">
        <f t="shared" si="12"/>
        <v>0</v>
      </c>
      <c r="AM166" s="7">
        <f t="shared" si="12"/>
        <v>0</v>
      </c>
      <c r="AN166" s="7">
        <f t="shared" si="12"/>
        <v>0</v>
      </c>
      <c r="AO166" s="7">
        <f t="shared" si="12"/>
        <v>0</v>
      </c>
      <c r="AP166" s="7">
        <f t="shared" si="12"/>
        <v>0</v>
      </c>
      <c r="AQ166" s="7">
        <f t="shared" si="12"/>
        <v>0</v>
      </c>
      <c r="AR166" s="7">
        <f t="shared" si="13"/>
        <v>0</v>
      </c>
      <c r="AS166" s="7">
        <f t="shared" si="13"/>
        <v>0</v>
      </c>
      <c r="AT166" s="7">
        <f t="shared" si="13"/>
        <v>0</v>
      </c>
      <c r="AU166" s="7">
        <f t="shared" si="13"/>
        <v>0</v>
      </c>
      <c r="AV166" s="7">
        <f t="shared" si="13"/>
        <v>0</v>
      </c>
      <c r="AW166" s="7">
        <f t="shared" si="13"/>
        <v>0</v>
      </c>
      <c r="AX166" s="7">
        <f t="shared" si="13"/>
        <v>0</v>
      </c>
      <c r="AY166" s="7">
        <f t="shared" si="13"/>
        <v>0</v>
      </c>
      <c r="AZ166" s="7">
        <f t="shared" si="13"/>
        <v>0</v>
      </c>
      <c r="BA166" s="7">
        <f t="shared" si="13"/>
        <v>0</v>
      </c>
      <c r="BB166" s="7">
        <f t="shared" si="14"/>
        <v>0</v>
      </c>
      <c r="BC166" s="7">
        <f>IF(OR(ISERROR(+#REF!/($D166+$E166-$G166)*$G166+#REF!),LEFT(AA166,1)="x"),0,+#REF!/($D166+$E166-$G166)*$G166+#REF!)</f>
        <v>0</v>
      </c>
      <c r="BD166" s="7">
        <f>IF(OR(ISERROR(+#REF!/($D166+$E166-$G166)*$G166+#REF!),LEFT(AB166,1)="x"),0,+#REF!/($D166+$E166-$G166)*$G166+#REF!)</f>
        <v>0</v>
      </c>
      <c r="BE166" s="7" t="e">
        <f>IF(OR(ISERROR(+AC166/($D166+$E166-$G166)*$G166+AC166),LEFT(#REF!,1)="x"),0,+AC166/($D166+$E166-$G166)*$G166+AC166)</f>
        <v>#REF!</v>
      </c>
    </row>
    <row r="167" spans="1:57" hidden="1">
      <c r="A167" s="555"/>
      <c r="B167" s="623"/>
      <c r="C167" s="607"/>
      <c r="D167" s="609"/>
      <c r="E167" s="608"/>
      <c r="F167" s="609"/>
      <c r="G167" s="609"/>
      <c r="H167" s="603"/>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8"/>
        <v>0</v>
      </c>
      <c r="AE167" s="629">
        <f t="shared" si="9"/>
        <v>0</v>
      </c>
      <c r="AF167" s="634">
        <f t="shared" si="10"/>
        <v>0</v>
      </c>
      <c r="AG167" s="43">
        <f t="shared" si="11"/>
        <v>0</v>
      </c>
      <c r="AH167" s="7">
        <f t="shared" si="12"/>
        <v>0</v>
      </c>
      <c r="AI167" s="7">
        <f t="shared" si="12"/>
        <v>0</v>
      </c>
      <c r="AJ167" s="7">
        <f t="shared" si="12"/>
        <v>0</v>
      </c>
      <c r="AK167" s="7">
        <f t="shared" si="12"/>
        <v>0</v>
      </c>
      <c r="AL167" s="7">
        <f t="shared" si="12"/>
        <v>0</v>
      </c>
      <c r="AM167" s="7">
        <f t="shared" si="12"/>
        <v>0</v>
      </c>
      <c r="AN167" s="7">
        <f t="shared" si="12"/>
        <v>0</v>
      </c>
      <c r="AO167" s="7">
        <f t="shared" si="12"/>
        <v>0</v>
      </c>
      <c r="AP167" s="7">
        <f t="shared" si="12"/>
        <v>0</v>
      </c>
      <c r="AQ167" s="7">
        <f t="shared" si="12"/>
        <v>0</v>
      </c>
      <c r="AR167" s="7">
        <f t="shared" si="13"/>
        <v>0</v>
      </c>
      <c r="AS167" s="7">
        <f t="shared" si="13"/>
        <v>0</v>
      </c>
      <c r="AT167" s="7">
        <f t="shared" si="13"/>
        <v>0</v>
      </c>
      <c r="AU167" s="7">
        <f t="shared" si="13"/>
        <v>0</v>
      </c>
      <c r="AV167" s="7">
        <f t="shared" si="13"/>
        <v>0</v>
      </c>
      <c r="AW167" s="7">
        <f t="shared" si="13"/>
        <v>0</v>
      </c>
      <c r="AX167" s="7">
        <f t="shared" si="13"/>
        <v>0</v>
      </c>
      <c r="AY167" s="7">
        <f t="shared" si="13"/>
        <v>0</v>
      </c>
      <c r="AZ167" s="7">
        <f t="shared" si="13"/>
        <v>0</v>
      </c>
      <c r="BA167" s="7">
        <f t="shared" si="13"/>
        <v>0</v>
      </c>
      <c r="BB167" s="7">
        <f t="shared" si="14"/>
        <v>0</v>
      </c>
      <c r="BC167" s="7">
        <f>IF(OR(ISERROR(+#REF!/($D167+$E167-$G167)*$G167+#REF!),LEFT(AA167,1)="x"),0,+#REF!/($D167+$E167-$G167)*$G167+#REF!)</f>
        <v>0</v>
      </c>
      <c r="BD167" s="7">
        <f>IF(OR(ISERROR(+#REF!/($D167+$E167-$G167)*$G167+#REF!),LEFT(AB167,1)="x"),0,+#REF!/($D167+$E167-$G167)*$G167+#REF!)</f>
        <v>0</v>
      </c>
      <c r="BE167" s="7" t="e">
        <f>IF(OR(ISERROR(+AC167/($D167+$E167-$G167)*$G167+AC167),LEFT(#REF!,1)="x"),0,+AC167/($D167+$E167-$G167)*$G167+AC167)</f>
        <v>#REF!</v>
      </c>
    </row>
    <row r="168" spans="1:57" hidden="1">
      <c r="A168" s="555"/>
      <c r="B168" s="623"/>
      <c r="C168" s="607"/>
      <c r="D168" s="609"/>
      <c r="E168" s="608"/>
      <c r="F168" s="609"/>
      <c r="G168" s="609"/>
      <c r="H168" s="603"/>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8"/>
        <v>0</v>
      </c>
      <c r="AE168" s="629">
        <f t="shared" si="9"/>
        <v>0</v>
      </c>
      <c r="AF168" s="634">
        <f t="shared" si="10"/>
        <v>0</v>
      </c>
      <c r="AG168" s="43">
        <f t="shared" si="11"/>
        <v>0</v>
      </c>
      <c r="AH168" s="7">
        <f t="shared" si="12"/>
        <v>0</v>
      </c>
      <c r="AI168" s="7">
        <f t="shared" si="12"/>
        <v>0</v>
      </c>
      <c r="AJ168" s="7">
        <f t="shared" si="12"/>
        <v>0</v>
      </c>
      <c r="AK168" s="7">
        <f t="shared" si="12"/>
        <v>0</v>
      </c>
      <c r="AL168" s="7">
        <f t="shared" si="12"/>
        <v>0</v>
      </c>
      <c r="AM168" s="7">
        <f t="shared" si="12"/>
        <v>0</v>
      </c>
      <c r="AN168" s="7">
        <f t="shared" si="12"/>
        <v>0</v>
      </c>
      <c r="AO168" s="7">
        <f t="shared" si="12"/>
        <v>0</v>
      </c>
      <c r="AP168" s="7">
        <f t="shared" si="12"/>
        <v>0</v>
      </c>
      <c r="AQ168" s="7">
        <f t="shared" si="12"/>
        <v>0</v>
      </c>
      <c r="AR168" s="7">
        <f t="shared" si="13"/>
        <v>0</v>
      </c>
      <c r="AS168" s="7">
        <f t="shared" si="13"/>
        <v>0</v>
      </c>
      <c r="AT168" s="7">
        <f t="shared" si="13"/>
        <v>0</v>
      </c>
      <c r="AU168" s="7">
        <f t="shared" si="13"/>
        <v>0</v>
      </c>
      <c r="AV168" s="7">
        <f t="shared" si="13"/>
        <v>0</v>
      </c>
      <c r="AW168" s="7">
        <f t="shared" si="13"/>
        <v>0</v>
      </c>
      <c r="AX168" s="7">
        <f t="shared" si="13"/>
        <v>0</v>
      </c>
      <c r="AY168" s="7">
        <f t="shared" si="13"/>
        <v>0</v>
      </c>
      <c r="AZ168" s="7">
        <f t="shared" si="13"/>
        <v>0</v>
      </c>
      <c r="BA168" s="7">
        <f t="shared" si="13"/>
        <v>0</v>
      </c>
      <c r="BB168" s="7">
        <f t="shared" si="14"/>
        <v>0</v>
      </c>
      <c r="BC168" s="7">
        <f>IF(OR(ISERROR(+#REF!/($D168+$E168-$G168)*$G168+#REF!),LEFT(AA168,1)="x"),0,+#REF!/($D168+$E168-$G168)*$G168+#REF!)</f>
        <v>0</v>
      </c>
      <c r="BD168" s="7">
        <f>IF(OR(ISERROR(+#REF!/($D168+$E168-$G168)*$G168+#REF!),LEFT(AB168,1)="x"),0,+#REF!/($D168+$E168-$G168)*$G168+#REF!)</f>
        <v>0</v>
      </c>
      <c r="BE168" s="7" t="e">
        <f>IF(OR(ISERROR(+AC168/($D168+$E168-$G168)*$G168+AC168),LEFT(#REF!,1)="x"),0,+AC168/($D168+$E168-$G168)*$G168+AC168)</f>
        <v>#REF!</v>
      </c>
    </row>
    <row r="169" spans="1:57" hidden="1">
      <c r="A169" s="555"/>
      <c r="B169" s="623"/>
      <c r="C169" s="607"/>
      <c r="D169" s="609"/>
      <c r="E169" s="608"/>
      <c r="F169" s="609"/>
      <c r="G169" s="609"/>
      <c r="H169" s="603"/>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8"/>
        <v>0</v>
      </c>
      <c r="AE169" s="629">
        <f t="shared" si="9"/>
        <v>0</v>
      </c>
      <c r="AF169" s="634">
        <f t="shared" si="10"/>
        <v>0</v>
      </c>
      <c r="AG169" s="43"/>
    </row>
    <row r="170" spans="1:57" hidden="1">
      <c r="A170" s="555"/>
      <c r="B170" s="623"/>
      <c r="C170" s="607"/>
      <c r="D170" s="609"/>
      <c r="E170" s="608"/>
      <c r="F170" s="609"/>
      <c r="G170" s="609"/>
      <c r="H170" s="603"/>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8"/>
        <v>0</v>
      </c>
      <c r="AE170" s="629">
        <f t="shared" si="9"/>
        <v>0</v>
      </c>
      <c r="AF170" s="634">
        <f t="shared" si="10"/>
        <v>0</v>
      </c>
      <c r="AG170" s="43"/>
    </row>
    <row r="171" spans="1:57" hidden="1">
      <c r="A171" s="555"/>
      <c r="B171" s="623"/>
      <c r="C171" s="607"/>
      <c r="D171" s="609"/>
      <c r="E171" s="608"/>
      <c r="F171" s="609"/>
      <c r="G171" s="609"/>
      <c r="H171" s="603"/>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8"/>
        <v>0</v>
      </c>
      <c r="AE171" s="629">
        <f t="shared" si="9"/>
        <v>0</v>
      </c>
      <c r="AF171" s="634">
        <f t="shared" si="10"/>
        <v>0</v>
      </c>
      <c r="AG171" s="43"/>
    </row>
    <row r="172" spans="1:57" hidden="1">
      <c r="A172" s="555"/>
      <c r="B172" s="623"/>
      <c r="C172" s="607"/>
      <c r="D172" s="609"/>
      <c r="E172" s="608"/>
      <c r="F172" s="609"/>
      <c r="G172" s="609"/>
      <c r="H172" s="603"/>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8"/>
        <v>0</v>
      </c>
      <c r="AE172" s="629">
        <f t="shared" si="9"/>
        <v>0</v>
      </c>
      <c r="AF172" s="634">
        <f t="shared" si="10"/>
        <v>0</v>
      </c>
      <c r="AG172" s="43"/>
    </row>
    <row r="173" spans="1:57" hidden="1">
      <c r="A173" s="555"/>
      <c r="B173" s="623"/>
      <c r="C173" s="607"/>
      <c r="D173" s="609"/>
      <c r="E173" s="608"/>
      <c r="F173" s="609"/>
      <c r="G173" s="609"/>
      <c r="H173" s="603"/>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8"/>
        <v>0</v>
      </c>
      <c r="AE173" s="629">
        <f t="shared" si="9"/>
        <v>0</v>
      </c>
      <c r="AF173" s="634">
        <f t="shared" si="10"/>
        <v>0</v>
      </c>
      <c r="AG173" s="43"/>
    </row>
    <row r="174" spans="1:57" hidden="1">
      <c r="A174" s="555"/>
      <c r="B174" s="623"/>
      <c r="C174" s="607"/>
      <c r="D174" s="609"/>
      <c r="E174" s="608"/>
      <c r="F174" s="609"/>
      <c r="G174" s="609"/>
      <c r="H174" s="603"/>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8"/>
        <v>0</v>
      </c>
      <c r="AE174" s="629">
        <f t="shared" si="9"/>
        <v>0</v>
      </c>
      <c r="AF174" s="634">
        <f t="shared" si="10"/>
        <v>0</v>
      </c>
      <c r="AG174" s="43"/>
    </row>
    <row r="175" spans="1:57" hidden="1">
      <c r="A175" s="555"/>
      <c r="B175" s="623"/>
      <c r="C175" s="607"/>
      <c r="D175" s="609"/>
      <c r="E175" s="608"/>
      <c r="F175" s="609"/>
      <c r="G175" s="609"/>
      <c r="H175" s="603"/>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8"/>
        <v>0</v>
      </c>
      <c r="AE175" s="629">
        <f t="shared" si="9"/>
        <v>0</v>
      </c>
      <c r="AF175" s="634">
        <f t="shared" si="10"/>
        <v>0</v>
      </c>
      <c r="AG175" s="43"/>
    </row>
    <row r="176" spans="1:57" hidden="1">
      <c r="A176" s="555"/>
      <c r="B176" s="623"/>
      <c r="C176" s="607"/>
      <c r="D176" s="609"/>
      <c r="E176" s="608"/>
      <c r="F176" s="609"/>
      <c r="G176" s="609"/>
      <c r="H176" s="603"/>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8"/>
        <v>0</v>
      </c>
      <c r="AE176" s="629">
        <f t="shared" si="9"/>
        <v>0</v>
      </c>
      <c r="AF176" s="634">
        <f t="shared" si="10"/>
        <v>0</v>
      </c>
      <c r="AG176" s="43"/>
    </row>
    <row r="177" spans="1:57" hidden="1">
      <c r="A177" s="555"/>
      <c r="B177" s="623"/>
      <c r="C177" s="607"/>
      <c r="D177" s="609"/>
      <c r="E177" s="608"/>
      <c r="F177" s="609"/>
      <c r="G177" s="609"/>
      <c r="H177" s="603"/>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8"/>
        <v>0</v>
      </c>
      <c r="AE177" s="629">
        <f t="shared" si="9"/>
        <v>0</v>
      </c>
      <c r="AF177" s="634">
        <f t="shared" si="10"/>
        <v>0</v>
      </c>
      <c r="AG177" s="43"/>
    </row>
    <row r="178" spans="1:57" hidden="1">
      <c r="A178" s="555"/>
      <c r="B178" s="623"/>
      <c r="C178" s="607"/>
      <c r="D178" s="609"/>
      <c r="E178" s="608"/>
      <c r="F178" s="609"/>
      <c r="G178" s="609"/>
      <c r="H178" s="603"/>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8"/>
        <v>0</v>
      </c>
      <c r="AE178" s="629">
        <f t="shared" si="9"/>
        <v>0</v>
      </c>
      <c r="AF178" s="634">
        <f t="shared" si="10"/>
        <v>0</v>
      </c>
      <c r="AG178" s="43"/>
    </row>
    <row r="179" spans="1:57" hidden="1">
      <c r="A179" s="555"/>
      <c r="B179" s="623"/>
      <c r="C179" s="607"/>
      <c r="D179" s="609"/>
      <c r="E179" s="608"/>
      <c r="F179" s="609"/>
      <c r="G179" s="609"/>
      <c r="H179" s="603"/>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8"/>
        <v>0</v>
      </c>
      <c r="AE179" s="629">
        <f t="shared" si="9"/>
        <v>0</v>
      </c>
      <c r="AF179" s="634">
        <f t="shared" si="10"/>
        <v>0</v>
      </c>
      <c r="AG179" s="43"/>
    </row>
    <row r="180" spans="1:57" hidden="1">
      <c r="A180" s="555"/>
      <c r="B180" s="623"/>
      <c r="C180" s="607"/>
      <c r="D180" s="609"/>
      <c r="E180" s="608"/>
      <c r="F180" s="609"/>
      <c r="G180" s="609"/>
      <c r="H180" s="603"/>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8"/>
        <v>0</v>
      </c>
      <c r="AE180" s="629">
        <f t="shared" si="9"/>
        <v>0</v>
      </c>
      <c r="AF180" s="634">
        <f t="shared" si="10"/>
        <v>0</v>
      </c>
      <c r="AG180" s="43"/>
    </row>
    <row r="181" spans="1:57" hidden="1">
      <c r="A181" s="555"/>
      <c r="B181" s="623"/>
      <c r="C181" s="607"/>
      <c r="D181" s="609"/>
      <c r="E181" s="608"/>
      <c r="F181" s="609"/>
      <c r="G181" s="609"/>
      <c r="H181" s="603"/>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8"/>
        <v>0</v>
      </c>
      <c r="AE181" s="629">
        <f t="shared" si="9"/>
        <v>0</v>
      </c>
      <c r="AF181" s="634">
        <f t="shared" si="10"/>
        <v>0</v>
      </c>
      <c r="AG181" s="43"/>
    </row>
    <row r="182" spans="1:57" hidden="1">
      <c r="A182" s="555"/>
      <c r="B182" s="623"/>
      <c r="C182" s="607"/>
      <c r="D182" s="609"/>
      <c r="E182" s="608"/>
      <c r="F182" s="609"/>
      <c r="G182" s="609"/>
      <c r="H182" s="603"/>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8"/>
        <v>0</v>
      </c>
      <c r="AE182" s="629">
        <f t="shared" si="9"/>
        <v>0</v>
      </c>
      <c r="AF182" s="634">
        <f t="shared" si="10"/>
        <v>0</v>
      </c>
      <c r="AG182" s="43"/>
    </row>
    <row r="183" spans="1:57" hidden="1">
      <c r="A183" s="555"/>
      <c r="B183" s="623"/>
      <c r="C183" s="607"/>
      <c r="D183" s="609"/>
      <c r="E183" s="608"/>
      <c r="F183" s="609"/>
      <c r="G183" s="609"/>
      <c r="H183" s="603"/>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8"/>
        <v>0</v>
      </c>
      <c r="AE183" s="629">
        <f t="shared" si="9"/>
        <v>0</v>
      </c>
      <c r="AF183" s="634">
        <f t="shared" si="10"/>
        <v>0</v>
      </c>
      <c r="AG183" s="43"/>
    </row>
    <row r="184" spans="1:57" hidden="1">
      <c r="A184" s="555"/>
      <c r="B184" s="623"/>
      <c r="C184" s="607"/>
      <c r="D184" s="609"/>
      <c r="E184" s="608"/>
      <c r="F184" s="609"/>
      <c r="G184" s="609"/>
      <c r="H184" s="603"/>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8"/>
        <v>0</v>
      </c>
      <c r="AE184" s="629">
        <f t="shared" si="9"/>
        <v>0</v>
      </c>
      <c r="AF184" s="634">
        <f t="shared" si="10"/>
        <v>0</v>
      </c>
      <c r="AG184" s="43"/>
    </row>
    <row r="185" spans="1:57" hidden="1">
      <c r="A185" s="555"/>
      <c r="B185" s="623"/>
      <c r="C185" s="607"/>
      <c r="D185" s="609"/>
      <c r="E185" s="608"/>
      <c r="F185" s="609"/>
      <c r="G185" s="609"/>
      <c r="H185" s="603"/>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8"/>
        <v>0</v>
      </c>
      <c r="AE185" s="629">
        <f t="shared" si="9"/>
        <v>0</v>
      </c>
      <c r="AF185" s="634">
        <f t="shared" si="10"/>
        <v>0</v>
      </c>
      <c r="AG185" s="43"/>
    </row>
    <row r="186" spans="1:57" hidden="1">
      <c r="A186" s="555"/>
      <c r="B186" s="623"/>
      <c r="C186" s="607"/>
      <c r="D186" s="609"/>
      <c r="E186" s="608"/>
      <c r="F186" s="609"/>
      <c r="G186" s="609"/>
      <c r="H186" s="603"/>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8"/>
        <v>0</v>
      </c>
      <c r="AE186" s="629">
        <f t="shared" si="9"/>
        <v>0</v>
      </c>
      <c r="AF186" s="634">
        <f t="shared" si="10"/>
        <v>0</v>
      </c>
      <c r="AG186" s="43"/>
    </row>
    <row r="187" spans="1:57" hidden="1">
      <c r="A187" s="555"/>
      <c r="B187" s="623"/>
      <c r="C187" s="607"/>
      <c r="D187" s="609"/>
      <c r="E187" s="608"/>
      <c r="F187" s="609"/>
      <c r="G187" s="609"/>
      <c r="H187" s="603"/>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8"/>
        <v>0</v>
      </c>
      <c r="AE187" s="629">
        <f t="shared" si="9"/>
        <v>0</v>
      </c>
      <c r="AF187" s="634">
        <f t="shared" si="10"/>
        <v>0</v>
      </c>
      <c r="AG187" s="43"/>
    </row>
    <row r="188" spans="1:57" hidden="1">
      <c r="A188" s="555"/>
      <c r="B188" s="623"/>
      <c r="C188" s="607"/>
      <c r="D188" s="609"/>
      <c r="E188" s="608"/>
      <c r="F188" s="609"/>
      <c r="G188" s="609"/>
      <c r="H188" s="603"/>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8"/>
        <v>0</v>
      </c>
      <c r="AE188" s="629">
        <f t="shared" si="9"/>
        <v>0</v>
      </c>
      <c r="AF188" s="634">
        <f t="shared" si="10"/>
        <v>0</v>
      </c>
      <c r="AG188" s="43">
        <f t="shared" ref="AG188:AG196" si="15">IF(AF188=0,0,"ERROR HERE")</f>
        <v>0</v>
      </c>
      <c r="AH188" s="7">
        <f t="shared" ref="AH188:AQ191" si="16">IF(OR(ISERROR(+H188/($D188+$E188-$G188)*$G188+H188),LEFT(F188,1)="x"),0,+H188/($D188+$E188-$G188)*$G188+H188)</f>
        <v>0</v>
      </c>
      <c r="AI188" s="7">
        <f t="shared" si="16"/>
        <v>0</v>
      </c>
      <c r="AJ188" s="7">
        <f t="shared" si="16"/>
        <v>0</v>
      </c>
      <c r="AK188" s="7">
        <f t="shared" si="16"/>
        <v>0</v>
      </c>
      <c r="AL188" s="7">
        <f t="shared" si="16"/>
        <v>0</v>
      </c>
      <c r="AM188" s="7">
        <f t="shared" si="16"/>
        <v>0</v>
      </c>
      <c r="AN188" s="7">
        <f t="shared" si="16"/>
        <v>0</v>
      </c>
      <c r="AO188" s="7">
        <f t="shared" si="16"/>
        <v>0</v>
      </c>
      <c r="AP188" s="7">
        <f t="shared" si="16"/>
        <v>0</v>
      </c>
      <c r="AQ188" s="7">
        <f t="shared" si="16"/>
        <v>0</v>
      </c>
      <c r="AR188" s="7">
        <f t="shared" ref="AR188:BA191" si="17">IF(OR(ISERROR(+R188/($D188+$E188-$G188)*$G188+R188),LEFT(P188,1)="x"),0,+R188/($D188+$E188-$G188)*$G188+R188)</f>
        <v>0</v>
      </c>
      <c r="AS188" s="7">
        <f t="shared" si="17"/>
        <v>0</v>
      </c>
      <c r="AT188" s="7">
        <f t="shared" si="17"/>
        <v>0</v>
      </c>
      <c r="AU188" s="7">
        <f t="shared" si="17"/>
        <v>0</v>
      </c>
      <c r="AV188" s="7">
        <f t="shared" si="17"/>
        <v>0</v>
      </c>
      <c r="AW188" s="7">
        <f t="shared" si="17"/>
        <v>0</v>
      </c>
      <c r="AX188" s="7">
        <f t="shared" si="17"/>
        <v>0</v>
      </c>
      <c r="AY188" s="7">
        <f t="shared" si="17"/>
        <v>0</v>
      </c>
      <c r="AZ188" s="7">
        <f t="shared" si="17"/>
        <v>0</v>
      </c>
      <c r="BA188" s="7">
        <f t="shared" si="17"/>
        <v>0</v>
      </c>
      <c r="BB188" s="7">
        <f>IF(OR(ISERROR(+AB188/($D188+$E188-$G188)*$G188+AB188),LEFT(Z188,1)="x"),0,+AB188/($D188+$E188-$G188)*$G188+AB188)</f>
        <v>0</v>
      </c>
      <c r="BC188" s="7">
        <f>IF(OR(ISERROR(+#REF!/($D188+$E188-$G188)*$G188+#REF!),LEFT(AA188,1)="x"),0,+#REF!/($D188+$E188-$G188)*$G188+#REF!)</f>
        <v>0</v>
      </c>
      <c r="BD188" s="7">
        <f>IF(OR(ISERROR(+#REF!/($D188+$E188-$G188)*$G188+#REF!),LEFT(AB188,1)="x"),0,+#REF!/($D188+$E188-$G188)*$G188+#REF!)</f>
        <v>0</v>
      </c>
      <c r="BE188" s="7" t="e">
        <f>IF(OR(ISERROR(+AC188/($D188+$E188-$G188)*$G188+AC188),LEFT(#REF!,1)="x"),0,+AC188/($D188+$E188-$G188)*$G188+AC188)</f>
        <v>#REF!</v>
      </c>
    </row>
    <row r="189" spans="1:57" hidden="1">
      <c r="A189" s="555"/>
      <c r="B189" s="623"/>
      <c r="C189" s="607"/>
      <c r="D189" s="609"/>
      <c r="E189" s="608"/>
      <c r="F189" s="609"/>
      <c r="G189" s="609"/>
      <c r="H189" s="603"/>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8"/>
        <v>0</v>
      </c>
      <c r="AE189" s="629">
        <f t="shared" si="9"/>
        <v>0</v>
      </c>
      <c r="AF189" s="634">
        <f t="shared" si="10"/>
        <v>0</v>
      </c>
      <c r="AG189" s="43">
        <f t="shared" si="15"/>
        <v>0</v>
      </c>
      <c r="AH189" s="7">
        <f t="shared" si="16"/>
        <v>0</v>
      </c>
      <c r="AI189" s="7">
        <f t="shared" si="16"/>
        <v>0</v>
      </c>
      <c r="AJ189" s="7">
        <f t="shared" si="16"/>
        <v>0</v>
      </c>
      <c r="AK189" s="7">
        <f t="shared" si="16"/>
        <v>0</v>
      </c>
      <c r="AL189" s="7">
        <f t="shared" si="16"/>
        <v>0</v>
      </c>
      <c r="AM189" s="7">
        <f t="shared" si="16"/>
        <v>0</v>
      </c>
      <c r="AN189" s="7">
        <f t="shared" si="16"/>
        <v>0</v>
      </c>
      <c r="AO189" s="7">
        <f t="shared" si="16"/>
        <v>0</v>
      </c>
      <c r="AP189" s="7">
        <f t="shared" si="16"/>
        <v>0</v>
      </c>
      <c r="AQ189" s="7">
        <f t="shared" si="16"/>
        <v>0</v>
      </c>
      <c r="AR189" s="7">
        <f t="shared" si="17"/>
        <v>0</v>
      </c>
      <c r="AS189" s="7">
        <f t="shared" si="17"/>
        <v>0</v>
      </c>
      <c r="AT189" s="7">
        <f t="shared" si="17"/>
        <v>0</v>
      </c>
      <c r="AU189" s="7">
        <f t="shared" si="17"/>
        <v>0</v>
      </c>
      <c r="AV189" s="7">
        <f t="shared" si="17"/>
        <v>0</v>
      </c>
      <c r="AW189" s="7">
        <f t="shared" si="17"/>
        <v>0</v>
      </c>
      <c r="AX189" s="7">
        <f t="shared" si="17"/>
        <v>0</v>
      </c>
      <c r="AY189" s="7">
        <f t="shared" si="17"/>
        <v>0</v>
      </c>
      <c r="AZ189" s="7">
        <f t="shared" si="17"/>
        <v>0</v>
      </c>
      <c r="BA189" s="7">
        <f t="shared" si="17"/>
        <v>0</v>
      </c>
      <c r="BB189" s="7">
        <f>IF(OR(ISERROR(+AB189/($D189+$E189-$G189)*$G189+AB189),LEFT(Z189,1)="x"),0,+AB189/($D189+$E189-$G189)*$G189+AB189)</f>
        <v>0</v>
      </c>
      <c r="BC189" s="7">
        <f>IF(OR(ISERROR(+#REF!/($D189+$E189-$G189)*$G189+#REF!),LEFT(AA189,1)="x"),0,+#REF!/($D189+$E189-$G189)*$G189+#REF!)</f>
        <v>0</v>
      </c>
      <c r="BD189" s="7">
        <f>IF(OR(ISERROR(+#REF!/($D189+$E189-$G189)*$G189+#REF!),LEFT(AB189,1)="x"),0,+#REF!/($D189+$E189-$G189)*$G189+#REF!)</f>
        <v>0</v>
      </c>
      <c r="BE189" s="7" t="e">
        <f>IF(OR(ISERROR(+AC189/($D189+$E189-$G189)*$G189+AC189),LEFT(#REF!,1)="x"),0,+AC189/($D189+$E189-$G189)*$G189+AC189)</f>
        <v>#REF!</v>
      </c>
    </row>
    <row r="190" spans="1:57" hidden="1">
      <c r="A190" s="555"/>
      <c r="B190" s="623"/>
      <c r="C190" s="607"/>
      <c r="D190" s="609"/>
      <c r="E190" s="608"/>
      <c r="F190" s="609"/>
      <c r="G190" s="609"/>
      <c r="H190" s="603"/>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8"/>
        <v>0</v>
      </c>
      <c r="AE190" s="629">
        <f t="shared" si="9"/>
        <v>0</v>
      </c>
      <c r="AF190" s="634">
        <f t="shared" si="10"/>
        <v>0</v>
      </c>
      <c r="AG190" s="43">
        <f t="shared" si="15"/>
        <v>0</v>
      </c>
      <c r="AH190" s="7">
        <f t="shared" si="16"/>
        <v>0</v>
      </c>
      <c r="AI190" s="7">
        <f t="shared" si="16"/>
        <v>0</v>
      </c>
      <c r="AJ190" s="7">
        <f t="shared" si="16"/>
        <v>0</v>
      </c>
      <c r="AK190" s="7">
        <f t="shared" si="16"/>
        <v>0</v>
      </c>
      <c r="AL190" s="7">
        <f t="shared" si="16"/>
        <v>0</v>
      </c>
      <c r="AM190" s="7">
        <f t="shared" si="16"/>
        <v>0</v>
      </c>
      <c r="AN190" s="7">
        <f t="shared" si="16"/>
        <v>0</v>
      </c>
      <c r="AO190" s="7">
        <f t="shared" si="16"/>
        <v>0</v>
      </c>
      <c r="AP190" s="7">
        <f t="shared" si="16"/>
        <v>0</v>
      </c>
      <c r="AQ190" s="7">
        <f t="shared" si="16"/>
        <v>0</v>
      </c>
      <c r="AR190" s="7">
        <f t="shared" si="17"/>
        <v>0</v>
      </c>
      <c r="AS190" s="7">
        <f t="shared" si="17"/>
        <v>0</v>
      </c>
      <c r="AT190" s="7">
        <f t="shared" si="17"/>
        <v>0</v>
      </c>
      <c r="AU190" s="7">
        <f t="shared" si="17"/>
        <v>0</v>
      </c>
      <c r="AV190" s="7">
        <f t="shared" si="17"/>
        <v>0</v>
      </c>
      <c r="AW190" s="7">
        <f t="shared" si="17"/>
        <v>0</v>
      </c>
      <c r="AX190" s="7">
        <f t="shared" si="17"/>
        <v>0</v>
      </c>
      <c r="AY190" s="7">
        <f t="shared" si="17"/>
        <v>0</v>
      </c>
      <c r="AZ190" s="7">
        <f t="shared" si="17"/>
        <v>0</v>
      </c>
      <c r="BA190" s="7">
        <f t="shared" si="17"/>
        <v>0</v>
      </c>
      <c r="BB190" s="7">
        <f>IF(OR(ISERROR(+AB190/($D190+$E190-$G190)*$G190+AB190),LEFT(Z190,1)="x"),0,+AB190/($D190+$E190-$G190)*$G190+AB190)</f>
        <v>0</v>
      </c>
      <c r="BC190" s="7">
        <f>IF(OR(ISERROR(+#REF!/($D190+$E190-$G190)*$G190+#REF!),LEFT(AA190,1)="x"),0,+#REF!/($D190+$E190-$G190)*$G190+#REF!)</f>
        <v>0</v>
      </c>
      <c r="BD190" s="7">
        <f>IF(OR(ISERROR(+#REF!/($D190+$E190-$G190)*$G190+#REF!),LEFT(AB190,1)="x"),0,+#REF!/($D190+$E190-$G190)*$G190+#REF!)</f>
        <v>0</v>
      </c>
      <c r="BE190" s="7" t="e">
        <f>IF(OR(ISERROR(+AC190/($D190+$E190-$G190)*$G190+AC190),LEFT(#REF!,1)="x"),0,+AC190/($D190+$E190-$G190)*$G190+AC190)</f>
        <v>#REF!</v>
      </c>
    </row>
    <row r="191" spans="1:57" hidden="1">
      <c r="A191" s="555"/>
      <c r="B191" s="623"/>
      <c r="C191" s="607"/>
      <c r="D191" s="609"/>
      <c r="E191" s="608"/>
      <c r="F191" s="609"/>
      <c r="G191" s="609"/>
      <c r="H191" s="603"/>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8"/>
        <v>0</v>
      </c>
      <c r="AE191" s="629">
        <f t="shared" si="9"/>
        <v>0</v>
      </c>
      <c r="AF191" s="634">
        <f t="shared" si="10"/>
        <v>0</v>
      </c>
      <c r="AG191" s="43">
        <f t="shared" si="15"/>
        <v>0</v>
      </c>
      <c r="AH191" s="7">
        <f t="shared" si="16"/>
        <v>0</v>
      </c>
      <c r="AI191" s="7">
        <f t="shared" si="16"/>
        <v>0</v>
      </c>
      <c r="AJ191" s="7">
        <f t="shared" si="16"/>
        <v>0</v>
      </c>
      <c r="AK191" s="7">
        <f t="shared" si="16"/>
        <v>0</v>
      </c>
      <c r="AL191" s="7">
        <f t="shared" si="16"/>
        <v>0</v>
      </c>
      <c r="AM191" s="7">
        <f t="shared" si="16"/>
        <v>0</v>
      </c>
      <c r="AN191" s="7">
        <f t="shared" si="16"/>
        <v>0</v>
      </c>
      <c r="AO191" s="7">
        <f t="shared" si="16"/>
        <v>0</v>
      </c>
      <c r="AP191" s="7">
        <f t="shared" si="16"/>
        <v>0</v>
      </c>
      <c r="AQ191" s="7">
        <f t="shared" si="16"/>
        <v>0</v>
      </c>
      <c r="AR191" s="7">
        <f t="shared" si="17"/>
        <v>0</v>
      </c>
      <c r="AS191" s="7">
        <f t="shared" si="17"/>
        <v>0</v>
      </c>
      <c r="AT191" s="7">
        <f t="shared" si="17"/>
        <v>0</v>
      </c>
      <c r="AU191" s="7">
        <f t="shared" si="17"/>
        <v>0</v>
      </c>
      <c r="AV191" s="7">
        <f t="shared" si="17"/>
        <v>0</v>
      </c>
      <c r="AW191" s="7">
        <f t="shared" si="17"/>
        <v>0</v>
      </c>
      <c r="AX191" s="7">
        <f t="shared" si="17"/>
        <v>0</v>
      </c>
      <c r="AY191" s="7">
        <f t="shared" si="17"/>
        <v>0</v>
      </c>
      <c r="AZ191" s="7">
        <f t="shared" si="17"/>
        <v>0</v>
      </c>
      <c r="BA191" s="7">
        <f t="shared" si="17"/>
        <v>0</v>
      </c>
      <c r="BB191" s="7">
        <f>IF(OR(ISERROR(+AB191/($D191+$E191-$G191)*$G191+AB191),LEFT(Z191,1)="x"),0,+AB191/($D191+$E191-$G191)*$G191+AB191)</f>
        <v>0</v>
      </c>
      <c r="BC191" s="7">
        <f>IF(OR(ISERROR(+#REF!/($D191+$E191-$G191)*$G191+#REF!),LEFT(AA191,1)="x"),0,+#REF!/($D191+$E191-$G191)*$G191+#REF!)</f>
        <v>0</v>
      </c>
      <c r="BD191" s="7">
        <f>IF(OR(ISERROR(+#REF!/($D191+$E191-$G191)*$G191+#REF!),LEFT(AB191,1)="x"),0,+#REF!/($D191+$E191-$G191)*$G191+#REF!)</f>
        <v>0</v>
      </c>
      <c r="BE191" s="7" t="e">
        <f>IF(OR(ISERROR(+AC191/($D191+$E191-$G191)*$G191+AC191),LEFT(#REF!,1)="x"),0,+AC191/($D191+$E191-$G191)*$G191+AC191)</f>
        <v>#REF!</v>
      </c>
    </row>
    <row r="192" spans="1:57" hidden="1">
      <c r="A192" s="555"/>
      <c r="B192" s="623"/>
      <c r="C192" s="607"/>
      <c r="D192" s="609"/>
      <c r="E192" s="608"/>
      <c r="F192" s="609"/>
      <c r="G192" s="609"/>
      <c r="H192" s="585"/>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8"/>
        <v>0</v>
      </c>
      <c r="AE192" s="629">
        <f t="shared" si="9"/>
        <v>0</v>
      </c>
      <c r="AF192" s="634">
        <f t="shared" si="10"/>
        <v>0</v>
      </c>
      <c r="AG192" s="43">
        <f t="shared" si="15"/>
        <v>0</v>
      </c>
      <c r="AH192" s="7">
        <f t="shared" ref="AH192:AV192" si="18">IF(OR(ISERROR(+H192/($D192+$E192-$G192)*$G192+H192),LEFT(F192,1)="x"),0,+H192/($D192+$E192-$G192)*$G192+H192)</f>
        <v>0</v>
      </c>
      <c r="AI192" s="7">
        <f t="shared" si="18"/>
        <v>0</v>
      </c>
      <c r="AJ192" s="7">
        <f t="shared" si="18"/>
        <v>0</v>
      </c>
      <c r="AK192" s="7">
        <f t="shared" si="18"/>
        <v>0</v>
      </c>
      <c r="AL192" s="7">
        <f t="shared" si="18"/>
        <v>0</v>
      </c>
      <c r="AM192" s="7">
        <f t="shared" si="18"/>
        <v>0</v>
      </c>
      <c r="AN192" s="7">
        <f t="shared" si="18"/>
        <v>0</v>
      </c>
      <c r="AO192" s="7">
        <f t="shared" si="18"/>
        <v>0</v>
      </c>
      <c r="AP192" s="7">
        <f t="shared" si="18"/>
        <v>0</v>
      </c>
      <c r="AQ192" s="7">
        <f t="shared" si="18"/>
        <v>0</v>
      </c>
      <c r="AR192" s="7">
        <f t="shared" si="18"/>
        <v>0</v>
      </c>
      <c r="AS192" s="7">
        <f t="shared" si="18"/>
        <v>0</v>
      </c>
      <c r="AT192" s="7">
        <f t="shared" si="18"/>
        <v>0</v>
      </c>
      <c r="AU192" s="7">
        <f t="shared" si="18"/>
        <v>0</v>
      </c>
      <c r="AV192" s="7">
        <f t="shared" si="18"/>
        <v>0</v>
      </c>
      <c r="AW192" s="7">
        <f t="shared" ref="AW192:AW201" si="19">IF(OR(ISERROR(+W192/($D192+$E192-$G192)*$G192+W192),LEFT(U192,1)="x"),0,+W192/($D192+$E192-$G192)*$G192+W192)</f>
        <v>0</v>
      </c>
      <c r="AX192" s="7">
        <f t="shared" ref="AX192:AX201" si="20">IF(OR(ISERROR(+X192/($D192+$E192-$G192)*$G192+X192),LEFT(V192,1)="x"),0,+X192/($D192+$E192-$G192)*$G192+X192)</f>
        <v>0</v>
      </c>
      <c r="AY192" s="7">
        <f t="shared" ref="AY192:AY201" si="21">IF(OR(ISERROR(+Y192/($D192+$E192-$G192)*$G192+Y192),LEFT(W192,1)="x"),0,+Y192/($D192+$E192-$G192)*$G192+Y192)</f>
        <v>0</v>
      </c>
      <c r="AZ192" s="7">
        <f t="shared" ref="AZ192:AZ201" si="22">IF(OR(ISERROR(+Z192/($D192+$E192-$G192)*$G192+Z192),LEFT(X192,1)="x"),0,+Z192/($D192+$E192-$G192)*$G192+Z192)</f>
        <v>0</v>
      </c>
      <c r="BA192" s="7">
        <f t="shared" ref="BA192:BA201" si="23">IF(OR(ISERROR(+AA192/($D192+$E192-$G192)*$G192+AA192),LEFT(Y192,1)="x"),0,+AA192/($D192+$E192-$G192)*$G192+AA192)</f>
        <v>0</v>
      </c>
      <c r="BB192" s="7">
        <f t="shared" ref="BB192:BB201" si="24">IF(OR(ISERROR(+AB192/($D192+$E192-$G192)*$G192+AB192),LEFT(Z192,1)="x"),0,+AB192/($D192+$E192-$G192)*$G192+AB192)</f>
        <v>0</v>
      </c>
      <c r="BC192" s="7">
        <f>IF(OR(ISERROR(+#REF!/($D192+$E192-$G192)*$G192+#REF!),LEFT(AA192,1)="x"),0,+#REF!/($D192+$E192-$G192)*$G192+#REF!)</f>
        <v>0</v>
      </c>
      <c r="BD192" s="7">
        <f>IF(OR(ISERROR(+#REF!/($D192+$E192-$G192)*$G192+#REF!),LEFT(AB192,1)="x"),0,+#REF!/($D192+$E192-$G192)*$G192+#REF!)</f>
        <v>0</v>
      </c>
      <c r="BE192" s="7" t="e">
        <f>IF(OR(ISERROR(+AC192/($D192+$E192-$G192)*$G192+AC192),LEFT(#REF!,1)="x"),0,+AC192/($D192+$E192-$G192)*$G192+AC192)</f>
        <v>#REF!</v>
      </c>
    </row>
    <row r="193" spans="1:57" hidden="1">
      <c r="A193" s="555"/>
      <c r="B193" s="623"/>
      <c r="C193" s="607"/>
      <c r="D193" s="609"/>
      <c r="E193" s="608"/>
      <c r="F193" s="609"/>
      <c r="G193" s="60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8"/>
        <v>0</v>
      </c>
      <c r="AE193" s="629">
        <f t="shared" si="9"/>
        <v>0</v>
      </c>
      <c r="AF193" s="634">
        <f t="shared" si="10"/>
        <v>0</v>
      </c>
      <c r="AG193" s="43">
        <f t="shared" si="15"/>
        <v>0</v>
      </c>
      <c r="AH193" s="7">
        <f t="shared" ref="AH193:AV197" si="25">IF(OR(ISERROR(+H193/($D193+$E193-$G193)*$G193+H193),LEFT(F193,1)="x"),0,+H193/($D193+$E193-$G193)*$G193+H193)</f>
        <v>0</v>
      </c>
      <c r="AI193" s="7">
        <f t="shared" si="25"/>
        <v>0</v>
      </c>
      <c r="AJ193" s="7">
        <f t="shared" si="25"/>
        <v>0</v>
      </c>
      <c r="AK193" s="7">
        <f t="shared" si="25"/>
        <v>0</v>
      </c>
      <c r="AL193" s="7">
        <f t="shared" si="25"/>
        <v>0</v>
      </c>
      <c r="AM193" s="7">
        <f t="shared" si="25"/>
        <v>0</v>
      </c>
      <c r="AN193" s="7">
        <f t="shared" si="25"/>
        <v>0</v>
      </c>
      <c r="AO193" s="7">
        <f t="shared" si="25"/>
        <v>0</v>
      </c>
      <c r="AP193" s="7">
        <f t="shared" si="25"/>
        <v>0</v>
      </c>
      <c r="AQ193" s="7">
        <f t="shared" si="25"/>
        <v>0</v>
      </c>
      <c r="AR193" s="7">
        <f t="shared" si="25"/>
        <v>0</v>
      </c>
      <c r="AS193" s="7">
        <f t="shared" si="25"/>
        <v>0</v>
      </c>
      <c r="AT193" s="7">
        <f t="shared" si="25"/>
        <v>0</v>
      </c>
      <c r="AU193" s="7">
        <f t="shared" si="25"/>
        <v>0</v>
      </c>
      <c r="AV193" s="7">
        <f t="shared" si="25"/>
        <v>0</v>
      </c>
      <c r="AW193" s="7">
        <f t="shared" si="19"/>
        <v>0</v>
      </c>
      <c r="AX193" s="7">
        <f t="shared" si="20"/>
        <v>0</v>
      </c>
      <c r="AY193" s="7">
        <f t="shared" si="21"/>
        <v>0</v>
      </c>
      <c r="AZ193" s="7">
        <f t="shared" si="22"/>
        <v>0</v>
      </c>
      <c r="BA193" s="7">
        <f t="shared" si="23"/>
        <v>0</v>
      </c>
      <c r="BB193" s="7">
        <f t="shared" si="24"/>
        <v>0</v>
      </c>
      <c r="BC193" s="7">
        <f>IF(OR(ISERROR(+#REF!/($D193+$E193-$G193)*$G193+#REF!),LEFT(AA193,1)="x"),0,+#REF!/($D193+$E193-$G193)*$G193+#REF!)</f>
        <v>0</v>
      </c>
      <c r="BD193" s="7">
        <f>IF(OR(ISERROR(+#REF!/($D193+$E193-$G193)*$G193+#REF!),LEFT(AB193,1)="x"),0,+#REF!/($D193+$E193-$G193)*$G193+#REF!)</f>
        <v>0</v>
      </c>
      <c r="BE193" s="7" t="e">
        <f>IF(OR(ISERROR(+AC193/($D193+$E193-$G193)*$G193+AC193),LEFT(#REF!,1)="x"),0,+AC193/($D193+$E193-$G193)*$G193+AC193)</f>
        <v>#REF!</v>
      </c>
    </row>
    <row r="194" spans="1:57" hidden="1">
      <c r="A194" s="555"/>
      <c r="B194" s="623"/>
      <c r="C194" s="607"/>
      <c r="D194" s="609"/>
      <c r="E194" s="608"/>
      <c r="F194" s="609"/>
      <c r="G194" s="60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8"/>
        <v>0</v>
      </c>
      <c r="AE194" s="629">
        <f t="shared" si="9"/>
        <v>0</v>
      </c>
      <c r="AF194" s="634">
        <f t="shared" si="10"/>
        <v>0</v>
      </c>
      <c r="AG194" s="43">
        <f t="shared" si="15"/>
        <v>0</v>
      </c>
      <c r="AH194" s="7">
        <f t="shared" si="25"/>
        <v>0</v>
      </c>
      <c r="AI194" s="7">
        <f t="shared" si="25"/>
        <v>0</v>
      </c>
      <c r="AJ194" s="7">
        <f t="shared" si="25"/>
        <v>0</v>
      </c>
      <c r="AK194" s="7">
        <f t="shared" si="25"/>
        <v>0</v>
      </c>
      <c r="AL194" s="7">
        <f t="shared" si="25"/>
        <v>0</v>
      </c>
      <c r="AM194" s="7">
        <f t="shared" si="25"/>
        <v>0</v>
      </c>
      <c r="AN194" s="7">
        <f t="shared" si="25"/>
        <v>0</v>
      </c>
      <c r="AO194" s="7">
        <f t="shared" si="25"/>
        <v>0</v>
      </c>
      <c r="AP194" s="7">
        <f t="shared" si="25"/>
        <v>0</v>
      </c>
      <c r="AQ194" s="7">
        <f t="shared" si="25"/>
        <v>0</v>
      </c>
      <c r="AR194" s="7">
        <f t="shared" si="25"/>
        <v>0</v>
      </c>
      <c r="AS194" s="7">
        <f t="shared" si="25"/>
        <v>0</v>
      </c>
      <c r="AT194" s="7">
        <f t="shared" si="25"/>
        <v>0</v>
      </c>
      <c r="AU194" s="7">
        <f t="shared" si="25"/>
        <v>0</v>
      </c>
      <c r="AV194" s="7">
        <f t="shared" si="25"/>
        <v>0</v>
      </c>
      <c r="AW194" s="7">
        <f t="shared" si="19"/>
        <v>0</v>
      </c>
      <c r="AX194" s="7">
        <f t="shared" si="20"/>
        <v>0</v>
      </c>
      <c r="AY194" s="7">
        <f t="shared" si="21"/>
        <v>0</v>
      </c>
      <c r="AZ194" s="7">
        <f t="shared" si="22"/>
        <v>0</v>
      </c>
      <c r="BA194" s="7">
        <f t="shared" si="23"/>
        <v>0</v>
      </c>
      <c r="BB194" s="7">
        <f t="shared" si="24"/>
        <v>0</v>
      </c>
      <c r="BC194" s="7">
        <f>IF(OR(ISERROR(+#REF!/($D194+$E194-$G194)*$G194+#REF!),LEFT(AA194,1)="x"),0,+#REF!/($D194+$E194-$G194)*$G194+#REF!)</f>
        <v>0</v>
      </c>
      <c r="BD194" s="7">
        <f>IF(OR(ISERROR(+#REF!/($D194+$E194-$G194)*$G194+#REF!),LEFT(AB194,1)="x"),0,+#REF!/($D194+$E194-$G194)*$G194+#REF!)</f>
        <v>0</v>
      </c>
      <c r="BE194" s="7" t="e">
        <f>IF(OR(ISERROR(+AC194/($D194+$E194-$G194)*$G194+AC194),LEFT(#REF!,1)="x"),0,+AC194/($D194+$E194-$G194)*$G194+AC194)</f>
        <v>#REF!</v>
      </c>
    </row>
    <row r="195" spans="1:57" hidden="1">
      <c r="A195" s="555"/>
      <c r="B195" s="623"/>
      <c r="C195" s="607"/>
      <c r="D195" s="609"/>
      <c r="E195" s="608"/>
      <c r="F195" s="609"/>
      <c r="G195" s="60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8"/>
        <v>0</v>
      </c>
      <c r="AE195" s="629">
        <f t="shared" si="9"/>
        <v>0</v>
      </c>
      <c r="AF195" s="634">
        <f t="shared" si="10"/>
        <v>0</v>
      </c>
      <c r="AG195" s="43">
        <f t="shared" si="15"/>
        <v>0</v>
      </c>
      <c r="AH195" s="7">
        <f t="shared" si="25"/>
        <v>0</v>
      </c>
      <c r="AI195" s="7">
        <f t="shared" si="25"/>
        <v>0</v>
      </c>
      <c r="AJ195" s="7">
        <f t="shared" si="25"/>
        <v>0</v>
      </c>
      <c r="AK195" s="7">
        <f t="shared" si="25"/>
        <v>0</v>
      </c>
      <c r="AL195" s="7">
        <f t="shared" si="25"/>
        <v>0</v>
      </c>
      <c r="AM195" s="7">
        <f t="shared" si="25"/>
        <v>0</v>
      </c>
      <c r="AN195" s="7">
        <f t="shared" si="25"/>
        <v>0</v>
      </c>
      <c r="AO195" s="7">
        <f t="shared" si="25"/>
        <v>0</v>
      </c>
      <c r="AP195" s="7">
        <f t="shared" si="25"/>
        <v>0</v>
      </c>
      <c r="AQ195" s="7">
        <f t="shared" si="25"/>
        <v>0</v>
      </c>
      <c r="AR195" s="7">
        <f t="shared" si="25"/>
        <v>0</v>
      </c>
      <c r="AS195" s="7">
        <f t="shared" si="25"/>
        <v>0</v>
      </c>
      <c r="AT195" s="7">
        <f t="shared" si="25"/>
        <v>0</v>
      </c>
      <c r="AU195" s="7">
        <f t="shared" si="25"/>
        <v>0</v>
      </c>
      <c r="AV195" s="7">
        <f t="shared" si="25"/>
        <v>0</v>
      </c>
      <c r="AW195" s="7">
        <f t="shared" si="19"/>
        <v>0</v>
      </c>
      <c r="AX195" s="7">
        <f t="shared" si="20"/>
        <v>0</v>
      </c>
      <c r="AY195" s="7">
        <f t="shared" si="21"/>
        <v>0</v>
      </c>
      <c r="AZ195" s="7">
        <f t="shared" si="22"/>
        <v>0</v>
      </c>
      <c r="BA195" s="7">
        <f t="shared" si="23"/>
        <v>0</v>
      </c>
      <c r="BB195" s="7">
        <f t="shared" si="24"/>
        <v>0</v>
      </c>
      <c r="BC195" s="7">
        <f>IF(OR(ISERROR(+#REF!/($D195+$E195-$G195)*$G195+#REF!),LEFT(AA195,1)="x"),0,+#REF!/($D195+$E195-$G195)*$G195+#REF!)</f>
        <v>0</v>
      </c>
      <c r="BD195" s="7">
        <f>IF(OR(ISERROR(+#REF!/($D195+$E195-$G195)*$G195+#REF!),LEFT(AB195,1)="x"),0,+#REF!/($D195+$E195-$G195)*$G195+#REF!)</f>
        <v>0</v>
      </c>
      <c r="BE195" s="7" t="e">
        <f>IF(OR(ISERROR(+AC195/($D195+$E195-$G195)*$G195+AC195),LEFT(#REF!,1)="x"),0,+AC195/($D195+$E195-$G195)*$G195+AC195)</f>
        <v>#REF!</v>
      </c>
    </row>
    <row r="196" spans="1:57" ht="13.5" hidden="1" thickBot="1">
      <c r="A196" s="556"/>
      <c r="B196" s="624"/>
      <c r="C196" s="611"/>
      <c r="D196" s="610"/>
      <c r="E196" s="612"/>
      <c r="F196" s="610"/>
      <c r="G196" s="610"/>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8"/>
        <v>0</v>
      </c>
      <c r="AE196" s="629">
        <f t="shared" si="9"/>
        <v>0</v>
      </c>
      <c r="AF196" s="634">
        <f t="shared" si="10"/>
        <v>0</v>
      </c>
      <c r="AG196" s="43">
        <f t="shared" si="15"/>
        <v>0</v>
      </c>
      <c r="AH196" s="7">
        <f t="shared" si="25"/>
        <v>0</v>
      </c>
      <c r="AI196" s="7">
        <f t="shared" si="25"/>
        <v>0</v>
      </c>
      <c r="AJ196" s="7">
        <f t="shared" si="25"/>
        <v>0</v>
      </c>
      <c r="AK196" s="7">
        <f t="shared" si="25"/>
        <v>0</v>
      </c>
      <c r="AL196" s="7">
        <f t="shared" si="25"/>
        <v>0</v>
      </c>
      <c r="AM196" s="7">
        <f t="shared" si="25"/>
        <v>0</v>
      </c>
      <c r="AN196" s="7">
        <f t="shared" si="25"/>
        <v>0</v>
      </c>
      <c r="AO196" s="7">
        <f t="shared" si="25"/>
        <v>0</v>
      </c>
      <c r="AP196" s="7">
        <f t="shared" si="25"/>
        <v>0</v>
      </c>
      <c r="AQ196" s="7">
        <f t="shared" si="25"/>
        <v>0</v>
      </c>
      <c r="AR196" s="7">
        <f t="shared" si="25"/>
        <v>0</v>
      </c>
      <c r="AS196" s="7">
        <f t="shared" si="25"/>
        <v>0</v>
      </c>
      <c r="AT196" s="7">
        <f t="shared" si="25"/>
        <v>0</v>
      </c>
      <c r="AU196" s="7">
        <f t="shared" si="25"/>
        <v>0</v>
      </c>
      <c r="AV196" s="7">
        <f t="shared" si="25"/>
        <v>0</v>
      </c>
      <c r="AW196" s="7">
        <f t="shared" si="19"/>
        <v>0</v>
      </c>
      <c r="AX196" s="7">
        <f t="shared" si="20"/>
        <v>0</v>
      </c>
      <c r="AY196" s="7">
        <f t="shared" si="21"/>
        <v>0</v>
      </c>
      <c r="AZ196" s="7">
        <f t="shared" si="22"/>
        <v>0</v>
      </c>
      <c r="BA196" s="7">
        <f t="shared" si="23"/>
        <v>0</v>
      </c>
      <c r="BB196" s="7">
        <f t="shared" si="24"/>
        <v>0</v>
      </c>
      <c r="BC196" s="7">
        <f>IF(OR(ISERROR(+#REF!/($D196+$E196-$G196)*$G196+#REF!),LEFT(AA196,1)="x"),0,+#REF!/($D196+$E196-$G196)*$G196+#REF!)</f>
        <v>0</v>
      </c>
      <c r="BD196" s="7">
        <f>IF(OR(ISERROR(+#REF!/($D196+$E196-$G196)*$G196+#REF!),LEFT(AB196,1)="x"),0,+#REF!/($D196+$E196-$G196)*$G196+#REF!)</f>
        <v>0</v>
      </c>
      <c r="BE196" s="7" t="e">
        <f>IF(OR(ISERROR(+AC196/($D196+$E196-$G196)*$G196+AC196),LEFT(#REF!,1)="x"),0,+AC196/($D196+$E196-$G196)*$G196+AC196)</f>
        <v>#REF!</v>
      </c>
    </row>
    <row r="197" spans="1:57" ht="14.25">
      <c r="A197" s="99" t="s">
        <v>20</v>
      </c>
      <c r="B197" s="100"/>
      <c r="C197" s="97" t="s">
        <v>26</v>
      </c>
      <c r="D197" s="92">
        <f t="shared" ref="D197:AC197" si="26">SUM(D80:D196)</f>
        <v>23035.83</v>
      </c>
      <c r="E197" s="92">
        <f t="shared" si="26"/>
        <v>760</v>
      </c>
      <c r="F197" s="208">
        <f t="shared" si="26"/>
        <v>0</v>
      </c>
      <c r="G197" s="92">
        <f t="shared" si="26"/>
        <v>0</v>
      </c>
      <c r="H197" s="92">
        <f t="shared" si="26"/>
        <v>215</v>
      </c>
      <c r="I197" s="92">
        <f t="shared" si="26"/>
        <v>170</v>
      </c>
      <c r="J197" s="92">
        <f t="shared" si="26"/>
        <v>65</v>
      </c>
      <c r="K197" s="92">
        <f t="shared" si="26"/>
        <v>0</v>
      </c>
      <c r="L197" s="92">
        <f t="shared" si="26"/>
        <v>1612</v>
      </c>
      <c r="M197" s="92">
        <f t="shared" si="26"/>
        <v>0</v>
      </c>
      <c r="N197" s="92">
        <f t="shared" si="26"/>
        <v>0</v>
      </c>
      <c r="O197" s="92">
        <f t="shared" si="26"/>
        <v>0</v>
      </c>
      <c r="P197" s="92">
        <f t="shared" si="26"/>
        <v>10</v>
      </c>
      <c r="Q197" s="92">
        <f t="shared" si="26"/>
        <v>0</v>
      </c>
      <c r="R197" s="92">
        <f t="shared" si="26"/>
        <v>65</v>
      </c>
      <c r="S197" s="92">
        <f t="shared" si="26"/>
        <v>55</v>
      </c>
      <c r="T197" s="92">
        <f t="shared" si="26"/>
        <v>85</v>
      </c>
      <c r="U197" s="92">
        <f t="shared" si="26"/>
        <v>138</v>
      </c>
      <c r="V197" s="92">
        <f t="shared" si="26"/>
        <v>5.5</v>
      </c>
      <c r="W197" s="92">
        <f t="shared" si="26"/>
        <v>95</v>
      </c>
      <c r="X197" s="92">
        <f t="shared" si="26"/>
        <v>0</v>
      </c>
      <c r="Y197" s="92">
        <f t="shared" si="26"/>
        <v>0</v>
      </c>
      <c r="Z197" s="92">
        <f t="shared" si="26"/>
        <v>21280.33</v>
      </c>
      <c r="AA197" s="92">
        <f t="shared" si="26"/>
        <v>0</v>
      </c>
      <c r="AB197" s="92">
        <f t="shared" si="26"/>
        <v>0</v>
      </c>
      <c r="AC197" s="208">
        <f t="shared" si="26"/>
        <v>0</v>
      </c>
      <c r="AD197" s="629">
        <f>SUM(G197:AC197)</f>
        <v>23795.83</v>
      </c>
      <c r="AE197" s="629">
        <f>SUM(D197:F197)</f>
        <v>23795.83</v>
      </c>
      <c r="AF197" s="634">
        <f>AD197-AE197</f>
        <v>0</v>
      </c>
      <c r="AH197" s="7">
        <f t="shared" si="25"/>
        <v>215</v>
      </c>
      <c r="AI197" s="7">
        <f t="shared" si="25"/>
        <v>170</v>
      </c>
      <c r="AJ197" s="7">
        <f t="shared" si="25"/>
        <v>65</v>
      </c>
      <c r="AK197" s="7">
        <f t="shared" si="25"/>
        <v>0</v>
      </c>
      <c r="AL197" s="7">
        <f t="shared" si="25"/>
        <v>1612</v>
      </c>
      <c r="AM197" s="7">
        <f t="shared" si="25"/>
        <v>0</v>
      </c>
      <c r="AN197" s="7">
        <f t="shared" si="25"/>
        <v>0</v>
      </c>
      <c r="AO197" s="7">
        <f t="shared" si="25"/>
        <v>0</v>
      </c>
      <c r="AP197" s="7">
        <f t="shared" si="25"/>
        <v>10</v>
      </c>
      <c r="AQ197" s="7">
        <f t="shared" si="25"/>
        <v>0</v>
      </c>
      <c r="AR197" s="7">
        <f t="shared" si="25"/>
        <v>65</v>
      </c>
      <c r="AS197" s="7">
        <f t="shared" si="25"/>
        <v>55</v>
      </c>
      <c r="AT197" s="7">
        <f t="shared" si="25"/>
        <v>85</v>
      </c>
      <c r="AU197" s="7">
        <f t="shared" si="25"/>
        <v>138</v>
      </c>
      <c r="AV197" s="7">
        <f t="shared" si="25"/>
        <v>5.5</v>
      </c>
      <c r="AW197" s="7">
        <f t="shared" si="19"/>
        <v>95</v>
      </c>
      <c r="AX197" s="7">
        <f t="shared" si="20"/>
        <v>0</v>
      </c>
      <c r="AY197" s="7">
        <f t="shared" si="21"/>
        <v>0</v>
      </c>
      <c r="AZ197" s="7">
        <f t="shared" si="22"/>
        <v>21280.33</v>
      </c>
      <c r="BA197" s="7">
        <f t="shared" si="23"/>
        <v>0</v>
      </c>
      <c r="BB197" s="7">
        <f t="shared" si="24"/>
        <v>0</v>
      </c>
      <c r="BC197" s="7">
        <f>IF(OR(ISERROR(+#REF!/($D197+$E197-$G197)*$G197+#REF!),LEFT(AA197,1)="x"),0,+#REF!/($D197+$E197-$G197)*$G197+#REF!)</f>
        <v>0</v>
      </c>
      <c r="BD197" s="7">
        <f>IF(OR(ISERROR(+AC197/($D197+$E197-$G197)*$G197+AC197),LEFT(Z197,1)="x"),0,+AC197/($D197+$E197-$G197)*$G197+AC197)</f>
        <v>0</v>
      </c>
    </row>
    <row r="198" spans="1:57" ht="13.5" thickBot="1">
      <c r="A198" s="50"/>
      <c r="B198" s="51"/>
      <c r="C198" s="39" t="s">
        <v>27</v>
      </c>
      <c r="D198" s="643">
        <f t="shared" ref="D198:AC198" si="27">SUM(D79:D196)</f>
        <v>214950.10000000003</v>
      </c>
      <c r="E198" s="643">
        <f t="shared" si="27"/>
        <v>2180</v>
      </c>
      <c r="F198" s="644">
        <f t="shared" si="27"/>
        <v>0</v>
      </c>
      <c r="G198" s="643">
        <f t="shared" si="27"/>
        <v>0</v>
      </c>
      <c r="H198" s="643">
        <f t="shared" si="27"/>
        <v>2005</v>
      </c>
      <c r="I198" s="643">
        <f t="shared" si="27"/>
        <v>1488</v>
      </c>
      <c r="J198" s="643">
        <f t="shared" si="27"/>
        <v>435</v>
      </c>
      <c r="K198" s="643">
        <f t="shared" si="27"/>
        <v>0</v>
      </c>
      <c r="L198" s="643">
        <f t="shared" si="27"/>
        <v>17604</v>
      </c>
      <c r="M198" s="643">
        <f t="shared" si="27"/>
        <v>264.02999999999997</v>
      </c>
      <c r="N198" s="643">
        <f t="shared" si="27"/>
        <v>50000</v>
      </c>
      <c r="O198" s="643">
        <f t="shared" si="27"/>
        <v>0</v>
      </c>
      <c r="P198" s="643">
        <f t="shared" si="27"/>
        <v>160</v>
      </c>
      <c r="Q198" s="643">
        <f t="shared" si="27"/>
        <v>0</v>
      </c>
      <c r="R198" s="643">
        <f t="shared" si="27"/>
        <v>585</v>
      </c>
      <c r="S198" s="643">
        <f t="shared" si="27"/>
        <v>495</v>
      </c>
      <c r="T198" s="643">
        <f t="shared" si="27"/>
        <v>765</v>
      </c>
      <c r="U198" s="643">
        <f t="shared" si="27"/>
        <v>1242</v>
      </c>
      <c r="V198" s="643">
        <f t="shared" si="27"/>
        <v>54.8</v>
      </c>
      <c r="W198" s="643">
        <f t="shared" si="27"/>
        <v>855</v>
      </c>
      <c r="X198" s="643">
        <f t="shared" si="27"/>
        <v>101239.34</v>
      </c>
      <c r="Y198" s="643">
        <f t="shared" si="27"/>
        <v>17859.599999999999</v>
      </c>
      <c r="Z198" s="643">
        <f t="shared" si="27"/>
        <v>21280.33</v>
      </c>
      <c r="AA198" s="643">
        <f t="shared" si="27"/>
        <v>0</v>
      </c>
      <c r="AB198" s="643">
        <f t="shared" si="27"/>
        <v>785</v>
      </c>
      <c r="AC198" s="645">
        <f t="shared" si="27"/>
        <v>13</v>
      </c>
      <c r="AD198" s="629">
        <f>SUM(G198:AC198)</f>
        <v>217130.09999999998</v>
      </c>
      <c r="AE198" s="629">
        <f>SUM(D198:F198)</f>
        <v>217130.10000000003</v>
      </c>
      <c r="AF198" s="634">
        <f>AD198-AE198</f>
        <v>0</v>
      </c>
      <c r="AG198" s="57"/>
      <c r="AH198" s="7">
        <f t="shared" ref="AH198:AV201" si="28">IF(OR(ISERROR(+H198/($D198+$E198-$G198)*$G198+H198),LEFT(F198,1)="x"),0,+H198/($D198+$E198-$G198)*$G198+H198)</f>
        <v>2005</v>
      </c>
      <c r="AI198" s="7">
        <f t="shared" si="28"/>
        <v>1488</v>
      </c>
      <c r="AJ198" s="7">
        <f t="shared" si="28"/>
        <v>435</v>
      </c>
      <c r="AK198" s="7">
        <f t="shared" si="28"/>
        <v>0</v>
      </c>
      <c r="AL198" s="7">
        <f t="shared" si="28"/>
        <v>17604</v>
      </c>
      <c r="AM198" s="7">
        <f t="shared" si="28"/>
        <v>264.02999999999997</v>
      </c>
      <c r="AN198" s="7">
        <f t="shared" si="28"/>
        <v>50000</v>
      </c>
      <c r="AO198" s="7">
        <f t="shared" si="28"/>
        <v>0</v>
      </c>
      <c r="AP198" s="7">
        <f t="shared" si="28"/>
        <v>160</v>
      </c>
      <c r="AQ198" s="7">
        <f t="shared" si="28"/>
        <v>0</v>
      </c>
      <c r="AR198" s="7">
        <f t="shared" si="28"/>
        <v>585</v>
      </c>
      <c r="AS198" s="7">
        <f t="shared" si="28"/>
        <v>495</v>
      </c>
      <c r="AT198" s="7">
        <f t="shared" si="28"/>
        <v>765</v>
      </c>
      <c r="AU198" s="7">
        <f t="shared" si="28"/>
        <v>1242</v>
      </c>
      <c r="AV198" s="7">
        <f t="shared" si="28"/>
        <v>54.8</v>
      </c>
      <c r="AW198" s="7">
        <f t="shared" si="19"/>
        <v>855</v>
      </c>
      <c r="AX198" s="7">
        <f t="shared" si="20"/>
        <v>101239.34</v>
      </c>
      <c r="AY198" s="7">
        <f t="shared" si="21"/>
        <v>17859.599999999999</v>
      </c>
      <c r="AZ198" s="7">
        <f t="shared" si="22"/>
        <v>21280.33</v>
      </c>
      <c r="BA198" s="7">
        <f t="shared" si="23"/>
        <v>0</v>
      </c>
      <c r="BB198" s="7">
        <f t="shared" si="24"/>
        <v>785</v>
      </c>
      <c r="BC198" s="7">
        <f>IF(OR(ISERROR(+#REF!/($D198+$E198-$G198)*$G198+#REF!),LEFT(AA198,1)="x"),0,+#REF!/($D198+$E198-$G198)*$G198+#REF!)</f>
        <v>0</v>
      </c>
      <c r="BD198" s="7">
        <f>IF(OR(ISERROR(+AC198/($D198+$E198-$G198)*$G198+AC198),LEFT(Z198,1)="x"),0,+AC198/($D198+$E198-$G198)*$G198+AC198)</f>
        <v>13</v>
      </c>
    </row>
    <row r="199" spans="1:5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H199" s="7">
        <f t="shared" si="28"/>
        <v>0</v>
      </c>
      <c r="AI199" s="7">
        <f t="shared" si="28"/>
        <v>0</v>
      </c>
      <c r="AJ199" s="7">
        <f t="shared" si="28"/>
        <v>0</v>
      </c>
      <c r="AK199" s="7">
        <f t="shared" si="28"/>
        <v>0</v>
      </c>
      <c r="AL199" s="7">
        <f t="shared" si="28"/>
        <v>0</v>
      </c>
      <c r="AM199" s="7">
        <f t="shared" si="28"/>
        <v>0</v>
      </c>
      <c r="AN199" s="7">
        <f t="shared" si="28"/>
        <v>0</v>
      </c>
      <c r="AO199" s="7">
        <f t="shared" si="28"/>
        <v>0</v>
      </c>
      <c r="AP199" s="7">
        <f t="shared" si="28"/>
        <v>0</v>
      </c>
      <c r="AQ199" s="7">
        <f t="shared" si="28"/>
        <v>0</v>
      </c>
      <c r="AR199" s="7">
        <f t="shared" si="28"/>
        <v>0</v>
      </c>
      <c r="AS199" s="7">
        <f t="shared" si="28"/>
        <v>0</v>
      </c>
      <c r="AT199" s="7">
        <f t="shared" si="28"/>
        <v>0</v>
      </c>
      <c r="AU199" s="7">
        <f t="shared" si="28"/>
        <v>0</v>
      </c>
      <c r="AV199" s="7">
        <f t="shared" si="28"/>
        <v>0</v>
      </c>
      <c r="AW199" s="7">
        <f t="shared" si="19"/>
        <v>0</v>
      </c>
      <c r="AX199" s="7">
        <f t="shared" si="20"/>
        <v>0</v>
      </c>
      <c r="AY199" s="7">
        <f t="shared" si="21"/>
        <v>0</v>
      </c>
      <c r="AZ199" s="7">
        <f t="shared" si="22"/>
        <v>0</v>
      </c>
      <c r="BA199" s="7">
        <f t="shared" si="23"/>
        <v>0</v>
      </c>
      <c r="BB199" s="7">
        <f t="shared" si="24"/>
        <v>0</v>
      </c>
      <c r="BC199" s="7">
        <f>IF(OR(ISERROR(+#REF!/($D199+$E199-$G199)*$G199+#REF!),LEFT(AA199,1)="x"),0,+#REF!/($D199+$E199-$G199)*$G199+#REF!)</f>
        <v>0</v>
      </c>
      <c r="BD199" s="7">
        <f>IF(OR(ISERROR(+AC199/($D199+$E199-$G199)*$G199+AC199),LEFT(Z199,1)="x"),0,+AC199/($D199+$E199-$G199)*$G199+AC199)</f>
        <v>0</v>
      </c>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H200" s="7">
        <f t="shared" si="28"/>
        <v>0</v>
      </c>
      <c r="AI200" s="7">
        <f t="shared" si="28"/>
        <v>0</v>
      </c>
      <c r="AJ200" s="7">
        <f t="shared" si="28"/>
        <v>0</v>
      </c>
      <c r="AK200" s="7">
        <f t="shared" si="28"/>
        <v>0</v>
      </c>
      <c r="AL200" s="7">
        <f t="shared" si="28"/>
        <v>0</v>
      </c>
      <c r="AM200" s="7">
        <f t="shared" si="28"/>
        <v>0</v>
      </c>
      <c r="AN200" s="7">
        <f t="shared" si="28"/>
        <v>0</v>
      </c>
      <c r="AO200" s="7">
        <f t="shared" si="28"/>
        <v>0</v>
      </c>
      <c r="AP200" s="7">
        <f t="shared" si="28"/>
        <v>0</v>
      </c>
      <c r="AQ200" s="7">
        <f t="shared" si="28"/>
        <v>0</v>
      </c>
      <c r="AR200" s="7">
        <f t="shared" si="28"/>
        <v>0</v>
      </c>
      <c r="AS200" s="7">
        <f t="shared" si="28"/>
        <v>0</v>
      </c>
      <c r="AT200" s="7">
        <f t="shared" si="28"/>
        <v>0</v>
      </c>
      <c r="AU200" s="7">
        <f t="shared" si="28"/>
        <v>0</v>
      </c>
      <c r="AV200" s="7">
        <f t="shared" si="28"/>
        <v>0</v>
      </c>
      <c r="AW200" s="7">
        <f t="shared" si="19"/>
        <v>0</v>
      </c>
      <c r="AX200" s="7">
        <f t="shared" si="20"/>
        <v>0</v>
      </c>
      <c r="AY200" s="7">
        <f t="shared" si="21"/>
        <v>0</v>
      </c>
      <c r="AZ200" s="7">
        <f t="shared" si="22"/>
        <v>0</v>
      </c>
      <c r="BA200" s="7">
        <f t="shared" si="23"/>
        <v>0</v>
      </c>
      <c r="BB200" s="7">
        <f t="shared" si="24"/>
        <v>0</v>
      </c>
      <c r="BC200" s="7">
        <f>IF(OR(ISERROR(+#REF!/($D200+$E200-$G200)*$G200+#REF!),LEFT(AA200,1)="x"),0,+#REF!/($D200+$E200-$G200)*$G200+#REF!)</f>
        <v>0</v>
      </c>
      <c r="BD200" s="7">
        <f>IF(OR(ISERROR(+AC200/($D200+$E200-$G200)*$G200+AC200),LEFT(Z200,1)="x"),0,+AC200/($D200+$E200-$G200)*$G200+AC200)</f>
        <v>0</v>
      </c>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H201" s="7">
        <f t="shared" si="28"/>
        <v>0</v>
      </c>
      <c r="AI201" s="7">
        <f t="shared" si="28"/>
        <v>0</v>
      </c>
      <c r="AJ201" s="7">
        <f t="shared" si="28"/>
        <v>0</v>
      </c>
      <c r="AK201" s="7">
        <f t="shared" si="28"/>
        <v>0</v>
      </c>
      <c r="AL201" s="7">
        <f t="shared" si="28"/>
        <v>0</v>
      </c>
      <c r="AM201" s="7">
        <f t="shared" si="28"/>
        <v>0</v>
      </c>
      <c r="AN201" s="7">
        <f t="shared" si="28"/>
        <v>0</v>
      </c>
      <c r="AO201" s="7">
        <f t="shared" si="28"/>
        <v>0</v>
      </c>
      <c r="AP201" s="7">
        <f t="shared" si="28"/>
        <v>0</v>
      </c>
      <c r="AQ201" s="7">
        <f t="shared" si="28"/>
        <v>0</v>
      </c>
      <c r="AR201" s="7">
        <f t="shared" si="28"/>
        <v>0</v>
      </c>
      <c r="AS201" s="7">
        <f t="shared" si="28"/>
        <v>0</v>
      </c>
      <c r="AT201" s="7">
        <f t="shared" si="28"/>
        <v>0</v>
      </c>
      <c r="AU201" s="7">
        <f t="shared" si="28"/>
        <v>0</v>
      </c>
      <c r="AV201" s="7">
        <f t="shared" si="28"/>
        <v>0</v>
      </c>
      <c r="AW201" s="7">
        <f t="shared" si="19"/>
        <v>0</v>
      </c>
      <c r="AX201" s="7">
        <f t="shared" si="20"/>
        <v>0</v>
      </c>
      <c r="AY201" s="7">
        <f t="shared" si="21"/>
        <v>0</v>
      </c>
      <c r="AZ201" s="7">
        <f t="shared" si="22"/>
        <v>0</v>
      </c>
      <c r="BA201" s="7">
        <f t="shared" si="23"/>
        <v>0</v>
      </c>
      <c r="BB201" s="7">
        <f t="shared" si="24"/>
        <v>0</v>
      </c>
      <c r="BC201" s="7">
        <f>IF(OR(ISERROR(+#REF!/($D201+$E201-$G201)*$G201+#REF!),LEFT(AA201,1)="x"),0,+#REF!/($D201+$E201-$G201)*$G201+#REF!)</f>
        <v>0</v>
      </c>
      <c r="BD201" s="7">
        <f>IF(OR(ISERROR(+AC201/($D201+$E201-$G201)*$G201+AC201),LEFT(Z201,1)="x"),0,+AC201/($D201+$E201-$G201)*$G201+AC201)</f>
        <v>0</v>
      </c>
    </row>
    <row r="202" spans="1:57" ht="15.75">
      <c r="A202" s="52" t="s">
        <v>226</v>
      </c>
      <c r="B202" s="52"/>
      <c r="C202" s="52"/>
      <c r="D202" s="19">
        <f>E202-H202</f>
        <v>0</v>
      </c>
      <c r="E202" s="53">
        <f>D197+E197+F197</f>
        <v>23795.83</v>
      </c>
      <c r="F202" s="53" t="s">
        <v>20</v>
      </c>
      <c r="G202" s="17"/>
      <c r="H202" s="53">
        <f>SUM(G197:AC197)</f>
        <v>23795.83</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
      <c r="A203" s="17"/>
      <c r="B203" s="17"/>
      <c r="C203" s="17"/>
      <c r="D203" s="54">
        <f>IF(D202=0,0,"Error - check totals do not balance, please see column AF - at the right side of the expenditure table for corrections to be made")</f>
        <v>0</v>
      </c>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ht="15">
      <c r="A205" s="17"/>
      <c r="B205" s="17"/>
      <c r="C205" s="17"/>
      <c r="D205" s="54"/>
      <c r="E205" s="5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32">
      <c r="A209" s="161" t="s">
        <v>166</v>
      </c>
      <c r="B209" s="17"/>
      <c r="C209" s="17"/>
      <c r="D209" s="17"/>
      <c r="E209" s="639">
        <f>'Nov 17'!K10+L54+M54+N54+O54-D198</f>
        <v>29344.549999999959</v>
      </c>
      <c r="F209" s="639">
        <f>'Nov 17'!K11+P54+X198-O54</f>
        <v>87031.739999999991</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32">
      <c r="A210" s="161"/>
      <c r="B210" s="17"/>
      <c r="C210" s="73"/>
      <c r="D210" s="73"/>
      <c r="E210" s="637"/>
      <c r="F210" s="6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32">
      <c r="A211" s="161" t="s">
        <v>63</v>
      </c>
      <c r="B211" s="17"/>
      <c r="C211" s="642"/>
      <c r="D211" s="642"/>
      <c r="E211" s="637" t="s">
        <v>20</v>
      </c>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32">
      <c r="B212" s="162" t="s">
        <v>187</v>
      </c>
      <c r="C212" s="642"/>
      <c r="D212" s="642"/>
      <c r="E212" s="637" t="s">
        <v>20</v>
      </c>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32">
      <c r="A213" s="17"/>
      <c r="B213" s="162" t="s">
        <v>164</v>
      </c>
      <c r="C213" s="642"/>
      <c r="D213" s="642"/>
      <c r="E213" s="637" t="s">
        <v>20</v>
      </c>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32">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32">
      <c r="A215" s="17"/>
      <c r="B215" s="17"/>
      <c r="C215" s="642"/>
      <c r="D215" s="642"/>
      <c r="E215" s="637"/>
      <c r="F215" s="6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32" ht="13.5" thickBot="1">
      <c r="A216" s="56" t="s">
        <v>165</v>
      </c>
      <c r="B216" s="56"/>
      <c r="C216" s="17"/>
      <c r="D216" s="17"/>
      <c r="E216" s="641">
        <f>E209+SUM(E211:E215)</f>
        <v>29344.549999999959</v>
      </c>
      <c r="F216" s="641">
        <f>F209+SUM(F211:F215)</f>
        <v>87031.739999999991</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32" ht="13.5" thickTop="1">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32" s="17" customFormat="1">
      <c r="A218" s="56"/>
      <c r="E218" s="53"/>
      <c r="AD218" s="346"/>
      <c r="AE218" s="346"/>
      <c r="AF218" s="636"/>
    </row>
    <row r="219" spans="1:3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32" hidden="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32" hidden="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32" hidden="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32"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32"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5" hidden="1">
      <c r="B246" s="213"/>
      <c r="C246" s="18"/>
      <c r="D246" s="18"/>
      <c r="E246" s="18"/>
      <c r="F246" s="215"/>
      <c r="G246" s="18"/>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2.6" hidden="1" customHeight="1">
      <c r="B247" s="213" t="s">
        <v>196</v>
      </c>
      <c r="C247" s="214"/>
      <c r="D247" s="214">
        <f>$C$58+$C$59-D249</f>
        <v>0</v>
      </c>
      <c r="E247" s="18"/>
      <c r="F247" s="215" t="s">
        <v>197</v>
      </c>
      <c r="G247" s="18"/>
      <c r="H247" s="18"/>
      <c r="I247" s="18"/>
      <c r="J247" s="18"/>
      <c r="K247" s="18"/>
      <c r="L247" s="18"/>
      <c r="M247" s="18"/>
      <c r="N247" s="17"/>
      <c r="O247" s="17"/>
      <c r="P247" s="17"/>
      <c r="Q247" s="17"/>
      <c r="R247" s="17"/>
      <c r="S247" s="17"/>
      <c r="T247" s="17"/>
      <c r="U247" s="17"/>
      <c r="V247" s="17"/>
      <c r="W247" s="17"/>
      <c r="X247" s="17"/>
      <c r="Y247" s="17"/>
      <c r="Z247" s="17"/>
      <c r="AA247" s="17"/>
      <c r="AB247" s="17"/>
      <c r="AC247" s="17"/>
    </row>
    <row r="248" spans="1:29" ht="14.25" hidden="1" customHeight="1">
      <c r="B248" s="216" t="s">
        <v>64</v>
      </c>
      <c r="C248" s="18">
        <f>($C$58+$C$59-663)/113.8*13.8</f>
        <v>-80.398945518453431</v>
      </c>
      <c r="D248" s="18"/>
      <c r="E248" s="7"/>
      <c r="F248" s="393" t="s">
        <v>397</v>
      </c>
      <c r="G248" s="18"/>
      <c r="H248" s="18"/>
      <c r="I248" s="18"/>
      <c r="J248" s="18"/>
      <c r="K248" s="18"/>
      <c r="L248" s="18"/>
      <c r="M248" s="18"/>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8"/>
      <c r="I249" s="18"/>
      <c r="J249" s="18"/>
      <c r="K249" s="18"/>
      <c r="L249" s="18"/>
      <c r="M249" s="18"/>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8"/>
      <c r="I250" s="18"/>
      <c r="J250" s="18"/>
      <c r="K250" s="18"/>
      <c r="L250" s="18"/>
      <c r="M250" s="18"/>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8"/>
      <c r="I251" s="18"/>
      <c r="J251" s="18"/>
      <c r="K251" s="18"/>
      <c r="L251" s="18"/>
      <c r="M251" s="18"/>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8"/>
      <c r="I252" s="18"/>
      <c r="J252" s="18"/>
      <c r="K252" s="18"/>
      <c r="L252" s="18"/>
      <c r="M252" s="18"/>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8"/>
      <c r="I253" s="18"/>
      <c r="J253" s="18"/>
      <c r="K253" s="18"/>
      <c r="L253" s="18"/>
      <c r="M253" s="18"/>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8"/>
      <c r="I254" s="18"/>
      <c r="J254" s="18"/>
      <c r="K254" s="18"/>
      <c r="L254" s="18"/>
      <c r="M254" s="18"/>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8"/>
      <c r="I255" s="18"/>
      <c r="J255" s="18"/>
      <c r="K255" s="18"/>
      <c r="L255" s="18"/>
      <c r="M255" s="18"/>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8"/>
      <c r="I256" s="18"/>
      <c r="J256" s="18"/>
      <c r="K256" s="18"/>
      <c r="L256" s="18"/>
      <c r="M256" s="18"/>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8"/>
      <c r="I257" s="18"/>
      <c r="J257" s="18"/>
      <c r="K257" s="18"/>
      <c r="L257" s="18"/>
      <c r="M257" s="18"/>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8"/>
      <c r="I258" s="18"/>
      <c r="J258" s="18"/>
      <c r="K258" s="18"/>
      <c r="L258" s="18"/>
      <c r="M258" s="18"/>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8"/>
      <c r="I259" s="18"/>
      <c r="J259" s="18"/>
      <c r="K259" s="18"/>
      <c r="L259" s="18"/>
      <c r="M259" s="18"/>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8"/>
      <c r="I260" s="18"/>
      <c r="J260" s="18"/>
      <c r="K260" s="18"/>
      <c r="L260" s="18"/>
      <c r="M260" s="18"/>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c r="H261" s="18"/>
      <c r="I261" s="18"/>
      <c r="J261" s="18"/>
      <c r="K261" s="18"/>
      <c r="L261" s="18"/>
      <c r="M261" s="18"/>
      <c r="N261" s="17"/>
      <c r="O261" s="17"/>
      <c r="P261" s="17"/>
      <c r="Q261" s="17"/>
      <c r="R261" s="17"/>
      <c r="S261" s="17"/>
      <c r="T261" s="17"/>
      <c r="U261" s="17"/>
      <c r="V261" s="17"/>
      <c r="W261" s="17"/>
      <c r="X261" s="17"/>
      <c r="Y261" s="17"/>
      <c r="Z261" s="17"/>
      <c r="AA261" s="17"/>
      <c r="AB261" s="17"/>
      <c r="AC261" s="17"/>
    </row>
    <row r="262" spans="1:29" ht="15" hidden="1">
      <c r="B262" s="216"/>
      <c r="C262" s="214">
        <v>0</v>
      </c>
      <c r="D262" s="214">
        <f>MAX(C261:C262)</f>
        <v>0</v>
      </c>
      <c r="E262" s="220"/>
      <c r="H262" s="18"/>
      <c r="I262" s="18"/>
      <c r="J262" s="18"/>
      <c r="K262" s="18"/>
      <c r="L262" s="18"/>
      <c r="M262" s="18"/>
      <c r="N262" s="17"/>
      <c r="O262" s="17"/>
      <c r="P262" s="17"/>
      <c r="Q262" s="17"/>
      <c r="R262" s="17"/>
      <c r="S262" s="17"/>
      <c r="T262" s="17"/>
      <c r="U262" s="17"/>
      <c r="V262" s="17"/>
      <c r="W262" s="17"/>
      <c r="X262" s="17"/>
      <c r="Y262" s="17"/>
      <c r="Z262" s="17"/>
      <c r="AA262" s="17"/>
      <c r="AB262" s="17"/>
      <c r="AC262" s="17"/>
    </row>
    <row r="263" spans="1:29" ht="15" hidden="1">
      <c r="B263" s="216" t="s">
        <v>203</v>
      </c>
      <c r="C263" s="329">
        <v>0</v>
      </c>
      <c r="D263" s="329">
        <v>0</v>
      </c>
      <c r="E263" s="220"/>
    </row>
    <row r="264" spans="1:29" ht="15" hidden="1">
      <c r="B264" s="330" t="s">
        <v>204</v>
      </c>
      <c r="C264" s="20"/>
      <c r="E264" s="219">
        <f>D263+D262+D260+D258+D256</f>
        <v>0</v>
      </c>
    </row>
    <row r="265" spans="1:29" ht="15.75" hidden="1" thickBot="1">
      <c r="B265" s="330" t="s">
        <v>69</v>
      </c>
      <c r="C265" s="20"/>
      <c r="E265" s="331">
        <f>E254+E264</f>
        <v>0</v>
      </c>
    </row>
    <row r="266" spans="1:29" ht="13.5" hidden="1" thickTop="1"/>
    <row r="267" spans="1:29" hidden="1"/>
    <row r="268" spans="1:29" ht="15" hidden="1">
      <c r="A268" s="211" t="s">
        <v>318</v>
      </c>
      <c r="B268" s="17"/>
      <c r="D268" s="212"/>
      <c r="E268" s="17"/>
      <c r="F268" s="17"/>
    </row>
    <row r="269" spans="1:29" hidden="1">
      <c r="B269" s="18"/>
      <c r="C269" s="18"/>
      <c r="D269" s="18"/>
      <c r="E269" s="18"/>
      <c r="F269" s="18"/>
    </row>
    <row r="270" spans="1:29" ht="15" hidden="1">
      <c r="B270" s="213" t="s">
        <v>196</v>
      </c>
      <c r="C270" s="214"/>
      <c r="D270" s="214">
        <f>$C$58+$C$59-D272</f>
        <v>0</v>
      </c>
      <c r="E270" s="18"/>
      <c r="F270" s="215" t="s">
        <v>197</v>
      </c>
    </row>
    <row r="271" spans="1:29" hidden="1">
      <c r="B271" s="216" t="s">
        <v>64</v>
      </c>
      <c r="C271" s="18">
        <f>($C$58+$C$59-641)/113.8*13.8</f>
        <v>-77.7311072056239</v>
      </c>
      <c r="D271" s="18"/>
      <c r="E271" s="7"/>
      <c r="F271" s="393" t="s">
        <v>324</v>
      </c>
    </row>
    <row r="272" spans="1:29" hidden="1">
      <c r="B272" s="216"/>
      <c r="C272" s="214">
        <v>0</v>
      </c>
      <c r="D272" s="214">
        <f>MAX(C271:C272)</f>
        <v>0</v>
      </c>
      <c r="E272" s="7"/>
      <c r="F272" s="216"/>
    </row>
    <row r="273" spans="2:6" hidden="1">
      <c r="B273" s="216" t="s">
        <v>65</v>
      </c>
      <c r="C273" s="18">
        <f>IF((D248&lt;3454.17), ((D248-645)*0.12),((3539.58-645)*0.12))</f>
        <v>-77.399999999999991</v>
      </c>
      <c r="D273" s="18"/>
      <c r="E273" s="7"/>
      <c r="F273" s="393" t="s">
        <v>323</v>
      </c>
    </row>
    <row r="274" spans="2:6" hidden="1">
      <c r="B274" s="216"/>
      <c r="C274" s="214">
        <v>0</v>
      </c>
      <c r="D274" s="214">
        <f>MAX(C273:C274)</f>
        <v>0</v>
      </c>
      <c r="E274" s="7"/>
      <c r="F274" s="216"/>
    </row>
    <row r="275" spans="2:6" hidden="1">
      <c r="B275" s="216" t="s">
        <v>120</v>
      </c>
      <c r="C275" s="18">
        <f>(D248-3454.17)*0.02</f>
        <v>-69.083399999999997</v>
      </c>
      <c r="D275" s="18"/>
      <c r="E275" s="7"/>
      <c r="F275" s="393" t="s">
        <v>322</v>
      </c>
    </row>
    <row r="276" spans="2:6" hidden="1">
      <c r="B276" s="217"/>
      <c r="C276" s="214">
        <v>0</v>
      </c>
      <c r="D276" s="214">
        <f>MAX(C275:C276)</f>
        <v>0</v>
      </c>
      <c r="E276" s="7"/>
      <c r="F276" s="216"/>
    </row>
    <row r="277" spans="2:6" ht="15" hidden="1">
      <c r="B277" s="218" t="s">
        <v>198</v>
      </c>
      <c r="C277" s="71"/>
      <c r="D277" s="71"/>
      <c r="E277" s="219">
        <f>D276+D274+D272</f>
        <v>0</v>
      </c>
      <c r="F277" s="216"/>
    </row>
    <row r="278" spans="2:6" ht="15" hidden="1">
      <c r="D278" s="18"/>
      <c r="E278" s="220"/>
      <c r="F278" s="327" t="s">
        <v>210</v>
      </c>
    </row>
    <row r="279" spans="2:6" ht="15" hidden="1">
      <c r="B279" s="217" t="s">
        <v>199</v>
      </c>
      <c r="C279" s="328">
        <f>IF((D248&lt;12500),0,((D248-12500)*0.45))</f>
        <v>0</v>
      </c>
      <c r="D279" s="214">
        <f>C279</f>
        <v>0</v>
      </c>
      <c r="E279" s="220"/>
      <c r="F279" s="216"/>
    </row>
    <row r="280" spans="2:6" ht="15" hidden="1">
      <c r="B280" s="217" t="s">
        <v>200</v>
      </c>
      <c r="C280" s="20">
        <f>IF((D248&lt;12500),(((D248-8333.33)*0.4)+(786.67*0.4)),(((12500-8333.33)*0.4)+(786.67*0.4)))</f>
        <v>-3018.6640000000002</v>
      </c>
      <c r="D280" s="18"/>
      <c r="E280" s="220"/>
      <c r="F280" s="327" t="s">
        <v>209</v>
      </c>
    </row>
    <row r="281" spans="2:6" ht="15" hidden="1">
      <c r="B281" s="217"/>
      <c r="C281" s="214">
        <v>0</v>
      </c>
      <c r="D281" s="214">
        <f>MAX(C280:C281)</f>
        <v>0</v>
      </c>
      <c r="E281" s="220"/>
      <c r="F281" s="217"/>
    </row>
    <row r="282" spans="2:6" ht="15" hidden="1">
      <c r="B282" s="216" t="s">
        <v>201</v>
      </c>
      <c r="C282" s="20">
        <f>IF((D248&lt;8333.33),((D248-3454.17)*0.4),((8333.33-3454.17)*0.4))</f>
        <v>-1381.6680000000001</v>
      </c>
      <c r="D282" s="18"/>
      <c r="E282" s="220"/>
      <c r="F282" s="393" t="s">
        <v>321</v>
      </c>
    </row>
    <row r="283" spans="2:6" ht="15" hidden="1">
      <c r="B283" s="216"/>
      <c r="C283" s="214">
        <v>0</v>
      </c>
      <c r="D283" s="214">
        <f>MAX(C282:C283)</f>
        <v>0</v>
      </c>
      <c r="E283" s="220"/>
      <c r="F283" s="393" t="s">
        <v>320</v>
      </c>
    </row>
    <row r="284" spans="2:6" ht="15" hidden="1">
      <c r="B284" s="216" t="s">
        <v>202</v>
      </c>
      <c r="C284" s="20">
        <f>IF((D248&lt;3454.17),((D248-786.67)*0.2),(2667.5*0.2))</f>
        <v>-157.334</v>
      </c>
      <c r="D284" s="18"/>
      <c r="E284" s="221"/>
      <c r="F284" s="393" t="s">
        <v>319</v>
      </c>
    </row>
    <row r="285" spans="2:6" ht="15" hidden="1">
      <c r="B285" s="216"/>
      <c r="C285" s="214">
        <v>0</v>
      </c>
      <c r="D285" s="214">
        <f>MAX(C284:C285)</f>
        <v>0</v>
      </c>
      <c r="E285" s="220"/>
    </row>
    <row r="286" spans="2:6" ht="15" hidden="1">
      <c r="B286" s="216" t="s">
        <v>203</v>
      </c>
      <c r="C286" s="329">
        <v>0</v>
      </c>
      <c r="D286" s="329">
        <v>0</v>
      </c>
      <c r="E286" s="220"/>
    </row>
    <row r="287" spans="2:6" ht="15" hidden="1">
      <c r="B287" s="330" t="s">
        <v>204</v>
      </c>
      <c r="C287" s="20"/>
      <c r="E287" s="219">
        <f>D286+D285+D283+D281+D279</f>
        <v>0</v>
      </c>
    </row>
    <row r="288" spans="2:6"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sheetData>
  <phoneticPr fontId="0" type="noConversion"/>
  <conditionalFormatting sqref="G79 G93:G196">
    <cfRule type="expression" dxfId="151" priority="31" stopIfTrue="1">
      <formula>$E$12&gt;0</formula>
    </cfRule>
  </conditionalFormatting>
  <conditionalFormatting sqref="G79 G93:G196">
    <cfRule type="expression" dxfId="150" priority="32" stopIfTrue="1">
      <formula>$E$12&gt;0</formula>
    </cfRule>
    <cfRule type="expression" priority="33" stopIfTrue="1">
      <formula>$E$12 &gt;0</formula>
    </cfRule>
  </conditionalFormatting>
  <conditionalFormatting sqref="G79 G93:G196">
    <cfRule type="expression" dxfId="149" priority="30" stopIfTrue="1">
      <formula>"e12&gt;0"</formula>
    </cfRule>
  </conditionalFormatting>
  <conditionalFormatting sqref="G91">
    <cfRule type="expression" dxfId="148" priority="28" stopIfTrue="1">
      <formula>$E$12&gt;0</formula>
    </cfRule>
    <cfRule type="expression" priority="29" stopIfTrue="1">
      <formula>$E$12 &gt;0</formula>
    </cfRule>
  </conditionalFormatting>
  <conditionalFormatting sqref="G91">
    <cfRule type="expression" dxfId="147" priority="27" stopIfTrue="1">
      <formula>$E$12&gt;0</formula>
    </cfRule>
  </conditionalFormatting>
  <conditionalFormatting sqref="G91">
    <cfRule type="expression" dxfId="146" priority="26" stopIfTrue="1">
      <formula>"e12&gt;0"</formula>
    </cfRule>
  </conditionalFormatting>
  <conditionalFormatting sqref="G90">
    <cfRule type="expression" dxfId="145" priority="24" stopIfTrue="1">
      <formula>$E$12&gt;0</formula>
    </cfRule>
    <cfRule type="expression" priority="25" stopIfTrue="1">
      <formula>$E$12 &gt;0</formula>
    </cfRule>
  </conditionalFormatting>
  <conditionalFormatting sqref="G90">
    <cfRule type="expression" dxfId="144" priority="23" stopIfTrue="1">
      <formula>$E$12&gt;0</formula>
    </cfRule>
  </conditionalFormatting>
  <conditionalFormatting sqref="G90">
    <cfRule type="expression" dxfId="143" priority="22" stopIfTrue="1">
      <formula>"e12&gt;0"</formula>
    </cfRule>
  </conditionalFormatting>
  <conditionalFormatting sqref="G80:G82 G87:G88">
    <cfRule type="expression" dxfId="142" priority="15">
      <formula>$E$12&gt;0</formula>
    </cfRule>
  </conditionalFormatting>
  <conditionalFormatting sqref="G80:G82 G87:G88">
    <cfRule type="expression" dxfId="141" priority="16">
      <formula>$E$12&gt;0</formula>
    </cfRule>
  </conditionalFormatting>
  <conditionalFormatting sqref="G80:G82 G87:G88">
    <cfRule type="expression" dxfId="140" priority="17">
      <formula>"e12&gt;0"</formula>
    </cfRule>
  </conditionalFormatting>
  <conditionalFormatting sqref="G80:G82 G87:G88">
    <cfRule type="expression" dxfId="139" priority="18">
      <formula>$E$12&gt;0</formula>
    </cfRule>
  </conditionalFormatting>
  <conditionalFormatting sqref="G80:G82 G87:G88">
    <cfRule type="expression" dxfId="138" priority="19">
      <formula>$E$12</formula>
    </cfRule>
  </conditionalFormatting>
  <conditionalFormatting sqref="G80:G82 G87:G88">
    <cfRule type="expression" dxfId="137" priority="20">
      <formula>$E$12</formula>
    </cfRule>
  </conditionalFormatting>
  <conditionalFormatting sqref="G80:G82 G87:G88">
    <cfRule type="expression" dxfId="136" priority="21">
      <formula>"e12&gt;0"</formula>
    </cfRule>
  </conditionalFormatting>
  <conditionalFormatting sqref="G89">
    <cfRule type="expression" dxfId="135" priority="12">
      <formula>$E$12&gt;0</formula>
    </cfRule>
  </conditionalFormatting>
  <conditionalFormatting sqref="G89">
    <cfRule type="expression" dxfId="134" priority="13">
      <formula>$E$12&gt;0</formula>
    </cfRule>
  </conditionalFormatting>
  <conditionalFormatting sqref="G89">
    <cfRule type="expression" dxfId="133" priority="14">
      <formula>"e12&gt;0"</formula>
    </cfRule>
  </conditionalFormatting>
  <conditionalFormatting sqref="G83:G86">
    <cfRule type="expression" dxfId="132" priority="5">
      <formula>$E$12&gt;0</formula>
    </cfRule>
  </conditionalFormatting>
  <conditionalFormatting sqref="G83:G86">
    <cfRule type="expression" dxfId="131" priority="6">
      <formula>$E$12&gt;0</formula>
    </cfRule>
  </conditionalFormatting>
  <conditionalFormatting sqref="G83:G86">
    <cfRule type="expression" dxfId="130" priority="7">
      <formula>"e12&gt;0"</formula>
    </cfRule>
  </conditionalFormatting>
  <conditionalFormatting sqref="G83:G86">
    <cfRule type="expression" dxfId="129" priority="8">
      <formula>$E$12&gt;0</formula>
    </cfRule>
  </conditionalFormatting>
  <conditionalFormatting sqref="G83:G86">
    <cfRule type="expression" dxfId="128" priority="9">
      <formula>$E$12</formula>
    </cfRule>
  </conditionalFormatting>
  <conditionalFormatting sqref="G83:G86">
    <cfRule type="expression" dxfId="127" priority="10">
      <formula>$E$12</formula>
    </cfRule>
  </conditionalFormatting>
  <conditionalFormatting sqref="G83:G86">
    <cfRule type="expression" dxfId="126" priority="11">
      <formula>"e12&gt;0"</formula>
    </cfRule>
  </conditionalFormatting>
  <conditionalFormatting sqref="G92">
    <cfRule type="expression" dxfId="125" priority="2" stopIfTrue="1">
      <formula>$E$12&gt;0</formula>
    </cfRule>
  </conditionalFormatting>
  <conditionalFormatting sqref="G92">
    <cfRule type="expression" dxfId="124" priority="3" stopIfTrue="1">
      <formula>$E$12&gt;0</formula>
    </cfRule>
    <cfRule type="expression" priority="4" stopIfTrue="1">
      <formula>$E$12 &gt;0</formula>
    </cfRule>
  </conditionalFormatting>
  <conditionalFormatting sqref="G92">
    <cfRule type="expression" dxfId="123" priority="1" stopIfTrue="1">
      <formula>"e12&gt;0"</formula>
    </cfRule>
  </conditionalFormatting>
  <pageMargins left="0.74803149606299213" right="0.74803149606299213" top="0.98425196850393704" bottom="0.98425196850393704" header="0.51181102362204722" footer="0.51181102362204722"/>
  <pageSetup paperSize="9" scale="47" fitToHeight="4" orientation="landscape" horizontalDpi="300" verticalDpi="300" r:id="rId1"/>
  <headerFooter alignWithMargins="0">
    <oddFooter>&amp;C&amp;"Bodoni Bd BT,Bold Italic"&amp;9Page &amp;P of &amp;N</oddFooter>
  </headerFooter>
  <ignoredErrors>
    <ignoredError sqref="E216:F216 D41:E52 B41 E9 E11:E1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6404" r:id="rId4" name="Check Box 20">
              <controlPr defaultSize="0" autoFill="0" autoLine="0" autoPict="0">
                <anchor moveWithCells="1">
                  <from>
                    <xdr:col>6</xdr:col>
                    <xdr:colOff>66675</xdr:colOff>
                    <xdr:row>214</xdr:row>
                    <xdr:rowOff>142875</xdr:rowOff>
                  </from>
                  <to>
                    <xdr:col>7</xdr:col>
                    <xdr:colOff>561975</xdr:colOff>
                    <xdr:row>216</xdr:row>
                    <xdr:rowOff>9525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BE294"/>
  <sheetViews>
    <sheetView showZeros="0" topLeftCell="A87" zoomScale="85" zoomScaleNormal="85" workbookViewId="0">
      <pane xSplit="7" topLeftCell="H1" activePane="topRight" state="frozen"/>
      <selection activeCell="L49" sqref="L49"/>
      <selection pane="topRight" activeCell="B17" sqref="B17"/>
    </sheetView>
  </sheetViews>
  <sheetFormatPr defaultColWidth="0" defaultRowHeight="12.75"/>
  <cols>
    <col min="1" max="1" width="10.7109375" style="7" customWidth="1"/>
    <col min="2" max="2" width="25.7109375" style="7" customWidth="1"/>
    <col min="3" max="3" width="17.7109375" style="7" customWidth="1"/>
    <col min="4"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0" width="13.5703125" style="629" hidden="1" customWidth="1"/>
    <col min="31" max="31" width="10.42578125" style="629" hidden="1" customWidth="1"/>
    <col min="32" max="32" width="12.7109375" style="634" customWidth="1"/>
    <col min="33" max="33" width="17.140625" style="7" hidden="1" customWidth="1"/>
    <col min="34" max="16384" width="0" style="7" hidden="1"/>
  </cols>
  <sheetData>
    <row r="1" spans="1:29" ht="13.5" thickBot="1">
      <c r="A1" s="7">
        <v>0</v>
      </c>
    </row>
    <row r="2" spans="1:29" ht="29.45" customHeight="1" thickBot="1">
      <c r="A2" s="81" t="str">
        <f>'Nov 17'!A2</f>
        <v>Design-spectrum Limited</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86" t="s">
        <v>84</v>
      </c>
      <c r="B4" s="87"/>
      <c r="C4" s="85">
        <f>'Jul 18'!C4+31</f>
        <v>43319</v>
      </c>
      <c r="F4" s="21"/>
      <c r="G4" s="21"/>
      <c r="H4" s="21"/>
      <c r="I4" s="21"/>
      <c r="J4" s="21"/>
      <c r="K4" s="21"/>
      <c r="L4" s="21"/>
      <c r="M4" s="21"/>
      <c r="N4" s="21"/>
      <c r="O4" s="21"/>
      <c r="P4" s="21"/>
      <c r="Q4" s="22"/>
      <c r="R4" s="22"/>
      <c r="S4" s="22"/>
      <c r="T4" s="22"/>
      <c r="U4" s="22"/>
      <c r="V4" s="22"/>
      <c r="W4" s="22"/>
      <c r="X4" s="22"/>
      <c r="Y4" s="22"/>
      <c r="Z4" s="22"/>
      <c r="AA4" s="22"/>
      <c r="AB4" s="22"/>
      <c r="AC4" s="22"/>
    </row>
    <row r="6" spans="1:29" ht="13.5" thickBot="1"/>
    <row r="7" spans="1:29" ht="21" thickBot="1">
      <c r="A7" s="101" t="s">
        <v>0</v>
      </c>
      <c r="B7" s="102"/>
      <c r="C7" s="102"/>
      <c r="D7" s="102"/>
      <c r="E7" s="102"/>
      <c r="F7" s="102"/>
      <c r="G7" s="103"/>
      <c r="H7" s="23"/>
      <c r="I7" s="101" t="s">
        <v>211</v>
      </c>
      <c r="J7" s="102"/>
      <c r="K7" s="102"/>
      <c r="L7" s="103"/>
      <c r="M7" s="7"/>
    </row>
    <row r="8" spans="1:29" ht="13.5" thickBot="1">
      <c r="A8" s="24"/>
      <c r="B8" s="24"/>
      <c r="C8" s="24"/>
      <c r="D8" s="5"/>
      <c r="E8" s="5"/>
      <c r="F8" s="5"/>
      <c r="G8" s="5"/>
      <c r="H8" s="5"/>
      <c r="I8" s="5"/>
      <c r="J8" s="5"/>
      <c r="K8" s="5"/>
      <c r="L8" s="5"/>
      <c r="M8" s="5"/>
    </row>
    <row r="9" spans="1:29" ht="15.75" thickBot="1">
      <c r="A9" s="25" t="s">
        <v>2</v>
      </c>
      <c r="B9" s="24"/>
      <c r="C9" s="24"/>
      <c r="D9" s="26"/>
      <c r="E9" s="334" t="str">
        <f>'Jul 18'!E9</f>
        <v>n</v>
      </c>
      <c r="F9" s="5">
        <f>IF(E9="Both","enter sales invoices manually at row 30 onwards",0)</f>
        <v>0</v>
      </c>
      <c r="G9" s="5"/>
      <c r="H9" s="5"/>
      <c r="I9" s="5"/>
      <c r="J9" s="5"/>
      <c r="K9" s="5"/>
      <c r="L9" s="5"/>
      <c r="M9" s="5"/>
    </row>
    <row r="10" spans="1:29" ht="15.75" thickBot="1">
      <c r="A10" s="24"/>
      <c r="B10" s="24"/>
      <c r="C10" s="24"/>
      <c r="E10" s="27"/>
      <c r="F10" s="5"/>
      <c r="G10" s="5"/>
      <c r="H10" s="5"/>
      <c r="I10" s="5"/>
      <c r="J10" s="5"/>
      <c r="K10" s="5"/>
      <c r="L10" s="5"/>
      <c r="M10" s="5"/>
    </row>
    <row r="11" spans="1:29" ht="15.75" thickBot="1">
      <c r="A11" s="25" t="s">
        <v>4</v>
      </c>
      <c r="B11" s="24"/>
      <c r="C11" s="24"/>
      <c r="E11" s="334" t="str">
        <f>'Jul 18'!E11</f>
        <v>y</v>
      </c>
      <c r="F11" s="5"/>
      <c r="G11" s="5"/>
      <c r="H11" s="5"/>
      <c r="I11" s="5"/>
      <c r="J11" s="5"/>
      <c r="K11" s="65" t="s">
        <v>20</v>
      </c>
      <c r="L11" s="65"/>
      <c r="M11" s="5"/>
      <c r="N11" s="5"/>
      <c r="O11" s="14" t="s">
        <v>20</v>
      </c>
    </row>
    <row r="12" spans="1:29" ht="15.75" thickBot="1">
      <c r="A12" s="25" t="s">
        <v>306</v>
      </c>
      <c r="B12" s="24"/>
      <c r="C12" s="24"/>
      <c r="E12" s="335">
        <f>'Jul 18'!E12</f>
        <v>0.16500000000000001</v>
      </c>
      <c r="F12" s="5"/>
      <c r="G12" s="5"/>
      <c r="H12" s="5"/>
      <c r="I12" s="5"/>
      <c r="J12" s="5"/>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2"/>
      <c r="C16" s="33" t="s">
        <v>77</v>
      </c>
      <c r="D16" s="346">
        <f>'Jul 18'!D54</f>
        <v>0</v>
      </c>
      <c r="E16" s="346">
        <f>'Jul 18'!E54</f>
        <v>75900</v>
      </c>
      <c r="F16" s="346">
        <f>'Jul 18'!F54</f>
        <v>91080</v>
      </c>
      <c r="G16" s="259">
        <f>'Jul 18'!G54</f>
        <v>15180</v>
      </c>
      <c r="H16" s="34"/>
      <c r="I16" s="153" t="s">
        <v>20</v>
      </c>
      <c r="J16" s="152" t="s">
        <v>77</v>
      </c>
      <c r="K16" s="154"/>
      <c r="L16" s="486">
        <f>'Jul 18'!L54</f>
        <v>114180</v>
      </c>
      <c r="M16" s="263">
        <f>'Jul 18'!M54</f>
        <v>195.09</v>
      </c>
      <c r="N16" s="263">
        <f>'Jul 18'!N54</f>
        <v>0</v>
      </c>
      <c r="O16" s="263">
        <f>'Jul 18'!O54</f>
        <v>101044.25</v>
      </c>
      <c r="P16" s="257">
        <f>'Jul 18'!P54</f>
        <v>-175.04</v>
      </c>
      <c r="Q16" s="17"/>
    </row>
    <row r="17" spans="1:16">
      <c r="A17" s="555"/>
      <c r="B17" s="548" t="s">
        <v>499</v>
      </c>
      <c r="C17" s="256"/>
      <c r="D17" s="346">
        <f>IF(E$9="y",F17-G17,0)</f>
        <v>0</v>
      </c>
      <c r="E17" s="346">
        <f>IF(E$9="n",F17-G17,0)</f>
        <v>19250</v>
      </c>
      <c r="F17" s="742">
        <v>23100</v>
      </c>
      <c r="G17" s="551">
        <f>IF(($E$11="n"),0,IF((LEFT(C17,1)="v"),F17,IF((LEFT(C17,1)="z"),0,F17*1/6)))</f>
        <v>3850</v>
      </c>
      <c r="H17" s="34"/>
      <c r="I17" s="560"/>
      <c r="J17" s="743" t="s">
        <v>477</v>
      </c>
      <c r="K17" s="567"/>
      <c r="L17" s="585">
        <v>23100</v>
      </c>
      <c r="M17" s="562"/>
      <c r="N17" s="562"/>
      <c r="O17" s="562"/>
      <c r="P17" s="563">
        <v>2.5</v>
      </c>
    </row>
    <row r="18" spans="1:16">
      <c r="A18" s="555"/>
      <c r="B18" s="1"/>
      <c r="C18" s="2"/>
      <c r="D18" s="346">
        <f t="shared" ref="D18:D52" si="0">IF(E$9="y",F18-G18,0)</f>
        <v>0</v>
      </c>
      <c r="E18" s="346">
        <f t="shared" ref="E18:E52" si="1">IF(E$9="n",F18-G18,0)</f>
        <v>0</v>
      </c>
      <c r="F18" s="558"/>
      <c r="G18" s="551">
        <f t="shared" ref="G18:G52" si="2">IF(($E$11="n"),0,IF((LEFT(C18,1)="v"),F18,IF((LEFT(C18,1)="z"),0,F18*1/6)))</f>
        <v>0</v>
      </c>
      <c r="H18" s="34"/>
      <c r="I18" s="560"/>
      <c r="J18" s="565"/>
      <c r="K18" s="567"/>
      <c r="L18" s="585"/>
      <c r="M18" s="562"/>
      <c r="N18" s="562"/>
      <c r="O18" s="562"/>
      <c r="P18" s="563"/>
    </row>
    <row r="19" spans="1:16">
      <c r="A19" s="555"/>
      <c r="B19" s="1"/>
      <c r="C19" s="2"/>
      <c r="D19" s="346">
        <f t="shared" si="0"/>
        <v>0</v>
      </c>
      <c r="E19" s="346">
        <f t="shared" si="1"/>
        <v>0</v>
      </c>
      <c r="F19" s="558"/>
      <c r="G19" s="551">
        <f t="shared" si="2"/>
        <v>0</v>
      </c>
      <c r="H19" s="34"/>
      <c r="I19" s="560"/>
      <c r="J19" s="565"/>
      <c r="K19" s="567"/>
      <c r="L19" s="585"/>
      <c r="M19" s="562"/>
      <c r="N19" s="562"/>
      <c r="O19" s="562"/>
      <c r="P19" s="563"/>
    </row>
    <row r="20" spans="1:16">
      <c r="A20" s="555"/>
      <c r="B20" s="1"/>
      <c r="C20" s="2"/>
      <c r="D20" s="346">
        <f t="shared" si="0"/>
        <v>0</v>
      </c>
      <c r="E20" s="346">
        <f t="shared" si="1"/>
        <v>0</v>
      </c>
      <c r="F20" s="558"/>
      <c r="G20" s="551">
        <f t="shared" si="2"/>
        <v>0</v>
      </c>
      <c r="H20" s="34"/>
      <c r="I20" s="560"/>
      <c r="J20" s="565"/>
      <c r="K20" s="567"/>
      <c r="L20" s="585"/>
      <c r="M20" s="562"/>
      <c r="N20" s="562"/>
      <c r="O20" s="562"/>
      <c r="P20" s="563"/>
    </row>
    <row r="21" spans="1:16">
      <c r="A21" s="555"/>
      <c r="B21" s="1"/>
      <c r="C21" s="2"/>
      <c r="D21" s="346">
        <f t="shared" si="0"/>
        <v>0</v>
      </c>
      <c r="E21" s="346">
        <f t="shared" si="1"/>
        <v>0</v>
      </c>
      <c r="F21" s="558"/>
      <c r="G21" s="551">
        <f t="shared" si="2"/>
        <v>0</v>
      </c>
      <c r="H21" s="34"/>
      <c r="I21" s="560"/>
      <c r="J21" s="565"/>
      <c r="K21" s="567"/>
      <c r="L21" s="585"/>
      <c r="M21" s="562"/>
      <c r="N21" s="562"/>
      <c r="O21" s="562"/>
      <c r="P21" s="563"/>
    </row>
    <row r="22" spans="1:16">
      <c r="A22" s="555"/>
      <c r="B22" s="1"/>
      <c r="C22" s="2"/>
      <c r="D22" s="346">
        <f t="shared" si="0"/>
        <v>0</v>
      </c>
      <c r="E22" s="346">
        <f t="shared" si="1"/>
        <v>0</v>
      </c>
      <c r="F22" s="558"/>
      <c r="G22" s="551">
        <f t="shared" si="2"/>
        <v>0</v>
      </c>
      <c r="H22" s="34"/>
      <c r="I22" s="560"/>
      <c r="J22" s="565"/>
      <c r="K22" s="567"/>
      <c r="L22" s="585"/>
      <c r="M22" s="562"/>
      <c r="N22" s="562"/>
      <c r="O22" s="562"/>
      <c r="P22" s="563"/>
    </row>
    <row r="23" spans="1:16">
      <c r="A23" s="555"/>
      <c r="B23" s="1"/>
      <c r="C23" s="2"/>
      <c r="D23" s="346">
        <f t="shared" si="0"/>
        <v>0</v>
      </c>
      <c r="E23" s="346">
        <f t="shared" si="1"/>
        <v>0</v>
      </c>
      <c r="F23" s="558"/>
      <c r="G23" s="551">
        <f t="shared" si="2"/>
        <v>0</v>
      </c>
      <c r="H23" s="34"/>
      <c r="I23" s="560"/>
      <c r="J23" s="565"/>
      <c r="K23" s="567"/>
      <c r="L23" s="585"/>
      <c r="M23" s="562"/>
      <c r="N23" s="562"/>
      <c r="O23" s="562"/>
      <c r="P23" s="563"/>
    </row>
    <row r="24" spans="1:16">
      <c r="A24" s="555"/>
      <c r="B24" s="1"/>
      <c r="C24" s="2"/>
      <c r="D24" s="346">
        <f t="shared" si="0"/>
        <v>0</v>
      </c>
      <c r="E24" s="346">
        <f t="shared" si="1"/>
        <v>0</v>
      </c>
      <c r="F24" s="558"/>
      <c r="G24" s="551">
        <f t="shared" si="2"/>
        <v>0</v>
      </c>
      <c r="H24" s="34"/>
      <c r="I24" s="560"/>
      <c r="J24" s="565"/>
      <c r="K24" s="567"/>
      <c r="L24" s="585"/>
      <c r="M24" s="562"/>
      <c r="N24" s="562"/>
      <c r="O24" s="562"/>
      <c r="P24" s="563"/>
    </row>
    <row r="25" spans="1:16">
      <c r="A25" s="555"/>
      <c r="B25" s="1"/>
      <c r="C25" s="2"/>
      <c r="D25" s="346">
        <f t="shared" si="0"/>
        <v>0</v>
      </c>
      <c r="E25" s="346">
        <f t="shared" si="1"/>
        <v>0</v>
      </c>
      <c r="F25" s="558"/>
      <c r="G25" s="551">
        <f t="shared" si="2"/>
        <v>0</v>
      </c>
      <c r="H25" s="34"/>
      <c r="I25" s="560"/>
      <c r="J25" s="565"/>
      <c r="K25" s="567"/>
      <c r="L25" s="585"/>
      <c r="M25" s="562"/>
      <c r="N25" s="562"/>
      <c r="O25" s="562"/>
      <c r="P25" s="563"/>
    </row>
    <row r="26" spans="1:16">
      <c r="A26" s="555"/>
      <c r="B26" s="1"/>
      <c r="C26" s="2"/>
      <c r="D26" s="346">
        <f t="shared" si="0"/>
        <v>0</v>
      </c>
      <c r="E26" s="346">
        <f t="shared" si="1"/>
        <v>0</v>
      </c>
      <c r="F26" s="558"/>
      <c r="G26" s="551">
        <f t="shared" si="2"/>
        <v>0</v>
      </c>
      <c r="H26" s="34"/>
      <c r="I26" s="560"/>
      <c r="J26" s="565"/>
      <c r="K26" s="567"/>
      <c r="L26" s="585"/>
      <c r="M26" s="562"/>
      <c r="N26" s="562"/>
      <c r="O26" s="562"/>
      <c r="P26" s="563"/>
    </row>
    <row r="27" spans="1:16">
      <c r="A27" s="555"/>
      <c r="B27" s="1"/>
      <c r="C27" s="2"/>
      <c r="D27" s="346">
        <f t="shared" si="0"/>
        <v>0</v>
      </c>
      <c r="E27" s="346">
        <f t="shared" si="1"/>
        <v>0</v>
      </c>
      <c r="F27" s="558"/>
      <c r="G27" s="551">
        <f t="shared" si="2"/>
        <v>0</v>
      </c>
      <c r="H27" s="34"/>
      <c r="I27" s="560"/>
      <c r="J27" s="565"/>
      <c r="K27" s="567"/>
      <c r="L27" s="585"/>
      <c r="M27" s="562"/>
      <c r="N27" s="562"/>
      <c r="O27" s="562"/>
      <c r="P27" s="563"/>
    </row>
    <row r="28" spans="1:16">
      <c r="A28" s="555"/>
      <c r="B28" s="1"/>
      <c r="C28" s="2"/>
      <c r="D28" s="346">
        <f t="shared" si="0"/>
        <v>0</v>
      </c>
      <c r="E28" s="346">
        <f t="shared" si="1"/>
        <v>0</v>
      </c>
      <c r="F28" s="558"/>
      <c r="G28" s="551">
        <f t="shared" si="2"/>
        <v>0</v>
      </c>
      <c r="H28" s="34"/>
      <c r="I28" s="560"/>
      <c r="J28" s="565"/>
      <c r="K28" s="567"/>
      <c r="L28" s="585"/>
      <c r="M28" s="562"/>
      <c r="N28" s="562"/>
      <c r="O28" s="562"/>
      <c r="P28" s="563"/>
    </row>
    <row r="29" spans="1:16">
      <c r="A29" s="555"/>
      <c r="B29" s="1"/>
      <c r="C29" s="2"/>
      <c r="D29" s="346">
        <f t="shared" si="0"/>
        <v>0</v>
      </c>
      <c r="E29" s="346">
        <f t="shared" si="1"/>
        <v>0</v>
      </c>
      <c r="F29" s="558"/>
      <c r="G29" s="551">
        <f t="shared" si="2"/>
        <v>0</v>
      </c>
      <c r="H29" s="34"/>
      <c r="I29" s="560"/>
      <c r="J29" s="565"/>
      <c r="K29" s="567"/>
      <c r="L29" s="585"/>
      <c r="M29" s="562"/>
      <c r="N29" s="562"/>
      <c r="O29" s="562"/>
      <c r="P29" s="563"/>
    </row>
    <row r="30" spans="1:16">
      <c r="A30" s="555"/>
      <c r="B30" s="1"/>
      <c r="C30" s="2"/>
      <c r="D30" s="346">
        <f t="shared" si="0"/>
        <v>0</v>
      </c>
      <c r="E30" s="346">
        <f t="shared" si="1"/>
        <v>0</v>
      </c>
      <c r="F30" s="558"/>
      <c r="G30" s="551">
        <f t="shared" si="2"/>
        <v>0</v>
      </c>
      <c r="H30" s="34"/>
      <c r="I30" s="560"/>
      <c r="J30" s="565"/>
      <c r="K30" s="567"/>
      <c r="L30" s="585"/>
      <c r="M30" s="562"/>
      <c r="N30" s="562"/>
      <c r="O30" s="562"/>
      <c r="P30" s="563"/>
    </row>
    <row r="31" spans="1:16">
      <c r="A31" s="555"/>
      <c r="B31" s="1"/>
      <c r="C31" s="2"/>
      <c r="D31" s="346">
        <f t="shared" si="0"/>
        <v>0</v>
      </c>
      <c r="E31" s="346">
        <f t="shared" si="1"/>
        <v>0</v>
      </c>
      <c r="F31" s="558"/>
      <c r="G31" s="551">
        <f t="shared" si="2"/>
        <v>0</v>
      </c>
      <c r="H31" s="34"/>
      <c r="I31" s="560"/>
      <c r="J31" s="565"/>
      <c r="K31" s="567"/>
      <c r="L31" s="585"/>
      <c r="M31" s="562"/>
      <c r="N31" s="562"/>
      <c r="O31" s="562"/>
      <c r="P31" s="563"/>
    </row>
    <row r="32" spans="1:16">
      <c r="A32" s="555"/>
      <c r="B32" s="1"/>
      <c r="C32" s="2"/>
      <c r="D32" s="346">
        <f t="shared" si="0"/>
        <v>0</v>
      </c>
      <c r="E32" s="346">
        <f t="shared" si="1"/>
        <v>0</v>
      </c>
      <c r="F32" s="558"/>
      <c r="G32" s="551">
        <f t="shared" si="2"/>
        <v>0</v>
      </c>
      <c r="H32" s="34"/>
      <c r="I32" s="560"/>
      <c r="J32" s="565"/>
      <c r="K32" s="567"/>
      <c r="L32" s="585"/>
      <c r="M32" s="562"/>
      <c r="N32" s="562"/>
      <c r="O32" s="562"/>
      <c r="P32" s="563"/>
    </row>
    <row r="33" spans="1:16">
      <c r="A33" s="555"/>
      <c r="B33" s="1"/>
      <c r="C33" s="2"/>
      <c r="D33" s="346">
        <f t="shared" si="0"/>
        <v>0</v>
      </c>
      <c r="E33" s="346">
        <f t="shared" si="1"/>
        <v>0</v>
      </c>
      <c r="F33" s="558"/>
      <c r="G33" s="551">
        <f t="shared" si="2"/>
        <v>0</v>
      </c>
      <c r="H33" s="34"/>
      <c r="I33" s="560"/>
      <c r="J33" s="565"/>
      <c r="K33" s="567"/>
      <c r="L33" s="585"/>
      <c r="M33" s="562"/>
      <c r="N33" s="562"/>
      <c r="O33" s="562"/>
      <c r="P33" s="563"/>
    </row>
    <row r="34" spans="1:16">
      <c r="A34" s="555"/>
      <c r="B34" s="1"/>
      <c r="C34" s="2"/>
      <c r="D34" s="346">
        <f t="shared" si="0"/>
        <v>0</v>
      </c>
      <c r="E34" s="346">
        <f t="shared" si="1"/>
        <v>0</v>
      </c>
      <c r="F34" s="558"/>
      <c r="G34" s="551">
        <f t="shared" si="2"/>
        <v>0</v>
      </c>
      <c r="H34" s="34"/>
      <c r="I34" s="560"/>
      <c r="J34" s="565"/>
      <c r="K34" s="567"/>
      <c r="L34" s="585"/>
      <c r="M34" s="562"/>
      <c r="N34" s="562"/>
      <c r="O34" s="562"/>
      <c r="P34" s="563"/>
    </row>
    <row r="35" spans="1:16">
      <c r="A35" s="555"/>
      <c r="B35" s="1"/>
      <c r="C35" s="2"/>
      <c r="D35" s="346">
        <f t="shared" si="0"/>
        <v>0</v>
      </c>
      <c r="E35" s="346">
        <f t="shared" si="1"/>
        <v>0</v>
      </c>
      <c r="F35" s="558"/>
      <c r="G35" s="551">
        <f t="shared" si="2"/>
        <v>0</v>
      </c>
      <c r="H35" s="34"/>
      <c r="I35" s="560"/>
      <c r="J35" s="565"/>
      <c r="K35" s="567"/>
      <c r="L35" s="585"/>
      <c r="M35" s="562"/>
      <c r="N35" s="562"/>
      <c r="O35" s="562"/>
      <c r="P35" s="563"/>
    </row>
    <row r="36" spans="1:16">
      <c r="A36" s="555"/>
      <c r="B36" s="1"/>
      <c r="C36" s="2"/>
      <c r="D36" s="346">
        <f t="shared" si="0"/>
        <v>0</v>
      </c>
      <c r="E36" s="346">
        <f t="shared" si="1"/>
        <v>0</v>
      </c>
      <c r="F36" s="558"/>
      <c r="G36" s="551">
        <f t="shared" si="2"/>
        <v>0</v>
      </c>
      <c r="H36" s="34"/>
      <c r="I36" s="560"/>
      <c r="J36" s="565"/>
      <c r="K36" s="567"/>
      <c r="L36" s="585"/>
      <c r="M36" s="562"/>
      <c r="N36" s="562"/>
      <c r="O36" s="562"/>
      <c r="P36" s="563"/>
    </row>
    <row r="37" spans="1:16">
      <c r="A37" s="555"/>
      <c r="B37" s="1"/>
      <c r="C37" s="2"/>
      <c r="D37" s="346">
        <f t="shared" si="0"/>
        <v>0</v>
      </c>
      <c r="E37" s="346">
        <f t="shared" si="1"/>
        <v>0</v>
      </c>
      <c r="F37" s="558"/>
      <c r="G37" s="551">
        <f t="shared" si="2"/>
        <v>0</v>
      </c>
      <c r="H37" s="34"/>
      <c r="I37" s="560"/>
      <c r="J37" s="565"/>
      <c r="K37" s="567"/>
      <c r="L37" s="585"/>
      <c r="M37" s="562"/>
      <c r="N37" s="562"/>
      <c r="O37" s="562"/>
      <c r="P37" s="563"/>
    </row>
    <row r="38" spans="1:16">
      <c r="A38" s="555"/>
      <c r="B38" s="1"/>
      <c r="C38" s="2"/>
      <c r="D38" s="346">
        <f t="shared" si="0"/>
        <v>0</v>
      </c>
      <c r="E38" s="346">
        <f t="shared" si="1"/>
        <v>0</v>
      </c>
      <c r="F38" s="558"/>
      <c r="G38" s="551">
        <f t="shared" si="2"/>
        <v>0</v>
      </c>
      <c r="H38" s="34"/>
      <c r="I38" s="560"/>
      <c r="J38" s="565"/>
      <c r="K38" s="567"/>
      <c r="L38" s="585"/>
      <c r="M38" s="562"/>
      <c r="N38" s="562"/>
      <c r="O38" s="562"/>
      <c r="P38" s="563"/>
    </row>
    <row r="39" spans="1:16" hidden="1">
      <c r="A39" s="555"/>
      <c r="B39" s="1"/>
      <c r="C39" s="2"/>
      <c r="D39" s="346">
        <f t="shared" si="0"/>
        <v>0</v>
      </c>
      <c r="E39" s="346">
        <f t="shared" si="1"/>
        <v>0</v>
      </c>
      <c r="F39" s="558"/>
      <c r="G39" s="551">
        <f t="shared" si="2"/>
        <v>0</v>
      </c>
      <c r="H39" s="34"/>
      <c r="I39" s="560"/>
      <c r="J39" s="565"/>
      <c r="K39" s="567"/>
      <c r="L39" s="585"/>
      <c r="M39" s="562"/>
      <c r="N39" s="562"/>
      <c r="O39" s="562"/>
      <c r="P39" s="563"/>
    </row>
    <row r="40" spans="1:16" hidden="1">
      <c r="A40" s="555"/>
      <c r="B40" s="1"/>
      <c r="C40" s="2"/>
      <c r="D40" s="346">
        <f t="shared" si="0"/>
        <v>0</v>
      </c>
      <c r="E40" s="346">
        <f t="shared" si="1"/>
        <v>0</v>
      </c>
      <c r="F40" s="558"/>
      <c r="G40" s="551">
        <f t="shared" si="2"/>
        <v>0</v>
      </c>
      <c r="H40" s="34"/>
      <c r="I40" s="560"/>
      <c r="J40" s="565"/>
      <c r="K40" s="567"/>
      <c r="L40" s="585"/>
      <c r="M40" s="562"/>
      <c r="N40" s="562"/>
      <c r="O40" s="562"/>
      <c r="P40" s="563"/>
    </row>
    <row r="41" spans="1:16" hidden="1">
      <c r="A41" s="555"/>
      <c r="B41" s="549">
        <f>IF(E9="Both","Enter manual values here",0)</f>
        <v>0</v>
      </c>
      <c r="C41" s="2"/>
      <c r="D41" s="552">
        <f t="shared" si="0"/>
        <v>0</v>
      </c>
      <c r="E41" s="552">
        <f t="shared" si="1"/>
        <v>0</v>
      </c>
      <c r="F41" s="558"/>
      <c r="G41" s="551">
        <f t="shared" si="2"/>
        <v>0</v>
      </c>
      <c r="H41" s="34"/>
      <c r="I41" s="560"/>
      <c r="J41" s="565"/>
      <c r="K41" s="567"/>
      <c r="L41" s="585"/>
      <c r="M41" s="562"/>
      <c r="N41" s="562"/>
      <c r="O41" s="562"/>
      <c r="P41" s="563"/>
    </row>
    <row r="42" spans="1:16" hidden="1">
      <c r="A42" s="555"/>
      <c r="B42" s="1"/>
      <c r="C42" s="2"/>
      <c r="D42" s="552">
        <f t="shared" si="0"/>
        <v>0</v>
      </c>
      <c r="E42" s="552">
        <f t="shared" si="1"/>
        <v>0</v>
      </c>
      <c r="F42" s="558"/>
      <c r="G42" s="551">
        <f t="shared" si="2"/>
        <v>0</v>
      </c>
      <c r="H42" s="34"/>
      <c r="I42" s="560"/>
      <c r="J42" s="565"/>
      <c r="K42" s="567"/>
      <c r="L42" s="585"/>
      <c r="M42" s="562"/>
      <c r="N42" s="562"/>
      <c r="O42" s="562"/>
      <c r="P42" s="563"/>
    </row>
    <row r="43" spans="1:16" hidden="1">
      <c r="A43" s="555"/>
      <c r="B43" s="1"/>
      <c r="C43" s="2"/>
      <c r="D43" s="552">
        <f t="shared" si="0"/>
        <v>0</v>
      </c>
      <c r="E43" s="552">
        <f t="shared" si="1"/>
        <v>0</v>
      </c>
      <c r="F43" s="558"/>
      <c r="G43" s="551">
        <f t="shared" si="2"/>
        <v>0</v>
      </c>
      <c r="H43" s="34"/>
      <c r="I43" s="560"/>
      <c r="J43" s="565"/>
      <c r="K43" s="567"/>
      <c r="L43" s="585"/>
      <c r="M43" s="562"/>
      <c r="N43" s="562"/>
      <c r="O43" s="562"/>
      <c r="P43" s="563"/>
    </row>
    <row r="44" spans="1:16" hidden="1">
      <c r="A44" s="555"/>
      <c r="B44" s="1"/>
      <c r="C44" s="2"/>
      <c r="D44" s="552">
        <f t="shared" si="0"/>
        <v>0</v>
      </c>
      <c r="E44" s="552">
        <f t="shared" si="1"/>
        <v>0</v>
      </c>
      <c r="F44" s="558"/>
      <c r="G44" s="551">
        <f t="shared" si="2"/>
        <v>0</v>
      </c>
      <c r="H44" s="34"/>
      <c r="I44" s="560"/>
      <c r="J44" s="565"/>
      <c r="K44" s="567"/>
      <c r="L44" s="585"/>
      <c r="M44" s="562"/>
      <c r="N44" s="562"/>
      <c r="O44" s="562"/>
      <c r="P44" s="563"/>
    </row>
    <row r="45" spans="1:16" hidden="1">
      <c r="A45" s="555"/>
      <c r="B45" s="1"/>
      <c r="C45" s="2"/>
      <c r="D45" s="552">
        <f t="shared" si="0"/>
        <v>0</v>
      </c>
      <c r="E45" s="552">
        <f t="shared" si="1"/>
        <v>0</v>
      </c>
      <c r="F45" s="558"/>
      <c r="G45" s="551">
        <f t="shared" si="2"/>
        <v>0</v>
      </c>
      <c r="H45" s="34"/>
      <c r="I45" s="560"/>
      <c r="J45" s="565"/>
      <c r="K45" s="567"/>
      <c r="L45" s="585"/>
      <c r="M45" s="562"/>
      <c r="N45" s="562"/>
      <c r="O45" s="562"/>
      <c r="P45" s="563"/>
    </row>
    <row r="46" spans="1:16" hidden="1">
      <c r="A46" s="555"/>
      <c r="B46" s="1"/>
      <c r="C46" s="2"/>
      <c r="D46" s="552">
        <f t="shared" si="0"/>
        <v>0</v>
      </c>
      <c r="E46" s="552">
        <f t="shared" si="1"/>
        <v>0</v>
      </c>
      <c r="F46" s="558"/>
      <c r="G46" s="551">
        <f t="shared" si="2"/>
        <v>0</v>
      </c>
      <c r="H46" s="34"/>
      <c r="I46" s="560"/>
      <c r="J46" s="565"/>
      <c r="K46" s="567"/>
      <c r="L46" s="585"/>
      <c r="M46" s="562"/>
      <c r="N46" s="562"/>
      <c r="O46" s="562"/>
      <c r="P46" s="563"/>
    </row>
    <row r="47" spans="1:16" hidden="1">
      <c r="A47" s="555"/>
      <c r="B47" s="1"/>
      <c r="C47" s="2"/>
      <c r="D47" s="552">
        <f t="shared" si="0"/>
        <v>0</v>
      </c>
      <c r="E47" s="552">
        <f t="shared" si="1"/>
        <v>0</v>
      </c>
      <c r="F47" s="558"/>
      <c r="G47" s="551">
        <f t="shared" si="2"/>
        <v>0</v>
      </c>
      <c r="H47" s="34"/>
      <c r="I47" s="560"/>
      <c r="J47" s="565"/>
      <c r="K47" s="567"/>
      <c r="L47" s="585"/>
      <c r="M47" s="562"/>
      <c r="N47" s="562"/>
      <c r="O47" s="562"/>
      <c r="P47" s="563"/>
    </row>
    <row r="48" spans="1:16" hidden="1">
      <c r="A48" s="555"/>
      <c r="B48" s="1"/>
      <c r="C48" s="2"/>
      <c r="D48" s="552">
        <f t="shared" si="0"/>
        <v>0</v>
      </c>
      <c r="E48" s="552">
        <f t="shared" si="1"/>
        <v>0</v>
      </c>
      <c r="F48" s="558"/>
      <c r="G48" s="551">
        <f t="shared" si="2"/>
        <v>0</v>
      </c>
      <c r="H48" s="34"/>
      <c r="I48" s="560"/>
      <c r="J48" s="565"/>
      <c r="K48" s="567"/>
      <c r="L48" s="585"/>
      <c r="M48" s="562"/>
      <c r="N48" s="562"/>
      <c r="O48" s="562"/>
      <c r="P48" s="563"/>
    </row>
    <row r="49" spans="1:32" hidden="1">
      <c r="A49" s="555"/>
      <c r="B49" s="1"/>
      <c r="C49" s="2"/>
      <c r="D49" s="552">
        <f t="shared" si="0"/>
        <v>0</v>
      </c>
      <c r="E49" s="552">
        <f t="shared" si="1"/>
        <v>0</v>
      </c>
      <c r="F49" s="558"/>
      <c r="G49" s="551">
        <f t="shared" si="2"/>
        <v>0</v>
      </c>
      <c r="H49" s="34"/>
      <c r="I49" s="560"/>
      <c r="J49" s="565"/>
      <c r="K49" s="567"/>
      <c r="L49" s="585"/>
      <c r="M49" s="562"/>
      <c r="N49" s="562"/>
      <c r="O49" s="562"/>
      <c r="P49" s="563"/>
    </row>
    <row r="50" spans="1:32" hidden="1">
      <c r="A50" s="555"/>
      <c r="B50" s="1"/>
      <c r="C50" s="2"/>
      <c r="D50" s="552">
        <f t="shared" si="0"/>
        <v>0</v>
      </c>
      <c r="E50" s="552">
        <f t="shared" si="1"/>
        <v>0</v>
      </c>
      <c r="F50" s="558"/>
      <c r="G50" s="551">
        <f t="shared" si="2"/>
        <v>0</v>
      </c>
      <c r="H50" s="34"/>
      <c r="I50" s="560"/>
      <c r="J50" s="565"/>
      <c r="K50" s="567"/>
      <c r="L50" s="585"/>
      <c r="M50" s="562"/>
      <c r="N50" s="562"/>
      <c r="O50" s="562"/>
      <c r="P50" s="563"/>
    </row>
    <row r="51" spans="1:32" hidden="1">
      <c r="A51" s="555"/>
      <c r="B51" s="1"/>
      <c r="C51" s="2"/>
      <c r="D51" s="552">
        <f t="shared" si="0"/>
        <v>0</v>
      </c>
      <c r="E51" s="552">
        <f t="shared" si="1"/>
        <v>0</v>
      </c>
      <c r="F51" s="558"/>
      <c r="G51" s="551">
        <f t="shared" si="2"/>
        <v>0</v>
      </c>
      <c r="H51" s="34"/>
      <c r="I51" s="560"/>
      <c r="J51" s="565"/>
      <c r="K51" s="567"/>
      <c r="L51" s="585"/>
      <c r="M51" s="562"/>
      <c r="N51" s="562"/>
      <c r="O51" s="562"/>
      <c r="P51" s="563"/>
    </row>
    <row r="52" spans="1:32" ht="13.5" thickBot="1">
      <c r="A52" s="556"/>
      <c r="B52" s="3"/>
      <c r="C52" s="4"/>
      <c r="D52" s="552">
        <f t="shared" si="0"/>
        <v>0</v>
      </c>
      <c r="E52" s="552">
        <f t="shared" si="1"/>
        <v>0</v>
      </c>
      <c r="F52" s="558"/>
      <c r="G52" s="551">
        <f t="shared" si="2"/>
        <v>0</v>
      </c>
      <c r="H52" s="34"/>
      <c r="I52" s="561"/>
      <c r="J52" s="566"/>
      <c r="K52" s="568"/>
      <c r="L52" s="586"/>
      <c r="M52" s="564"/>
      <c r="N52" s="564"/>
      <c r="O52" s="564"/>
      <c r="P52" s="587"/>
    </row>
    <row r="53" spans="1:32" s="10" customFormat="1" ht="14.25">
      <c r="A53" s="89" t="s">
        <v>26</v>
      </c>
      <c r="B53" s="90"/>
      <c r="C53" s="91"/>
      <c r="D53" s="92">
        <f>SUM(D17:D52)</f>
        <v>0</v>
      </c>
      <c r="E53" s="92">
        <f>SUM(E17:E52)</f>
        <v>19250</v>
      </c>
      <c r="F53" s="92">
        <f>SUM(F17:F52)</f>
        <v>23100</v>
      </c>
      <c r="G53" s="208">
        <f>SUM(G17:G52)</f>
        <v>3850</v>
      </c>
      <c r="H53" s="588"/>
      <c r="I53" s="589" t="s">
        <v>26</v>
      </c>
      <c r="J53" s="91"/>
      <c r="K53" s="590"/>
      <c r="L53" s="92">
        <f>SUM(L17:L52)</f>
        <v>23100</v>
      </c>
      <c r="M53" s="92">
        <f>SUM(M17:M52)</f>
        <v>0</v>
      </c>
      <c r="N53" s="92">
        <f>SUM(N17:N52)</f>
        <v>0</v>
      </c>
      <c r="O53" s="92">
        <f>SUM(O17:O52)</f>
        <v>0</v>
      </c>
      <c r="P53" s="208">
        <f>SUM(P17:P52)</f>
        <v>2.5</v>
      </c>
      <c r="AD53" s="630"/>
      <c r="AE53" s="630"/>
      <c r="AF53" s="634"/>
    </row>
    <row r="54" spans="1:32" s="10" customFormat="1" ht="13.5" thickBot="1">
      <c r="A54" s="38" t="s">
        <v>27</v>
      </c>
      <c r="B54" s="38"/>
      <c r="C54" s="38"/>
      <c r="D54" s="643">
        <f>SUM(D16:D52)</f>
        <v>0</v>
      </c>
      <c r="E54" s="643">
        <f>SUM(E16:E52)</f>
        <v>95150</v>
      </c>
      <c r="F54" s="643">
        <f>SUM(F16:F52)</f>
        <v>114180</v>
      </c>
      <c r="G54" s="644">
        <f>SUM(G16:G52)</f>
        <v>19030</v>
      </c>
      <c r="H54" s="588"/>
      <c r="I54" s="591" t="s">
        <v>27</v>
      </c>
      <c r="J54" s="38"/>
      <c r="K54" s="151"/>
      <c r="L54" s="643">
        <f>SUM(L16:L52)</f>
        <v>137280</v>
      </c>
      <c r="M54" s="643">
        <f>SUM(M16:M52)</f>
        <v>195.09</v>
      </c>
      <c r="N54" s="643">
        <f>SUM(N16:N52)</f>
        <v>0</v>
      </c>
      <c r="O54" s="643">
        <f>SUM(O16:O52)</f>
        <v>101044.25</v>
      </c>
      <c r="P54" s="645">
        <f>SUM(P16:P52)</f>
        <v>-172.54</v>
      </c>
      <c r="AD54" s="630"/>
      <c r="AE54" s="630"/>
      <c r="AF54" s="634"/>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c r="N57" s="18"/>
    </row>
    <row r="58" spans="1:32" ht="18" hidden="1">
      <c r="A58" s="66" t="s">
        <v>28</v>
      </c>
      <c r="B58" s="17"/>
      <c r="C58" s="75">
        <f>IF(E9="y",G59*0.95-(SUM(H197:K197)),0)</f>
        <v>0</v>
      </c>
      <c r="E58" s="113" t="s">
        <v>136</v>
      </c>
      <c r="F58" s="70" t="s">
        <v>138</v>
      </c>
      <c r="G58" s="70" t="s">
        <v>137</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19250</v>
      </c>
      <c r="F60" s="70">
        <f>+G60-E60</f>
        <v>38.5</v>
      </c>
      <c r="G60" s="70">
        <f>IF(E59+E60&lt;&gt;0,E60/(E59+E60)*(G61-G62),0)</f>
        <v>19288.5</v>
      </c>
      <c r="H60" s="18"/>
      <c r="I60" s="18"/>
      <c r="J60" s="18"/>
      <c r="K60" s="18"/>
      <c r="L60" s="18"/>
      <c r="M60" s="18"/>
    </row>
    <row r="61" spans="1:32" hidden="1">
      <c r="A61" s="16"/>
      <c r="B61" s="17"/>
      <c r="C61" s="16"/>
      <c r="D61" s="70" t="s">
        <v>16</v>
      </c>
      <c r="E61" s="70">
        <f>+F53</f>
        <v>23100</v>
      </c>
      <c r="F61" s="70">
        <f>+G61-E61</f>
        <v>0</v>
      </c>
      <c r="G61" s="70">
        <f>+E61</f>
        <v>23100</v>
      </c>
      <c r="H61" s="18"/>
      <c r="I61" s="18"/>
      <c r="J61" s="18"/>
      <c r="K61" s="18"/>
      <c r="L61" s="18"/>
      <c r="M61" s="18"/>
    </row>
    <row r="62" spans="1:32" hidden="1">
      <c r="A62" s="67" t="s">
        <v>29</v>
      </c>
      <c r="B62" s="17"/>
      <c r="C62" s="70">
        <f>IF(E243&lt;=0,0,IF(C4&lt;42095,E265,E243))</f>
        <v>0</v>
      </c>
      <c r="D62" s="70" t="s">
        <v>17</v>
      </c>
      <c r="E62" s="70">
        <f>+G53</f>
        <v>3850</v>
      </c>
      <c r="F62" s="70">
        <f>+G62-E62</f>
        <v>-38.5</v>
      </c>
      <c r="G62" s="70">
        <f>IF(E12&gt;0,(G61)*E12,E62)</f>
        <v>3811.5</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D73" s="7"/>
      <c r="E73" s="7"/>
      <c r="F73" s="7"/>
      <c r="G73" s="7"/>
      <c r="H73" s="7"/>
      <c r="I73" s="7"/>
      <c r="J73" s="7"/>
      <c r="K73" s="7"/>
      <c r="L73" s="7"/>
      <c r="M73" s="7"/>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5"/>
    </row>
    <row r="75" spans="1:56" ht="15">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5" t="s">
        <v>20</v>
      </c>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0"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row>
    <row r="78" spans="1:56" ht="13.5" thickBot="1">
      <c r="A78" s="580" t="s">
        <v>11</v>
      </c>
      <c r="B78" s="580" t="s">
        <v>13</v>
      </c>
      <c r="C78" s="594" t="s">
        <v>38</v>
      </c>
      <c r="D78" s="569" t="s">
        <v>39</v>
      </c>
      <c r="E78" s="569" t="s">
        <v>40</v>
      </c>
      <c r="F78" s="569" t="s">
        <v>155</v>
      </c>
      <c r="G78" s="595" t="s">
        <v>17</v>
      </c>
      <c r="H78" s="571" t="s">
        <v>294</v>
      </c>
      <c r="I78" s="570" t="s">
        <v>42</v>
      </c>
      <c r="J78" s="571" t="s">
        <v>127</v>
      </c>
      <c r="K78" s="570" t="s">
        <v>44</v>
      </c>
      <c r="L78" s="597" t="s">
        <v>161</v>
      </c>
      <c r="M78" s="597" t="s">
        <v>160</v>
      </c>
      <c r="N78" s="597" t="s">
        <v>49</v>
      </c>
      <c r="O78" s="570" t="s">
        <v>132</v>
      </c>
      <c r="P78" s="570" t="s">
        <v>45</v>
      </c>
      <c r="Q78" s="570" t="s">
        <v>46</v>
      </c>
      <c r="R78" s="571" t="s">
        <v>171</v>
      </c>
      <c r="S78" s="570" t="s">
        <v>113</v>
      </c>
      <c r="T78" s="571" t="s">
        <v>57</v>
      </c>
      <c r="U78" s="570" t="s">
        <v>50</v>
      </c>
      <c r="V78" s="571" t="s">
        <v>207</v>
      </c>
      <c r="W78" s="571" t="s">
        <v>175</v>
      </c>
      <c r="X78" s="571" t="s">
        <v>302</v>
      </c>
      <c r="Y78" s="570" t="s">
        <v>121</v>
      </c>
      <c r="Z78" s="571" t="s">
        <v>173</v>
      </c>
      <c r="AA78" s="571" t="s">
        <v>302</v>
      </c>
      <c r="AB78" s="597" t="s">
        <v>152</v>
      </c>
      <c r="AC78" s="570" t="s">
        <v>51</v>
      </c>
      <c r="AF78" s="634" t="s">
        <v>52</v>
      </c>
    </row>
    <row r="79" spans="1:56">
      <c r="A79" s="258"/>
      <c r="B79" s="44" t="s">
        <v>77</v>
      </c>
      <c r="C79" s="45"/>
      <c r="D79" s="615">
        <f>'Jul 18'!D198</f>
        <v>214950.10000000003</v>
      </c>
      <c r="E79" s="616">
        <f>'Jul 18'!E198</f>
        <v>2180</v>
      </c>
      <c r="F79" s="615">
        <f>'Jul 18'!F198</f>
        <v>0</v>
      </c>
      <c r="G79" s="617">
        <f>'Jul 18'!G198</f>
        <v>0</v>
      </c>
      <c r="H79" s="625">
        <f>'Jul 18'!H198</f>
        <v>2005</v>
      </c>
      <c r="I79" s="559">
        <f>'Jul 18'!I198</f>
        <v>1488</v>
      </c>
      <c r="J79" s="559">
        <f>'Jul 18'!J198</f>
        <v>435</v>
      </c>
      <c r="K79" s="559">
        <f>'Jul 18'!K198</f>
        <v>0</v>
      </c>
      <c r="L79" s="559">
        <f>'Jul 18'!L198</f>
        <v>17604</v>
      </c>
      <c r="M79" s="559">
        <f>'Jul 18'!M198</f>
        <v>264.02999999999997</v>
      </c>
      <c r="N79" s="559">
        <f>'Jul 18'!N198</f>
        <v>50000</v>
      </c>
      <c r="O79" s="559">
        <f>'Jul 18'!O198</f>
        <v>0</v>
      </c>
      <c r="P79" s="559">
        <f>'Jul 18'!P198</f>
        <v>160</v>
      </c>
      <c r="Q79" s="559">
        <f>'Jul 18'!Q198</f>
        <v>0</v>
      </c>
      <c r="R79" s="559">
        <f>'Jul 18'!R198</f>
        <v>585</v>
      </c>
      <c r="S79" s="559">
        <f>'Jul 18'!S198</f>
        <v>495</v>
      </c>
      <c r="T79" s="559">
        <f>'Jul 18'!T198</f>
        <v>765</v>
      </c>
      <c r="U79" s="559">
        <f>'Jul 18'!U198</f>
        <v>1242</v>
      </c>
      <c r="V79" s="559">
        <f>'Jul 18'!V198</f>
        <v>54.8</v>
      </c>
      <c r="W79" s="559">
        <f>'Jul 18'!W198</f>
        <v>855</v>
      </c>
      <c r="X79" s="559">
        <f>'Jul 18'!X198</f>
        <v>101239.34</v>
      </c>
      <c r="Y79" s="559">
        <f>'Jul 18'!Y198</f>
        <v>17859.599999999999</v>
      </c>
      <c r="Z79" s="559">
        <f>'Jul 18'!Z198</f>
        <v>21280.33</v>
      </c>
      <c r="AA79" s="559">
        <f>'Jul 18'!AA198</f>
        <v>0</v>
      </c>
      <c r="AB79" s="559">
        <f>'Jul 18'!AB198</f>
        <v>785</v>
      </c>
      <c r="AC79" s="259">
        <f>'Jul 18'!AC198</f>
        <v>13</v>
      </c>
      <c r="AG79" s="43">
        <f>IF(AF79=0,0,"ERROR HERE")</f>
        <v>0</v>
      </c>
      <c r="AH79" s="7">
        <f t="shared" ref="AH79:AQ80" si="3">IF(OR(ISERROR(+H79/($D79+$E79-$G79)*$G79+H79),LEFT(F79,1)="x"),0,+H79/($D79+$E79-$G79)*$G79+H79)</f>
        <v>2005</v>
      </c>
      <c r="AI79" s="7">
        <f t="shared" si="3"/>
        <v>1488</v>
      </c>
      <c r="AJ79" s="7">
        <f t="shared" si="3"/>
        <v>435</v>
      </c>
      <c r="AK79" s="7">
        <f t="shared" si="3"/>
        <v>0</v>
      </c>
      <c r="AL79" s="7">
        <f t="shared" si="3"/>
        <v>17604</v>
      </c>
      <c r="AM79" s="7">
        <f t="shared" si="3"/>
        <v>264.02999999999997</v>
      </c>
      <c r="AN79" s="7">
        <f t="shared" si="3"/>
        <v>50000</v>
      </c>
      <c r="AO79" s="7">
        <f t="shared" si="3"/>
        <v>0</v>
      </c>
      <c r="AP79" s="7">
        <f t="shared" si="3"/>
        <v>160</v>
      </c>
      <c r="AQ79" s="7">
        <f t="shared" si="3"/>
        <v>0</v>
      </c>
      <c r="AR79" s="7">
        <f t="shared" ref="AR79:BA80" si="4">IF(OR(ISERROR(+R79/($D79+$E79-$G79)*$G79+R79),LEFT(P79,1)="x"),0,+R79/($D79+$E79-$G79)*$G79+R79)</f>
        <v>585</v>
      </c>
      <c r="AS79" s="7">
        <f t="shared" si="4"/>
        <v>495</v>
      </c>
      <c r="AT79" s="7">
        <f t="shared" si="4"/>
        <v>765</v>
      </c>
      <c r="AU79" s="7">
        <f t="shared" si="4"/>
        <v>1242</v>
      </c>
      <c r="AV79" s="7">
        <f t="shared" si="4"/>
        <v>54.8</v>
      </c>
      <c r="AW79" s="7">
        <f t="shared" si="4"/>
        <v>855</v>
      </c>
      <c r="AX79" s="7">
        <f t="shared" si="4"/>
        <v>101239.34</v>
      </c>
      <c r="AY79" s="7">
        <f t="shared" si="4"/>
        <v>17859.599999999999</v>
      </c>
      <c r="AZ79" s="7">
        <f t="shared" si="4"/>
        <v>21280.33</v>
      </c>
      <c r="BA79" s="7">
        <f t="shared" si="4"/>
        <v>0</v>
      </c>
      <c r="BB79" s="7">
        <f>IF(OR(ISERROR(+AB79/($D79+$E79-$G79)*$G79+AB79),LEFT(Z79,1)="x"),0,+AB79/($D79+$E79-$G79)*$G79+AB79)</f>
        <v>785</v>
      </c>
      <c r="BC79" s="7">
        <f>IF(OR(ISERROR(+#REF!/($D79+$E79-$G79)*$G79+#REF!),LEFT(AA79,1)="x"),0,+#REF!/($D79+$E79-$G79)*$G79+#REF!)</f>
        <v>0</v>
      </c>
      <c r="BD79" s="7">
        <f>IF(OR(ISERROR(+AC79/($D79+$E79-$G79)*$G79+AC79),LEFT(Z79,1)="x"),0,+AC79/($D79+$E79-$G79)*$G79+AC79)</f>
        <v>13</v>
      </c>
    </row>
    <row r="80" spans="1:56">
      <c r="A80" s="555"/>
      <c r="B80" s="719" t="s">
        <v>462</v>
      </c>
      <c r="C80" s="719"/>
      <c r="D80" s="720">
        <v>812</v>
      </c>
      <c r="E80" s="721"/>
      <c r="F80" s="722"/>
      <c r="G80" s="723"/>
      <c r="H80" s="724"/>
      <c r="I80" s="724"/>
      <c r="J80" s="724"/>
      <c r="K80" s="725"/>
      <c r="L80" s="720">
        <v>812</v>
      </c>
      <c r="M80" s="725"/>
      <c r="N80" s="725"/>
      <c r="O80" s="725"/>
      <c r="P80" s="725"/>
      <c r="Q80" s="725"/>
      <c r="R80" s="726"/>
      <c r="S80" s="727"/>
      <c r="T80" s="725"/>
      <c r="U80" s="726"/>
      <c r="V80" s="726"/>
      <c r="W80" s="727"/>
      <c r="X80" s="562"/>
      <c r="Y80" s="562"/>
      <c r="Z80" s="562"/>
      <c r="AA80" s="562"/>
      <c r="AB80" s="562"/>
      <c r="AC80" s="563"/>
      <c r="AD80" s="629">
        <f>SUM(G80:AC80)</f>
        <v>812</v>
      </c>
      <c r="AE80" s="629">
        <f>SUM(D80:F80)</f>
        <v>812</v>
      </c>
      <c r="AF80" s="634">
        <f>AD80-AE80</f>
        <v>0</v>
      </c>
      <c r="AG80" s="43">
        <f>IF(AF80=0,0,"ERROR HERE")</f>
        <v>0</v>
      </c>
      <c r="AH80" s="7">
        <f t="shared" si="3"/>
        <v>0</v>
      </c>
      <c r="AI80" s="7">
        <f t="shared" si="3"/>
        <v>0</v>
      </c>
      <c r="AJ80" s="7">
        <f t="shared" si="3"/>
        <v>0</v>
      </c>
      <c r="AK80" s="7">
        <f t="shared" si="3"/>
        <v>0</v>
      </c>
      <c r="AL80" s="7">
        <f t="shared" si="3"/>
        <v>812</v>
      </c>
      <c r="AM80" s="7">
        <f t="shared" si="3"/>
        <v>0</v>
      </c>
      <c r="AN80" s="7">
        <f t="shared" si="3"/>
        <v>0</v>
      </c>
      <c r="AO80" s="7">
        <f t="shared" si="3"/>
        <v>0</v>
      </c>
      <c r="AP80" s="7">
        <f t="shared" si="3"/>
        <v>0</v>
      </c>
      <c r="AQ80" s="7">
        <f t="shared" si="3"/>
        <v>0</v>
      </c>
      <c r="AR80" s="7">
        <f t="shared" si="4"/>
        <v>0</v>
      </c>
      <c r="AS80" s="7">
        <f t="shared" si="4"/>
        <v>0</v>
      </c>
      <c r="AT80" s="7">
        <f t="shared" si="4"/>
        <v>0</v>
      </c>
      <c r="AU80" s="7">
        <f t="shared" si="4"/>
        <v>0</v>
      </c>
      <c r="AV80" s="7">
        <f t="shared" si="4"/>
        <v>0</v>
      </c>
      <c r="AW80" s="7">
        <f t="shared" si="4"/>
        <v>0</v>
      </c>
      <c r="AX80" s="7">
        <f t="shared" si="4"/>
        <v>0</v>
      </c>
      <c r="AY80" s="7">
        <f t="shared" si="4"/>
        <v>0</v>
      </c>
      <c r="AZ80" s="7">
        <f t="shared" si="4"/>
        <v>0</v>
      </c>
      <c r="BA80" s="7">
        <f t="shared" si="4"/>
        <v>0</v>
      </c>
      <c r="BB80" s="7">
        <f>IF(OR(ISERROR(+AB80/($D80+$E80-$G80)*$G80+AB80),LEFT(Z80,1)="x"),0,+AB80/($D80+$E80-$G80)*$G80+AB80)</f>
        <v>0</v>
      </c>
      <c r="BC80" s="7">
        <f>IF(OR(ISERROR(+#REF!/($D80+$E80-$G80)*$G80+#REF!),LEFT(AA80,1)="x"),0,+#REF!/($D80+$E80-$G80)*$G80+#REF!)</f>
        <v>0</v>
      </c>
      <c r="BD80" s="7">
        <f>IF(OR(ISERROR(+AC80/($D80+$E80-$G80)*$G80+AC80),LEFT(Z80,1)="x"),0,+AC80/($D80+$E80-$G80)*$G80+AC80)</f>
        <v>0</v>
      </c>
    </row>
    <row r="81" spans="1:33">
      <c r="A81" s="555"/>
      <c r="B81" s="719" t="s">
        <v>463</v>
      </c>
      <c r="C81" s="719"/>
      <c r="D81" s="719">
        <v>800</v>
      </c>
      <c r="E81" s="721"/>
      <c r="F81" s="722"/>
      <c r="G81" s="723"/>
      <c r="H81" s="724"/>
      <c r="I81" s="724"/>
      <c r="J81" s="724"/>
      <c r="K81" s="725"/>
      <c r="L81" s="719">
        <v>800</v>
      </c>
      <c r="M81" s="725"/>
      <c r="N81" s="725"/>
      <c r="O81" s="725"/>
      <c r="P81" s="725"/>
      <c r="Q81" s="725"/>
      <c r="R81" s="726"/>
      <c r="S81" s="727"/>
      <c r="T81" s="725"/>
      <c r="U81" s="726"/>
      <c r="V81" s="726"/>
      <c r="W81" s="727"/>
      <c r="X81" s="562"/>
      <c r="Y81" s="562"/>
      <c r="Z81" s="562"/>
      <c r="AA81" s="562"/>
      <c r="AB81" s="562"/>
      <c r="AC81" s="563"/>
      <c r="AD81" s="629">
        <f t="shared" ref="AD81:AD144" si="5">SUM(G81:AC81)</f>
        <v>800</v>
      </c>
      <c r="AE81" s="629">
        <f t="shared" ref="AE81:AE144" si="6">SUM(D81:F81)</f>
        <v>800</v>
      </c>
      <c r="AF81" s="634">
        <f t="shared" ref="AF81:AF144" si="7">AD81-AE81</f>
        <v>0</v>
      </c>
      <c r="AG81" s="43"/>
    </row>
    <row r="82" spans="1:33">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562"/>
      <c r="Y82" s="562"/>
      <c r="Z82" s="562"/>
      <c r="AA82" s="562"/>
      <c r="AB82" s="562"/>
      <c r="AC82" s="563"/>
      <c r="AD82" s="629">
        <f t="shared" si="5"/>
        <v>138</v>
      </c>
      <c r="AE82" s="629">
        <f t="shared" si="6"/>
        <v>138</v>
      </c>
      <c r="AF82" s="634">
        <f t="shared" si="7"/>
        <v>0</v>
      </c>
      <c r="AG82" s="43"/>
    </row>
    <row r="83" spans="1:33">
      <c r="A83" s="555"/>
      <c r="B83" s="719" t="s">
        <v>465</v>
      </c>
      <c r="C83" s="719"/>
      <c r="D83" s="721"/>
      <c r="E83" s="719">
        <v>164</v>
      </c>
      <c r="F83" s="722"/>
      <c r="G83" s="723"/>
      <c r="H83" s="724"/>
      <c r="I83" s="719">
        <v>164</v>
      </c>
      <c r="J83" s="724"/>
      <c r="K83" s="725"/>
      <c r="L83" s="725"/>
      <c r="M83" s="725"/>
      <c r="N83" s="725"/>
      <c r="O83" s="725"/>
      <c r="P83" s="725"/>
      <c r="Q83" s="725"/>
      <c r="R83" s="726"/>
      <c r="S83" s="727"/>
      <c r="T83" s="725"/>
      <c r="U83" s="726"/>
      <c r="V83" s="726"/>
      <c r="W83" s="727"/>
      <c r="X83" s="562"/>
      <c r="Y83" s="562"/>
      <c r="Z83" s="562"/>
      <c r="AA83" s="562"/>
      <c r="AB83" s="562"/>
      <c r="AC83" s="563"/>
      <c r="AD83" s="629">
        <f t="shared" si="5"/>
        <v>164</v>
      </c>
      <c r="AE83" s="629">
        <f t="shared" si="6"/>
        <v>164</v>
      </c>
      <c r="AF83" s="634">
        <f t="shared" si="7"/>
        <v>0</v>
      </c>
      <c r="AG83" s="43"/>
    </row>
    <row r="84" spans="1:33">
      <c r="A84" s="555"/>
      <c r="B84" s="719" t="s">
        <v>466</v>
      </c>
      <c r="C84" s="719"/>
      <c r="D84" s="721"/>
      <c r="E84" s="719">
        <v>20</v>
      </c>
      <c r="F84" s="722"/>
      <c r="G84" s="723"/>
      <c r="H84" s="724"/>
      <c r="I84" s="724"/>
      <c r="J84" s="724"/>
      <c r="K84" s="725"/>
      <c r="L84" s="725"/>
      <c r="M84" s="725"/>
      <c r="N84" s="725"/>
      <c r="O84" s="725"/>
      <c r="P84" s="719">
        <v>20</v>
      </c>
      <c r="Q84" s="725"/>
      <c r="R84" s="726"/>
      <c r="S84" s="727"/>
      <c r="T84" s="725"/>
      <c r="U84" s="726"/>
      <c r="V84" s="726"/>
      <c r="W84" s="727"/>
      <c r="X84" s="562"/>
      <c r="Y84" s="562"/>
      <c r="Z84" s="562"/>
      <c r="AA84" s="562"/>
      <c r="AB84" s="562"/>
      <c r="AC84" s="563"/>
      <c r="AD84" s="629">
        <f t="shared" si="5"/>
        <v>20</v>
      </c>
      <c r="AE84" s="629">
        <f t="shared" si="6"/>
        <v>20</v>
      </c>
      <c r="AF84" s="634">
        <f t="shared" si="7"/>
        <v>0</v>
      </c>
      <c r="AG84" s="43"/>
    </row>
    <row r="85" spans="1:33">
      <c r="A85" s="555"/>
      <c r="B85" s="719" t="s">
        <v>467</v>
      </c>
      <c r="C85" s="719"/>
      <c r="D85" s="721"/>
      <c r="E85" s="719">
        <v>95</v>
      </c>
      <c r="F85" s="722"/>
      <c r="G85" s="723"/>
      <c r="H85" s="724"/>
      <c r="I85" s="724"/>
      <c r="J85" s="724"/>
      <c r="K85" s="725"/>
      <c r="L85" s="725"/>
      <c r="M85" s="725"/>
      <c r="N85" s="725"/>
      <c r="O85" s="725"/>
      <c r="P85" s="725"/>
      <c r="Q85" s="725"/>
      <c r="R85" s="726"/>
      <c r="S85" s="727"/>
      <c r="T85" s="725"/>
      <c r="U85" s="719"/>
      <c r="V85" s="726"/>
      <c r="W85" s="719">
        <v>95</v>
      </c>
      <c r="X85" s="562"/>
      <c r="Y85" s="562"/>
      <c r="Z85" s="562"/>
      <c r="AA85" s="562"/>
      <c r="AB85" s="562"/>
      <c r="AC85" s="563"/>
      <c r="AD85" s="629">
        <f t="shared" si="5"/>
        <v>95</v>
      </c>
      <c r="AE85" s="629">
        <f t="shared" si="6"/>
        <v>95</v>
      </c>
      <c r="AF85" s="634">
        <f t="shared" si="7"/>
        <v>0</v>
      </c>
      <c r="AG85" s="43"/>
    </row>
    <row r="86" spans="1:33">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562"/>
      <c r="Y86" s="562"/>
      <c r="Z86" s="562"/>
      <c r="AA86" s="562"/>
      <c r="AB86" s="562"/>
      <c r="AC86" s="563"/>
      <c r="AD86" s="629">
        <f t="shared" si="5"/>
        <v>85</v>
      </c>
      <c r="AE86" s="629">
        <f t="shared" si="6"/>
        <v>85</v>
      </c>
      <c r="AF86" s="634">
        <f t="shared" si="7"/>
        <v>0</v>
      </c>
      <c r="AG86" s="43"/>
    </row>
    <row r="87" spans="1:33">
      <c r="A87" s="555"/>
      <c r="B87" s="719" t="s">
        <v>469</v>
      </c>
      <c r="C87" s="719"/>
      <c r="D87" s="721"/>
      <c r="E87" s="719">
        <v>225</v>
      </c>
      <c r="F87" s="722"/>
      <c r="G87" s="723"/>
      <c r="H87" s="719">
        <v>225</v>
      </c>
      <c r="I87" s="724"/>
      <c r="J87" s="724"/>
      <c r="K87" s="725"/>
      <c r="L87" s="725"/>
      <c r="M87" s="725"/>
      <c r="N87" s="725"/>
      <c r="O87" s="725"/>
      <c r="P87" s="725"/>
      <c r="Q87" s="725"/>
      <c r="R87" s="726"/>
      <c r="S87" s="727"/>
      <c r="T87" s="719"/>
      <c r="U87" s="726"/>
      <c r="V87" s="726"/>
      <c r="W87" s="727"/>
      <c r="X87" s="562"/>
      <c r="Y87" s="562"/>
      <c r="Z87" s="562"/>
      <c r="AA87" s="562"/>
      <c r="AB87" s="562"/>
      <c r="AC87" s="563"/>
      <c r="AD87" s="629">
        <f t="shared" si="5"/>
        <v>225</v>
      </c>
      <c r="AE87" s="629">
        <f t="shared" si="6"/>
        <v>225</v>
      </c>
      <c r="AF87" s="634">
        <f t="shared" si="7"/>
        <v>0</v>
      </c>
      <c r="AG87" s="43"/>
    </row>
    <row r="88" spans="1:33">
      <c r="A88" s="555"/>
      <c r="B88" s="719"/>
      <c r="C88" s="719"/>
      <c r="D88" s="721"/>
      <c r="E88" s="719"/>
      <c r="F88" s="722"/>
      <c r="G88" s="723"/>
      <c r="H88" s="719"/>
      <c r="I88" s="724"/>
      <c r="J88" s="724"/>
      <c r="K88" s="725"/>
      <c r="L88" s="725"/>
      <c r="M88" s="725"/>
      <c r="N88" s="725"/>
      <c r="O88" s="725"/>
      <c r="P88" s="725"/>
      <c r="Q88" s="725"/>
      <c r="R88" s="726"/>
      <c r="S88" s="727"/>
      <c r="T88" s="725"/>
      <c r="U88" s="726"/>
      <c r="V88" s="726"/>
      <c r="W88" s="727"/>
      <c r="X88" s="562"/>
      <c r="Y88" s="562"/>
      <c r="Z88" s="562"/>
      <c r="AA88" s="562"/>
      <c r="AB88" s="562"/>
      <c r="AC88" s="563"/>
      <c r="AD88" s="629">
        <f t="shared" si="5"/>
        <v>0</v>
      </c>
      <c r="AE88" s="629">
        <f t="shared" si="6"/>
        <v>0</v>
      </c>
      <c r="AF88" s="634">
        <f t="shared" si="7"/>
        <v>0</v>
      </c>
      <c r="AG88" s="43"/>
    </row>
    <row r="89" spans="1:33">
      <c r="A89" s="555"/>
      <c r="B89" s="719" t="s">
        <v>471</v>
      </c>
      <c r="C89" s="719"/>
      <c r="D89" s="721"/>
      <c r="E89" s="721">
        <v>55</v>
      </c>
      <c r="F89" s="728"/>
      <c r="G89" s="729"/>
      <c r="H89" s="724"/>
      <c r="I89" s="724"/>
      <c r="J89" s="724"/>
      <c r="K89" s="725"/>
      <c r="L89" s="725"/>
      <c r="M89" s="725"/>
      <c r="N89" s="725"/>
      <c r="O89" s="725"/>
      <c r="P89" s="725"/>
      <c r="Q89" s="725"/>
      <c r="R89" s="725"/>
      <c r="S89" s="725">
        <v>55</v>
      </c>
      <c r="T89" s="725"/>
      <c r="U89" s="725"/>
      <c r="V89" s="725"/>
      <c r="W89" s="725"/>
      <c r="X89" s="562"/>
      <c r="Y89" s="562"/>
      <c r="Z89" s="562"/>
      <c r="AA89" s="562"/>
      <c r="AB89" s="562"/>
      <c r="AC89" s="563"/>
      <c r="AD89" s="629">
        <f t="shared" si="5"/>
        <v>55</v>
      </c>
      <c r="AE89" s="629">
        <f t="shared" si="6"/>
        <v>55</v>
      </c>
      <c r="AF89" s="634">
        <f t="shared" si="7"/>
        <v>0</v>
      </c>
      <c r="AG89" s="43"/>
    </row>
    <row r="90" spans="1:33">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562"/>
      <c r="Y90" s="562"/>
      <c r="Z90" s="562"/>
      <c r="AA90" s="562"/>
      <c r="AB90" s="562"/>
      <c r="AC90" s="563"/>
      <c r="AD90" s="629">
        <f t="shared" si="5"/>
        <v>65</v>
      </c>
      <c r="AE90" s="629">
        <f t="shared" si="6"/>
        <v>65</v>
      </c>
      <c r="AF90" s="634">
        <f t="shared" si="7"/>
        <v>0</v>
      </c>
      <c r="AG90" s="43"/>
    </row>
    <row r="91" spans="1:33">
      <c r="A91" s="555"/>
      <c r="B91" s="605" t="s">
        <v>43</v>
      </c>
      <c r="C91" s="607"/>
      <c r="D91" s="608"/>
      <c r="E91" s="608">
        <v>65</v>
      </c>
      <c r="F91" s="608"/>
      <c r="G91" s="609"/>
      <c r="H91" s="585"/>
      <c r="I91" s="562"/>
      <c r="J91" s="562">
        <v>65</v>
      </c>
      <c r="K91" s="562"/>
      <c r="L91" s="562"/>
      <c r="M91" s="562"/>
      <c r="N91" s="602" t="s">
        <v>241</v>
      </c>
      <c r="O91" s="562"/>
      <c r="P91" s="562"/>
      <c r="Q91" s="562"/>
      <c r="R91" s="562"/>
      <c r="S91" s="562"/>
      <c r="T91" s="562"/>
      <c r="U91" s="562"/>
      <c r="V91" s="562"/>
      <c r="W91" s="562"/>
      <c r="X91" s="562"/>
      <c r="Y91" s="562"/>
      <c r="Z91" s="562"/>
      <c r="AA91" s="562"/>
      <c r="AB91" s="562"/>
      <c r="AC91" s="563"/>
      <c r="AD91" s="629">
        <f t="shared" si="5"/>
        <v>65</v>
      </c>
      <c r="AE91" s="629">
        <f t="shared" si="6"/>
        <v>65</v>
      </c>
      <c r="AF91" s="634">
        <f t="shared" si="7"/>
        <v>0</v>
      </c>
      <c r="AG91" s="43"/>
    </row>
    <row r="92" spans="1:33">
      <c r="A92" s="555"/>
      <c r="B92" s="605" t="s">
        <v>174</v>
      </c>
      <c r="C92" s="607"/>
      <c r="D92" s="739">
        <v>5.5</v>
      </c>
      <c r="E92" s="608"/>
      <c r="F92" s="609"/>
      <c r="G92" s="609"/>
      <c r="H92" s="603"/>
      <c r="I92" s="562"/>
      <c r="J92" s="562"/>
      <c r="K92" s="562"/>
      <c r="L92" s="562"/>
      <c r="M92" s="562"/>
      <c r="N92" s="562"/>
      <c r="O92" s="562"/>
      <c r="P92" s="562"/>
      <c r="Q92" s="562"/>
      <c r="R92" s="562"/>
      <c r="S92" s="562"/>
      <c r="T92" s="562"/>
      <c r="U92" s="562"/>
      <c r="V92" s="740">
        <v>5.5</v>
      </c>
      <c r="W92" s="562"/>
      <c r="X92" s="562"/>
      <c r="Y92" s="562"/>
      <c r="Z92" s="562"/>
      <c r="AA92" s="562"/>
      <c r="AB92" s="562"/>
      <c r="AC92" s="563"/>
      <c r="AD92" s="629">
        <f t="shared" si="5"/>
        <v>5.5</v>
      </c>
      <c r="AE92" s="629">
        <f t="shared" si="6"/>
        <v>5.5</v>
      </c>
      <c r="AF92" s="634">
        <f t="shared" si="7"/>
        <v>0</v>
      </c>
      <c r="AG92" s="43"/>
    </row>
    <row r="93" spans="1:33">
      <c r="A93" s="555"/>
      <c r="B93" s="761"/>
      <c r="C93" s="719"/>
      <c r="D93" s="747"/>
      <c r="E93" s="721"/>
      <c r="F93" s="609"/>
      <c r="G93" s="609"/>
      <c r="H93" s="603"/>
      <c r="I93" s="562"/>
      <c r="J93" s="562"/>
      <c r="K93" s="562"/>
      <c r="L93" s="562"/>
      <c r="M93" s="562"/>
      <c r="N93" s="562"/>
      <c r="O93" s="562"/>
      <c r="P93" s="562"/>
      <c r="Q93" s="562"/>
      <c r="R93" s="562"/>
      <c r="S93" s="562"/>
      <c r="T93" s="562"/>
      <c r="U93" s="562"/>
      <c r="V93" s="562"/>
      <c r="W93" s="562"/>
      <c r="X93" s="562"/>
      <c r="Y93" s="562"/>
      <c r="Z93" s="562"/>
      <c r="AA93" s="562"/>
      <c r="AB93" s="562"/>
      <c r="AC93" s="563"/>
      <c r="AD93" s="629">
        <f t="shared" si="5"/>
        <v>0</v>
      </c>
      <c r="AE93" s="629">
        <f t="shared" si="6"/>
        <v>0</v>
      </c>
      <c r="AF93" s="634">
        <f t="shared" si="7"/>
        <v>0</v>
      </c>
      <c r="AG93" s="43"/>
    </row>
    <row r="94" spans="1:33">
      <c r="A94" s="555"/>
      <c r="B94" s="605"/>
      <c r="C94" s="607"/>
      <c r="D94" s="609"/>
      <c r="E94" s="608"/>
      <c r="F94" s="609"/>
      <c r="G94" s="609"/>
      <c r="H94" s="603"/>
      <c r="I94" s="562"/>
      <c r="J94" s="562"/>
      <c r="K94" s="562"/>
      <c r="L94" s="562"/>
      <c r="M94" s="562"/>
      <c r="N94" s="562"/>
      <c r="O94" s="562"/>
      <c r="P94" s="562"/>
      <c r="Q94" s="562"/>
      <c r="R94" s="562"/>
      <c r="S94" s="562"/>
      <c r="T94" s="562"/>
      <c r="U94" s="562"/>
      <c r="V94" s="562"/>
      <c r="W94" s="562"/>
      <c r="X94" s="562"/>
      <c r="Y94" s="562"/>
      <c r="Z94" s="562"/>
      <c r="AA94" s="562"/>
      <c r="AB94" s="562"/>
      <c r="AC94" s="563"/>
      <c r="AD94" s="629">
        <f t="shared" si="5"/>
        <v>0</v>
      </c>
      <c r="AE94" s="629">
        <f t="shared" si="6"/>
        <v>0</v>
      </c>
      <c r="AF94" s="634">
        <f t="shared" si="7"/>
        <v>0</v>
      </c>
      <c r="AG94" s="43"/>
    </row>
    <row r="95" spans="1:33">
      <c r="A95" s="555"/>
      <c r="B95" s="605" t="s">
        <v>498</v>
      </c>
      <c r="C95" s="607"/>
      <c r="D95" s="609">
        <v>3068</v>
      </c>
      <c r="E95" s="608">
        <v>-3068</v>
      </c>
      <c r="F95" s="609"/>
      <c r="G95" s="609"/>
      <c r="H95" s="603"/>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5"/>
        <v>0</v>
      </c>
      <c r="AE95" s="629">
        <f t="shared" si="6"/>
        <v>0</v>
      </c>
      <c r="AF95" s="634">
        <f t="shared" si="7"/>
        <v>0</v>
      </c>
      <c r="AG95" s="43"/>
    </row>
    <row r="96" spans="1:33">
      <c r="A96" s="555"/>
      <c r="B96" s="623"/>
      <c r="C96" s="607"/>
      <c r="D96" s="609"/>
      <c r="E96" s="608"/>
      <c r="F96" s="609"/>
      <c r="G96" s="609"/>
      <c r="H96" s="585"/>
      <c r="I96" s="562"/>
      <c r="J96" s="562"/>
      <c r="K96" s="562"/>
      <c r="L96" s="562"/>
      <c r="M96" s="562"/>
      <c r="N96" s="562"/>
      <c r="O96" s="562"/>
      <c r="P96" s="562"/>
      <c r="Q96" s="562"/>
      <c r="R96" s="562"/>
      <c r="S96" s="562"/>
      <c r="T96" s="562"/>
      <c r="U96" s="562"/>
      <c r="V96" s="562"/>
      <c r="W96" s="562"/>
      <c r="X96" s="562"/>
      <c r="Y96" s="562"/>
      <c r="Z96" s="562"/>
      <c r="AA96" s="562"/>
      <c r="AB96" s="562"/>
      <c r="AC96" s="563"/>
      <c r="AD96" s="629">
        <f t="shared" si="5"/>
        <v>0</v>
      </c>
      <c r="AE96" s="629">
        <f t="shared" si="6"/>
        <v>0</v>
      </c>
      <c r="AF96" s="634">
        <f t="shared" si="7"/>
        <v>0</v>
      </c>
      <c r="AG96" s="43"/>
    </row>
    <row r="97" spans="1:33">
      <c r="A97" s="555"/>
      <c r="B97" s="623"/>
      <c r="C97" s="607"/>
      <c r="D97" s="609"/>
      <c r="E97" s="608"/>
      <c r="F97" s="609"/>
      <c r="G97" s="609"/>
      <c r="H97" s="585"/>
      <c r="I97" s="562"/>
      <c r="J97" s="562"/>
      <c r="K97" s="562"/>
      <c r="L97" s="562"/>
      <c r="M97" s="562"/>
      <c r="N97" s="562"/>
      <c r="O97" s="562"/>
      <c r="P97" s="562"/>
      <c r="Q97" s="562"/>
      <c r="R97" s="562"/>
      <c r="S97" s="562"/>
      <c r="T97" s="562"/>
      <c r="U97" s="562"/>
      <c r="V97" s="562"/>
      <c r="W97" s="562"/>
      <c r="X97" s="562"/>
      <c r="Y97" s="562"/>
      <c r="Z97" s="562"/>
      <c r="AA97" s="562"/>
      <c r="AB97" s="562"/>
      <c r="AC97" s="563"/>
      <c r="AD97" s="629">
        <f t="shared" si="5"/>
        <v>0</v>
      </c>
      <c r="AE97" s="629">
        <f t="shared" si="6"/>
        <v>0</v>
      </c>
      <c r="AF97" s="634">
        <f t="shared" si="7"/>
        <v>0</v>
      </c>
      <c r="AG97" s="43"/>
    </row>
    <row r="98" spans="1:33">
      <c r="A98" s="555"/>
      <c r="B98" s="623"/>
      <c r="C98" s="607"/>
      <c r="D98" s="609"/>
      <c r="E98" s="608"/>
      <c r="F98" s="609"/>
      <c r="G98" s="609"/>
      <c r="H98" s="585"/>
      <c r="I98" s="562"/>
      <c r="J98" s="562"/>
      <c r="K98" s="562"/>
      <c r="L98" s="562"/>
      <c r="M98" s="562"/>
      <c r="N98" s="562"/>
      <c r="O98" s="562"/>
      <c r="P98" s="562"/>
      <c r="Q98" s="562"/>
      <c r="R98" s="562"/>
      <c r="S98" s="562"/>
      <c r="T98" s="562"/>
      <c r="U98" s="562"/>
      <c r="V98" s="562"/>
      <c r="W98" s="562"/>
      <c r="X98" s="562"/>
      <c r="Y98" s="562"/>
      <c r="Z98" s="562"/>
      <c r="AA98" s="562"/>
      <c r="AB98" s="562"/>
      <c r="AC98" s="563"/>
      <c r="AD98" s="629">
        <f t="shared" si="5"/>
        <v>0</v>
      </c>
      <c r="AE98" s="629">
        <f t="shared" si="6"/>
        <v>0</v>
      </c>
      <c r="AF98" s="634">
        <f t="shared" si="7"/>
        <v>0</v>
      </c>
      <c r="AG98" s="43"/>
    </row>
    <row r="99" spans="1:33">
      <c r="A99" s="555"/>
      <c r="B99" s="623"/>
      <c r="C99" s="607"/>
      <c r="D99" s="609"/>
      <c r="E99" s="608"/>
      <c r="F99" s="609"/>
      <c r="G99" s="609"/>
      <c r="H99" s="585"/>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5"/>
        <v>0</v>
      </c>
      <c r="AE99" s="629">
        <f t="shared" si="6"/>
        <v>0</v>
      </c>
      <c r="AF99" s="634">
        <f t="shared" si="7"/>
        <v>0</v>
      </c>
      <c r="AG99" s="43"/>
    </row>
    <row r="100" spans="1:33">
      <c r="A100" s="555"/>
      <c r="B100" s="623"/>
      <c r="C100" s="607"/>
      <c r="D100" s="609"/>
      <c r="E100" s="608"/>
      <c r="F100" s="609"/>
      <c r="G100" s="609"/>
      <c r="H100" s="585"/>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5"/>
        <v>0</v>
      </c>
      <c r="AE100" s="629">
        <f t="shared" si="6"/>
        <v>0</v>
      </c>
      <c r="AF100" s="634">
        <f t="shared" si="7"/>
        <v>0</v>
      </c>
      <c r="AG100" s="43"/>
    </row>
    <row r="101" spans="1:33">
      <c r="A101" s="555"/>
      <c r="B101" s="623"/>
      <c r="C101" s="607"/>
      <c r="D101" s="609"/>
      <c r="E101" s="608"/>
      <c r="F101" s="609"/>
      <c r="G101" s="609"/>
      <c r="H101" s="585"/>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5"/>
        <v>0</v>
      </c>
      <c r="AE101" s="629">
        <f t="shared" si="6"/>
        <v>0</v>
      </c>
      <c r="AF101" s="634">
        <f t="shared" si="7"/>
        <v>0</v>
      </c>
      <c r="AG101" s="43"/>
    </row>
    <row r="102" spans="1:33">
      <c r="A102" s="555"/>
      <c r="B102" s="623"/>
      <c r="C102" s="607"/>
      <c r="D102" s="609"/>
      <c r="E102" s="608"/>
      <c r="F102" s="609"/>
      <c r="G102" s="609"/>
      <c r="H102" s="585"/>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5"/>
        <v>0</v>
      </c>
      <c r="AE102" s="629">
        <f t="shared" si="6"/>
        <v>0</v>
      </c>
      <c r="AF102" s="634">
        <f t="shared" si="7"/>
        <v>0</v>
      </c>
      <c r="AG102" s="43"/>
    </row>
    <row r="103" spans="1:33">
      <c r="A103" s="555"/>
      <c r="B103" s="623"/>
      <c r="C103" s="607"/>
      <c r="D103" s="609"/>
      <c r="E103" s="608"/>
      <c r="F103" s="609"/>
      <c r="G103" s="609"/>
      <c r="H103" s="585"/>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5"/>
        <v>0</v>
      </c>
      <c r="AE103" s="629">
        <f t="shared" si="6"/>
        <v>0</v>
      </c>
      <c r="AF103" s="634">
        <f t="shared" si="7"/>
        <v>0</v>
      </c>
      <c r="AG103" s="43"/>
    </row>
    <row r="104" spans="1:33">
      <c r="A104" s="555"/>
      <c r="B104" s="623"/>
      <c r="C104" s="607"/>
      <c r="D104" s="609"/>
      <c r="E104" s="608"/>
      <c r="F104" s="609"/>
      <c r="G104" s="609"/>
      <c r="H104" s="585"/>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5"/>
        <v>0</v>
      </c>
      <c r="AE104" s="629">
        <f t="shared" si="6"/>
        <v>0</v>
      </c>
      <c r="AF104" s="634">
        <f t="shared" si="7"/>
        <v>0</v>
      </c>
      <c r="AG104" s="43"/>
    </row>
    <row r="105" spans="1:33">
      <c r="A105" s="555"/>
      <c r="B105" s="623"/>
      <c r="C105" s="607"/>
      <c r="D105" s="609"/>
      <c r="E105" s="608"/>
      <c r="F105" s="609"/>
      <c r="G105" s="609"/>
      <c r="H105" s="585"/>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5"/>
        <v>0</v>
      </c>
      <c r="AE105" s="629">
        <f t="shared" si="6"/>
        <v>0</v>
      </c>
      <c r="AF105" s="634">
        <f t="shared" si="7"/>
        <v>0</v>
      </c>
      <c r="AG105" s="43"/>
    </row>
    <row r="106" spans="1:33">
      <c r="A106" s="555"/>
      <c r="B106" s="623"/>
      <c r="C106" s="607"/>
      <c r="D106" s="609"/>
      <c r="E106" s="608"/>
      <c r="F106" s="609"/>
      <c r="G106" s="609"/>
      <c r="H106" s="585"/>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5"/>
        <v>0</v>
      </c>
      <c r="AE106" s="629">
        <f t="shared" si="6"/>
        <v>0</v>
      </c>
      <c r="AF106" s="634">
        <f t="shared" si="7"/>
        <v>0</v>
      </c>
      <c r="AG106" s="43"/>
    </row>
    <row r="107" spans="1:33" ht="13.5" thickBot="1">
      <c r="A107" s="555"/>
      <c r="B107" s="623"/>
      <c r="C107" s="607"/>
      <c r="D107" s="609"/>
      <c r="E107" s="608"/>
      <c r="F107" s="609"/>
      <c r="G107" s="609"/>
      <c r="H107" s="585"/>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5"/>
        <v>0</v>
      </c>
      <c r="AE107" s="629">
        <f t="shared" si="6"/>
        <v>0</v>
      </c>
      <c r="AF107" s="634">
        <f t="shared" si="7"/>
        <v>0</v>
      </c>
      <c r="AG107" s="43"/>
    </row>
    <row r="108" spans="1:33" hidden="1">
      <c r="A108" s="555"/>
      <c r="B108" s="623"/>
      <c r="C108" s="607"/>
      <c r="D108" s="609"/>
      <c r="E108" s="608"/>
      <c r="F108" s="609"/>
      <c r="G108" s="609"/>
      <c r="H108" s="585"/>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5"/>
        <v>0</v>
      </c>
      <c r="AE108" s="629">
        <f t="shared" si="6"/>
        <v>0</v>
      </c>
      <c r="AF108" s="634">
        <f t="shared" si="7"/>
        <v>0</v>
      </c>
      <c r="AG108" s="43"/>
    </row>
    <row r="109" spans="1:33" hidden="1">
      <c r="A109" s="555"/>
      <c r="B109" s="623"/>
      <c r="C109" s="607"/>
      <c r="D109" s="609"/>
      <c r="E109" s="608"/>
      <c r="F109" s="609"/>
      <c r="G109" s="609"/>
      <c r="H109" s="585"/>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5"/>
        <v>0</v>
      </c>
      <c r="AE109" s="629">
        <f t="shared" si="6"/>
        <v>0</v>
      </c>
      <c r="AF109" s="634">
        <f t="shared" si="7"/>
        <v>0</v>
      </c>
      <c r="AG109" s="43"/>
    </row>
    <row r="110" spans="1:33" hidden="1">
      <c r="A110" s="555"/>
      <c r="B110" s="623"/>
      <c r="C110" s="607"/>
      <c r="D110" s="609"/>
      <c r="E110" s="608"/>
      <c r="F110" s="609"/>
      <c r="G110" s="609"/>
      <c r="H110" s="585"/>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5"/>
        <v>0</v>
      </c>
      <c r="AE110" s="629">
        <f t="shared" si="6"/>
        <v>0</v>
      </c>
      <c r="AF110" s="634">
        <f t="shared" si="7"/>
        <v>0</v>
      </c>
      <c r="AG110" s="43"/>
    </row>
    <row r="111" spans="1:33" hidden="1">
      <c r="A111" s="555"/>
      <c r="B111" s="623"/>
      <c r="C111" s="607"/>
      <c r="D111" s="609"/>
      <c r="E111" s="608"/>
      <c r="F111" s="609"/>
      <c r="G111" s="609"/>
      <c r="H111" s="585"/>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5"/>
        <v>0</v>
      </c>
      <c r="AE111" s="629">
        <f t="shared" si="6"/>
        <v>0</v>
      </c>
      <c r="AF111" s="634">
        <f t="shared" si="7"/>
        <v>0</v>
      </c>
      <c r="AG111" s="43"/>
    </row>
    <row r="112" spans="1:33" hidden="1">
      <c r="A112" s="555"/>
      <c r="B112" s="623"/>
      <c r="C112" s="607"/>
      <c r="D112" s="609"/>
      <c r="E112" s="608"/>
      <c r="F112" s="609"/>
      <c r="G112" s="609"/>
      <c r="H112" s="585"/>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5"/>
        <v>0</v>
      </c>
      <c r="AE112" s="629">
        <f t="shared" si="6"/>
        <v>0</v>
      </c>
      <c r="AF112" s="634">
        <f t="shared" si="7"/>
        <v>0</v>
      </c>
      <c r="AG112" s="43"/>
    </row>
    <row r="113" spans="1:33" hidden="1">
      <c r="A113" s="555"/>
      <c r="B113" s="623"/>
      <c r="C113" s="607"/>
      <c r="D113" s="609"/>
      <c r="E113" s="608"/>
      <c r="F113" s="609"/>
      <c r="G113" s="609"/>
      <c r="H113" s="585"/>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5"/>
        <v>0</v>
      </c>
      <c r="AE113" s="629">
        <f t="shared" si="6"/>
        <v>0</v>
      </c>
      <c r="AF113" s="634">
        <f t="shared" si="7"/>
        <v>0</v>
      </c>
      <c r="AG113" s="43"/>
    </row>
    <row r="114" spans="1:33" hidden="1">
      <c r="A114" s="555"/>
      <c r="B114" s="623"/>
      <c r="C114" s="607"/>
      <c r="D114" s="609"/>
      <c r="E114" s="608"/>
      <c r="F114" s="609"/>
      <c r="G114" s="609"/>
      <c r="H114" s="585"/>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5"/>
        <v>0</v>
      </c>
      <c r="AE114" s="629">
        <f t="shared" si="6"/>
        <v>0</v>
      </c>
      <c r="AF114" s="634">
        <f t="shared" si="7"/>
        <v>0</v>
      </c>
      <c r="AG114" s="43"/>
    </row>
    <row r="115" spans="1:33" hidden="1">
      <c r="A115" s="555"/>
      <c r="B115" s="623"/>
      <c r="C115" s="607"/>
      <c r="D115" s="609"/>
      <c r="E115" s="608"/>
      <c r="F115" s="609"/>
      <c r="G115" s="609"/>
      <c r="H115" s="585"/>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5"/>
        <v>0</v>
      </c>
      <c r="AE115" s="629">
        <f t="shared" si="6"/>
        <v>0</v>
      </c>
      <c r="AF115" s="634">
        <f t="shared" si="7"/>
        <v>0</v>
      </c>
      <c r="AG115" s="43"/>
    </row>
    <row r="116" spans="1:33" hidden="1">
      <c r="A116" s="555"/>
      <c r="B116" s="623"/>
      <c r="C116" s="607"/>
      <c r="D116" s="609"/>
      <c r="E116" s="608"/>
      <c r="F116" s="609"/>
      <c r="G116" s="609"/>
      <c r="H116" s="585"/>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5"/>
        <v>0</v>
      </c>
      <c r="AE116" s="629">
        <f t="shared" si="6"/>
        <v>0</v>
      </c>
      <c r="AF116" s="634">
        <f t="shared" si="7"/>
        <v>0</v>
      </c>
      <c r="AG116" s="43"/>
    </row>
    <row r="117" spans="1:33" hidden="1">
      <c r="A117" s="555"/>
      <c r="B117" s="623"/>
      <c r="C117" s="607"/>
      <c r="D117" s="609"/>
      <c r="E117" s="608"/>
      <c r="F117" s="609"/>
      <c r="G117" s="609"/>
      <c r="H117" s="585"/>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5"/>
        <v>0</v>
      </c>
      <c r="AE117" s="629">
        <f t="shared" si="6"/>
        <v>0</v>
      </c>
      <c r="AF117" s="634">
        <f t="shared" si="7"/>
        <v>0</v>
      </c>
      <c r="AG117" s="43"/>
    </row>
    <row r="118" spans="1:33" hidden="1">
      <c r="A118" s="555"/>
      <c r="B118" s="623"/>
      <c r="C118" s="607"/>
      <c r="D118" s="609"/>
      <c r="E118" s="608"/>
      <c r="F118" s="609"/>
      <c r="G118" s="609"/>
      <c r="H118" s="585"/>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5"/>
        <v>0</v>
      </c>
      <c r="AE118" s="629">
        <f t="shared" si="6"/>
        <v>0</v>
      </c>
      <c r="AF118" s="634">
        <f t="shared" si="7"/>
        <v>0</v>
      </c>
      <c r="AG118" s="43"/>
    </row>
    <row r="119" spans="1:33" hidden="1">
      <c r="A119" s="555"/>
      <c r="B119" s="623"/>
      <c r="C119" s="607"/>
      <c r="D119" s="609"/>
      <c r="E119" s="608"/>
      <c r="F119" s="609"/>
      <c r="G119" s="609"/>
      <c r="H119" s="585"/>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5"/>
        <v>0</v>
      </c>
      <c r="AE119" s="629">
        <f t="shared" si="6"/>
        <v>0</v>
      </c>
      <c r="AF119" s="634">
        <f t="shared" si="7"/>
        <v>0</v>
      </c>
      <c r="AG119" s="43"/>
    </row>
    <row r="120" spans="1:33" hidden="1">
      <c r="A120" s="555"/>
      <c r="B120" s="623"/>
      <c r="C120" s="607"/>
      <c r="D120" s="609"/>
      <c r="E120" s="608"/>
      <c r="F120" s="609"/>
      <c r="G120" s="609"/>
      <c r="H120" s="585"/>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5"/>
        <v>0</v>
      </c>
      <c r="AE120" s="629">
        <f t="shared" si="6"/>
        <v>0</v>
      </c>
      <c r="AF120" s="634">
        <f t="shared" si="7"/>
        <v>0</v>
      </c>
      <c r="AG120" s="43"/>
    </row>
    <row r="121" spans="1:33" hidden="1">
      <c r="A121" s="555"/>
      <c r="B121" s="623"/>
      <c r="C121" s="607"/>
      <c r="D121" s="609"/>
      <c r="E121" s="608"/>
      <c r="F121" s="609"/>
      <c r="G121" s="609"/>
      <c r="H121" s="585"/>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5"/>
        <v>0</v>
      </c>
      <c r="AE121" s="629">
        <f t="shared" si="6"/>
        <v>0</v>
      </c>
      <c r="AF121" s="634">
        <f t="shared" si="7"/>
        <v>0</v>
      </c>
      <c r="AG121" s="43"/>
    </row>
    <row r="122" spans="1:33" hidden="1">
      <c r="A122" s="555"/>
      <c r="B122" s="623"/>
      <c r="C122" s="607"/>
      <c r="D122" s="609"/>
      <c r="E122" s="608"/>
      <c r="F122" s="609"/>
      <c r="G122" s="609"/>
      <c r="H122" s="585"/>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5"/>
        <v>0</v>
      </c>
      <c r="AE122" s="629">
        <f t="shared" si="6"/>
        <v>0</v>
      </c>
      <c r="AF122" s="634">
        <f t="shared" si="7"/>
        <v>0</v>
      </c>
      <c r="AG122" s="43"/>
    </row>
    <row r="123" spans="1:33" hidden="1">
      <c r="A123" s="555"/>
      <c r="B123" s="623"/>
      <c r="C123" s="607"/>
      <c r="D123" s="609"/>
      <c r="E123" s="608"/>
      <c r="F123" s="609"/>
      <c r="G123" s="609"/>
      <c r="H123" s="585"/>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5"/>
        <v>0</v>
      </c>
      <c r="AE123" s="629">
        <f t="shared" si="6"/>
        <v>0</v>
      </c>
      <c r="AF123" s="634">
        <f t="shared" si="7"/>
        <v>0</v>
      </c>
      <c r="AG123" s="43"/>
    </row>
    <row r="124" spans="1:33" hidden="1">
      <c r="A124" s="555"/>
      <c r="B124" s="623"/>
      <c r="C124" s="607"/>
      <c r="D124" s="609"/>
      <c r="E124" s="608"/>
      <c r="F124" s="609"/>
      <c r="G124" s="609"/>
      <c r="H124" s="585"/>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5"/>
        <v>0</v>
      </c>
      <c r="AE124" s="629">
        <f t="shared" si="6"/>
        <v>0</v>
      </c>
      <c r="AF124" s="634">
        <f t="shared" si="7"/>
        <v>0</v>
      </c>
      <c r="AG124" s="43"/>
    </row>
    <row r="125" spans="1:33" hidden="1">
      <c r="A125" s="555"/>
      <c r="B125" s="623"/>
      <c r="C125" s="607"/>
      <c r="D125" s="609"/>
      <c r="E125" s="608"/>
      <c r="F125" s="609"/>
      <c r="G125" s="609"/>
      <c r="H125" s="585"/>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5"/>
        <v>0</v>
      </c>
      <c r="AE125" s="629">
        <f t="shared" si="6"/>
        <v>0</v>
      </c>
      <c r="AF125" s="634">
        <f t="shared" si="7"/>
        <v>0</v>
      </c>
      <c r="AG125" s="43"/>
    </row>
    <row r="126" spans="1:33" hidden="1">
      <c r="A126" s="555"/>
      <c r="B126" s="623"/>
      <c r="C126" s="607"/>
      <c r="D126" s="609"/>
      <c r="E126" s="608"/>
      <c r="F126" s="609"/>
      <c r="G126" s="609"/>
      <c r="H126" s="585"/>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5"/>
        <v>0</v>
      </c>
      <c r="AE126" s="629">
        <f t="shared" si="6"/>
        <v>0</v>
      </c>
      <c r="AF126" s="634">
        <f t="shared" si="7"/>
        <v>0</v>
      </c>
      <c r="AG126" s="43"/>
    </row>
    <row r="127" spans="1:33" hidden="1">
      <c r="A127" s="555"/>
      <c r="B127" s="623"/>
      <c r="C127" s="607"/>
      <c r="D127" s="609"/>
      <c r="E127" s="608"/>
      <c r="F127" s="609"/>
      <c r="G127" s="609"/>
      <c r="H127" s="585"/>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5"/>
        <v>0</v>
      </c>
      <c r="AE127" s="629">
        <f t="shared" si="6"/>
        <v>0</v>
      </c>
      <c r="AF127" s="634">
        <f t="shared" si="7"/>
        <v>0</v>
      </c>
      <c r="AG127" s="43"/>
    </row>
    <row r="128" spans="1:33" hidden="1">
      <c r="A128" s="555"/>
      <c r="B128" s="623"/>
      <c r="C128" s="607"/>
      <c r="D128" s="609"/>
      <c r="E128" s="608"/>
      <c r="F128" s="609"/>
      <c r="G128" s="609"/>
      <c r="H128" s="585"/>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5"/>
        <v>0</v>
      </c>
      <c r="AE128" s="629">
        <f t="shared" si="6"/>
        <v>0</v>
      </c>
      <c r="AF128" s="634">
        <f t="shared" si="7"/>
        <v>0</v>
      </c>
      <c r="AG128" s="43"/>
    </row>
    <row r="129" spans="1:33" hidden="1">
      <c r="A129" s="555"/>
      <c r="B129" s="623"/>
      <c r="C129" s="607"/>
      <c r="D129" s="609"/>
      <c r="E129" s="608"/>
      <c r="F129" s="609"/>
      <c r="G129" s="609"/>
      <c r="H129" s="585"/>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5"/>
        <v>0</v>
      </c>
      <c r="AE129" s="629">
        <f t="shared" si="6"/>
        <v>0</v>
      </c>
      <c r="AF129" s="634">
        <f t="shared" si="7"/>
        <v>0</v>
      </c>
      <c r="AG129" s="43"/>
    </row>
    <row r="130" spans="1:33" hidden="1">
      <c r="A130" s="555"/>
      <c r="B130" s="623"/>
      <c r="C130" s="607"/>
      <c r="D130" s="609"/>
      <c r="E130" s="608"/>
      <c r="F130" s="609"/>
      <c r="G130" s="609"/>
      <c r="H130" s="585"/>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5"/>
        <v>0</v>
      </c>
      <c r="AE130" s="629">
        <f t="shared" si="6"/>
        <v>0</v>
      </c>
      <c r="AF130" s="634">
        <f t="shared" si="7"/>
        <v>0</v>
      </c>
      <c r="AG130" s="43"/>
    </row>
    <row r="131" spans="1:33" hidden="1">
      <c r="A131" s="555"/>
      <c r="B131" s="623"/>
      <c r="C131" s="607"/>
      <c r="D131" s="609"/>
      <c r="E131" s="608"/>
      <c r="F131" s="609"/>
      <c r="G131" s="609"/>
      <c r="H131" s="585"/>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5"/>
        <v>0</v>
      </c>
      <c r="AE131" s="629">
        <f t="shared" si="6"/>
        <v>0</v>
      </c>
      <c r="AF131" s="634">
        <f t="shared" si="7"/>
        <v>0</v>
      </c>
      <c r="AG131" s="43"/>
    </row>
    <row r="132" spans="1:33" hidden="1">
      <c r="A132" s="555"/>
      <c r="B132" s="623"/>
      <c r="C132" s="607"/>
      <c r="D132" s="609"/>
      <c r="E132" s="608"/>
      <c r="F132" s="609"/>
      <c r="G132" s="609"/>
      <c r="H132" s="585"/>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5"/>
        <v>0</v>
      </c>
      <c r="AE132" s="629">
        <f t="shared" si="6"/>
        <v>0</v>
      </c>
      <c r="AF132" s="634">
        <f t="shared" si="7"/>
        <v>0</v>
      </c>
      <c r="AG132" s="43"/>
    </row>
    <row r="133" spans="1:33" hidden="1">
      <c r="A133" s="555"/>
      <c r="B133" s="623"/>
      <c r="C133" s="607"/>
      <c r="D133" s="609"/>
      <c r="E133" s="608"/>
      <c r="F133" s="609"/>
      <c r="G133" s="609"/>
      <c r="H133" s="585"/>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5"/>
        <v>0</v>
      </c>
      <c r="AE133" s="629">
        <f t="shared" si="6"/>
        <v>0</v>
      </c>
      <c r="AF133" s="634">
        <f t="shared" si="7"/>
        <v>0</v>
      </c>
      <c r="AG133" s="43"/>
    </row>
    <row r="134" spans="1:33" hidden="1">
      <c r="A134" s="555"/>
      <c r="B134" s="623"/>
      <c r="C134" s="607"/>
      <c r="D134" s="609"/>
      <c r="E134" s="608"/>
      <c r="F134" s="609"/>
      <c r="G134" s="609"/>
      <c r="H134" s="585"/>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5"/>
        <v>0</v>
      </c>
      <c r="AE134" s="629">
        <f t="shared" si="6"/>
        <v>0</v>
      </c>
      <c r="AF134" s="634">
        <f t="shared" si="7"/>
        <v>0</v>
      </c>
      <c r="AG134" s="43"/>
    </row>
    <row r="135" spans="1:33" hidden="1">
      <c r="A135" s="555"/>
      <c r="B135" s="623"/>
      <c r="C135" s="607"/>
      <c r="D135" s="609"/>
      <c r="E135" s="608"/>
      <c r="F135" s="609"/>
      <c r="G135" s="609"/>
      <c r="H135" s="585"/>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5"/>
        <v>0</v>
      </c>
      <c r="AE135" s="629">
        <f t="shared" si="6"/>
        <v>0</v>
      </c>
      <c r="AF135" s="634">
        <f t="shared" si="7"/>
        <v>0</v>
      </c>
      <c r="AG135" s="43"/>
    </row>
    <row r="136" spans="1:33" hidden="1">
      <c r="A136" s="555"/>
      <c r="B136" s="623"/>
      <c r="C136" s="607"/>
      <c r="D136" s="609"/>
      <c r="E136" s="608"/>
      <c r="F136" s="609"/>
      <c r="G136" s="609"/>
      <c r="H136" s="585"/>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5"/>
        <v>0</v>
      </c>
      <c r="AE136" s="629">
        <f t="shared" si="6"/>
        <v>0</v>
      </c>
      <c r="AF136" s="634">
        <f t="shared" si="7"/>
        <v>0</v>
      </c>
      <c r="AG136" s="43"/>
    </row>
    <row r="137" spans="1:33" hidden="1">
      <c r="A137" s="555"/>
      <c r="B137" s="623"/>
      <c r="C137" s="607"/>
      <c r="D137" s="609"/>
      <c r="E137" s="608"/>
      <c r="F137" s="609"/>
      <c r="G137" s="609"/>
      <c r="H137" s="585"/>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5"/>
        <v>0</v>
      </c>
      <c r="AE137" s="629">
        <f t="shared" si="6"/>
        <v>0</v>
      </c>
      <c r="AF137" s="634">
        <f t="shared" si="7"/>
        <v>0</v>
      </c>
      <c r="AG137" s="43"/>
    </row>
    <row r="138" spans="1:33" hidden="1">
      <c r="A138" s="555"/>
      <c r="B138" s="623"/>
      <c r="C138" s="607"/>
      <c r="D138" s="609"/>
      <c r="E138" s="608"/>
      <c r="F138" s="609"/>
      <c r="G138" s="609"/>
      <c r="H138" s="585"/>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5"/>
        <v>0</v>
      </c>
      <c r="AE138" s="629">
        <f t="shared" si="6"/>
        <v>0</v>
      </c>
      <c r="AF138" s="634">
        <f t="shared" si="7"/>
        <v>0</v>
      </c>
      <c r="AG138" s="43"/>
    </row>
    <row r="139" spans="1:33" hidden="1">
      <c r="A139" s="555"/>
      <c r="B139" s="623"/>
      <c r="C139" s="607"/>
      <c r="D139" s="609"/>
      <c r="E139" s="608"/>
      <c r="F139" s="609"/>
      <c r="G139" s="609"/>
      <c r="H139" s="585"/>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5"/>
        <v>0</v>
      </c>
      <c r="AE139" s="629">
        <f t="shared" si="6"/>
        <v>0</v>
      </c>
      <c r="AF139" s="634">
        <f t="shared" si="7"/>
        <v>0</v>
      </c>
      <c r="AG139" s="43"/>
    </row>
    <row r="140" spans="1:33" hidden="1">
      <c r="A140" s="555"/>
      <c r="B140" s="623"/>
      <c r="C140" s="607"/>
      <c r="D140" s="609"/>
      <c r="E140" s="608"/>
      <c r="F140" s="609"/>
      <c r="G140" s="609"/>
      <c r="H140" s="585"/>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5"/>
        <v>0</v>
      </c>
      <c r="AE140" s="629">
        <f t="shared" si="6"/>
        <v>0</v>
      </c>
      <c r="AF140" s="634">
        <f t="shared" si="7"/>
        <v>0</v>
      </c>
      <c r="AG140" s="43"/>
    </row>
    <row r="141" spans="1:33" hidden="1">
      <c r="A141" s="555"/>
      <c r="B141" s="623"/>
      <c r="C141" s="607"/>
      <c r="D141" s="609"/>
      <c r="E141" s="608"/>
      <c r="F141" s="609"/>
      <c r="G141" s="609"/>
      <c r="H141" s="585"/>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5"/>
        <v>0</v>
      </c>
      <c r="AE141" s="629">
        <f t="shared" si="6"/>
        <v>0</v>
      </c>
      <c r="AF141" s="634">
        <f t="shared" si="7"/>
        <v>0</v>
      </c>
      <c r="AG141" s="43"/>
    </row>
    <row r="142" spans="1:33" hidden="1">
      <c r="A142" s="555"/>
      <c r="B142" s="623"/>
      <c r="C142" s="607"/>
      <c r="D142" s="609"/>
      <c r="E142" s="608"/>
      <c r="F142" s="609"/>
      <c r="G142" s="609"/>
      <c r="H142" s="585"/>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5"/>
        <v>0</v>
      </c>
      <c r="AE142" s="629">
        <f t="shared" si="6"/>
        <v>0</v>
      </c>
      <c r="AF142" s="634">
        <f t="shared" si="7"/>
        <v>0</v>
      </c>
      <c r="AG142" s="43"/>
    </row>
    <row r="143" spans="1:33" hidden="1">
      <c r="A143" s="555"/>
      <c r="B143" s="623"/>
      <c r="C143" s="607"/>
      <c r="D143" s="609"/>
      <c r="E143" s="608"/>
      <c r="F143" s="609"/>
      <c r="G143" s="609"/>
      <c r="H143" s="585"/>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5"/>
        <v>0</v>
      </c>
      <c r="AE143" s="629">
        <f t="shared" si="6"/>
        <v>0</v>
      </c>
      <c r="AF143" s="634">
        <f t="shared" si="7"/>
        <v>0</v>
      </c>
      <c r="AG143" s="43"/>
    </row>
    <row r="144" spans="1:33" hidden="1">
      <c r="A144" s="555"/>
      <c r="B144" s="623"/>
      <c r="C144" s="607"/>
      <c r="D144" s="609"/>
      <c r="E144" s="608"/>
      <c r="F144" s="609"/>
      <c r="G144" s="609"/>
      <c r="H144" s="585"/>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si="5"/>
        <v>0</v>
      </c>
      <c r="AE144" s="629">
        <f t="shared" si="6"/>
        <v>0</v>
      </c>
      <c r="AF144" s="634">
        <f t="shared" si="7"/>
        <v>0</v>
      </c>
      <c r="AG144" s="43"/>
    </row>
    <row r="145" spans="1:57" hidden="1">
      <c r="A145" s="555"/>
      <c r="B145" s="623"/>
      <c r="C145" s="607"/>
      <c r="D145" s="609"/>
      <c r="E145" s="608"/>
      <c r="F145" s="609"/>
      <c r="G145" s="609"/>
      <c r="H145" s="585"/>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ref="AD145:AD196" si="8">SUM(G145:AC145)</f>
        <v>0</v>
      </c>
      <c r="AE145" s="629">
        <f t="shared" ref="AE145:AE196" si="9">SUM(D145:F145)</f>
        <v>0</v>
      </c>
      <c r="AF145" s="634">
        <f t="shared" ref="AF145:AF196" si="10">AD145-AE145</f>
        <v>0</v>
      </c>
      <c r="AG145" s="43"/>
    </row>
    <row r="146" spans="1:57" hidden="1">
      <c r="A146" s="555"/>
      <c r="B146" s="623"/>
      <c r="C146" s="607"/>
      <c r="D146" s="609"/>
      <c r="E146" s="608"/>
      <c r="F146" s="609"/>
      <c r="G146" s="609"/>
      <c r="H146" s="585"/>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8"/>
        <v>0</v>
      </c>
      <c r="AE146" s="629">
        <f t="shared" si="9"/>
        <v>0</v>
      </c>
      <c r="AF146" s="634">
        <f t="shared" si="10"/>
        <v>0</v>
      </c>
      <c r="AG146" s="43"/>
    </row>
    <row r="147" spans="1:57" hidden="1">
      <c r="A147" s="555"/>
      <c r="B147" s="623"/>
      <c r="C147" s="607"/>
      <c r="D147" s="609"/>
      <c r="E147" s="608"/>
      <c r="F147" s="609"/>
      <c r="G147" s="609"/>
      <c r="H147" s="585"/>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8"/>
        <v>0</v>
      </c>
      <c r="AE147" s="629">
        <f t="shared" si="9"/>
        <v>0</v>
      </c>
      <c r="AF147" s="634">
        <f t="shared" si="10"/>
        <v>0</v>
      </c>
      <c r="AG147" s="43"/>
    </row>
    <row r="148" spans="1:57" hidden="1">
      <c r="A148" s="555"/>
      <c r="B148" s="623"/>
      <c r="C148" s="607"/>
      <c r="D148" s="609"/>
      <c r="E148" s="608"/>
      <c r="F148" s="609"/>
      <c r="G148" s="609"/>
      <c r="H148" s="585"/>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8"/>
        <v>0</v>
      </c>
      <c r="AE148" s="629">
        <f t="shared" si="9"/>
        <v>0</v>
      </c>
      <c r="AF148" s="634">
        <f t="shared" si="10"/>
        <v>0</v>
      </c>
      <c r="AG148" s="43"/>
    </row>
    <row r="149" spans="1:57" hidden="1">
      <c r="A149" s="555"/>
      <c r="B149" s="623"/>
      <c r="C149" s="607"/>
      <c r="D149" s="609"/>
      <c r="E149" s="608"/>
      <c r="F149" s="609"/>
      <c r="G149" s="609"/>
      <c r="H149" s="585"/>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8"/>
        <v>0</v>
      </c>
      <c r="AE149" s="629">
        <f t="shared" si="9"/>
        <v>0</v>
      </c>
      <c r="AF149" s="634">
        <f t="shared" si="10"/>
        <v>0</v>
      </c>
      <c r="AG149" s="43"/>
    </row>
    <row r="150" spans="1:57" hidden="1">
      <c r="A150" s="555"/>
      <c r="B150" s="623"/>
      <c r="C150" s="607"/>
      <c r="D150" s="609"/>
      <c r="E150" s="608"/>
      <c r="F150" s="609"/>
      <c r="G150" s="609"/>
      <c r="H150" s="585"/>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8"/>
        <v>0</v>
      </c>
      <c r="AE150" s="629">
        <f t="shared" si="9"/>
        <v>0</v>
      </c>
      <c r="AF150" s="634">
        <f t="shared" si="10"/>
        <v>0</v>
      </c>
      <c r="AG150" s="43"/>
    </row>
    <row r="151" spans="1:57" hidden="1">
      <c r="A151" s="555"/>
      <c r="B151" s="623"/>
      <c r="C151" s="607"/>
      <c r="D151" s="609"/>
      <c r="E151" s="608"/>
      <c r="F151" s="609"/>
      <c r="G151" s="609"/>
      <c r="H151" s="585"/>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8"/>
        <v>0</v>
      </c>
      <c r="AE151" s="629">
        <f t="shared" si="9"/>
        <v>0</v>
      </c>
      <c r="AF151" s="634">
        <f t="shared" si="10"/>
        <v>0</v>
      </c>
      <c r="AG151" s="43"/>
    </row>
    <row r="152" spans="1:57" hidden="1">
      <c r="A152" s="555"/>
      <c r="B152" s="623"/>
      <c r="C152" s="607"/>
      <c r="D152" s="609"/>
      <c r="E152" s="608"/>
      <c r="F152" s="609"/>
      <c r="G152" s="609"/>
      <c r="H152" s="585"/>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8"/>
        <v>0</v>
      </c>
      <c r="AE152" s="629">
        <f t="shared" si="9"/>
        <v>0</v>
      </c>
      <c r="AF152" s="634">
        <f t="shared" si="10"/>
        <v>0</v>
      </c>
      <c r="AG152" s="43"/>
    </row>
    <row r="153" spans="1:57" hidden="1">
      <c r="A153" s="555"/>
      <c r="B153" s="623"/>
      <c r="C153" s="607"/>
      <c r="D153" s="609"/>
      <c r="E153" s="608"/>
      <c r="F153" s="609"/>
      <c r="G153" s="609"/>
      <c r="H153" s="585"/>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8"/>
        <v>0</v>
      </c>
      <c r="AE153" s="629">
        <f t="shared" si="9"/>
        <v>0</v>
      </c>
      <c r="AF153" s="634">
        <f t="shared" si="10"/>
        <v>0</v>
      </c>
      <c r="AG153" s="43"/>
    </row>
    <row r="154" spans="1:57" hidden="1">
      <c r="A154" s="555"/>
      <c r="B154" s="623"/>
      <c r="C154" s="607"/>
      <c r="D154" s="609"/>
      <c r="E154" s="608"/>
      <c r="F154" s="609"/>
      <c r="G154" s="609"/>
      <c r="H154" s="585"/>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8"/>
        <v>0</v>
      </c>
      <c r="AE154" s="629">
        <f t="shared" si="9"/>
        <v>0</v>
      </c>
      <c r="AF154" s="634">
        <f t="shared" si="10"/>
        <v>0</v>
      </c>
      <c r="AG154" s="43"/>
    </row>
    <row r="155" spans="1:57" hidden="1">
      <c r="A155" s="555"/>
      <c r="B155" s="623"/>
      <c r="C155" s="607"/>
      <c r="D155" s="609"/>
      <c r="E155" s="608"/>
      <c r="F155" s="609"/>
      <c r="G155" s="609"/>
      <c r="H155" s="585"/>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8"/>
        <v>0</v>
      </c>
      <c r="AE155" s="629">
        <f t="shared" si="9"/>
        <v>0</v>
      </c>
      <c r="AF155" s="634">
        <f t="shared" si="10"/>
        <v>0</v>
      </c>
      <c r="AG155" s="43"/>
    </row>
    <row r="156" spans="1:57" hidden="1">
      <c r="A156" s="555"/>
      <c r="B156" s="623"/>
      <c r="C156" s="607"/>
      <c r="D156" s="609"/>
      <c r="E156" s="608"/>
      <c r="F156" s="609"/>
      <c r="G156" s="609"/>
      <c r="H156" s="585"/>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8"/>
        <v>0</v>
      </c>
      <c r="AE156" s="629">
        <f t="shared" si="9"/>
        <v>0</v>
      </c>
      <c r="AF156" s="634">
        <f t="shared" si="10"/>
        <v>0</v>
      </c>
      <c r="AG156" s="43"/>
    </row>
    <row r="157" spans="1:57" hidden="1">
      <c r="A157" s="555"/>
      <c r="B157" s="623"/>
      <c r="C157" s="607"/>
      <c r="D157" s="609"/>
      <c r="E157" s="608"/>
      <c r="F157" s="609"/>
      <c r="G157" s="609"/>
      <c r="H157" s="585"/>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8"/>
        <v>0</v>
      </c>
      <c r="AE157" s="629">
        <f t="shared" si="9"/>
        <v>0</v>
      </c>
      <c r="AF157" s="634">
        <f t="shared" si="10"/>
        <v>0</v>
      </c>
      <c r="AG157" s="43"/>
    </row>
    <row r="158" spans="1:57" hidden="1">
      <c r="A158" s="555"/>
      <c r="B158" s="623"/>
      <c r="C158" s="607"/>
      <c r="D158" s="609"/>
      <c r="E158" s="608"/>
      <c r="F158" s="609"/>
      <c r="G158" s="609"/>
      <c r="H158" s="585"/>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8"/>
        <v>0</v>
      </c>
      <c r="AE158" s="629">
        <f t="shared" si="9"/>
        <v>0</v>
      </c>
      <c r="AF158" s="634">
        <f t="shared" si="10"/>
        <v>0</v>
      </c>
      <c r="AG158" s="43"/>
    </row>
    <row r="159" spans="1:57" hidden="1">
      <c r="A159" s="555" t="s">
        <v>20</v>
      </c>
      <c r="B159" s="623"/>
      <c r="C159" s="607"/>
      <c r="D159" s="609"/>
      <c r="E159" s="608"/>
      <c r="F159" s="609"/>
      <c r="G159" s="609"/>
      <c r="H159" s="603"/>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8"/>
        <v>0</v>
      </c>
      <c r="AE159" s="629">
        <f t="shared" si="9"/>
        <v>0</v>
      </c>
      <c r="AF159" s="634">
        <f t="shared" si="10"/>
        <v>0</v>
      </c>
      <c r="AG159" s="43">
        <f>IF(AF159=0,0,"ERROR HERE")</f>
        <v>0</v>
      </c>
      <c r="AH159" s="7">
        <f t="shared" ref="AH159:AQ160" si="11">IF(OR(ISERROR(+H159/($D159+$E159-$G159)*$G159+H159),LEFT(F159,1)="x"),0,+H159/($D159+$E159-$G159)*$G159+H159)</f>
        <v>0</v>
      </c>
      <c r="AI159" s="7">
        <f t="shared" si="11"/>
        <v>0</v>
      </c>
      <c r="AJ159" s="7">
        <f t="shared" si="11"/>
        <v>0</v>
      </c>
      <c r="AK159" s="7">
        <f t="shared" si="11"/>
        <v>0</v>
      </c>
      <c r="AL159" s="7">
        <f t="shared" si="11"/>
        <v>0</v>
      </c>
      <c r="AM159" s="7">
        <f t="shared" si="11"/>
        <v>0</v>
      </c>
      <c r="AN159" s="7">
        <f t="shared" si="11"/>
        <v>0</v>
      </c>
      <c r="AO159" s="7">
        <f t="shared" si="11"/>
        <v>0</v>
      </c>
      <c r="AP159" s="7">
        <f t="shared" si="11"/>
        <v>0</v>
      </c>
      <c r="AQ159" s="7">
        <f t="shared" si="11"/>
        <v>0</v>
      </c>
      <c r="AR159" s="7">
        <f t="shared" ref="AR159:BA160" si="12">IF(OR(ISERROR(+R159/($D159+$E159-$G159)*$G159+R159),LEFT(P159,1)="x"),0,+R159/($D159+$E159-$G159)*$G159+R159)</f>
        <v>0</v>
      </c>
      <c r="AS159" s="7">
        <f t="shared" si="12"/>
        <v>0</v>
      </c>
      <c r="AT159" s="7">
        <f t="shared" si="12"/>
        <v>0</v>
      </c>
      <c r="AU159" s="7">
        <f t="shared" si="12"/>
        <v>0</v>
      </c>
      <c r="AV159" s="7">
        <f t="shared" si="12"/>
        <v>0</v>
      </c>
      <c r="AW159" s="7">
        <f t="shared" si="12"/>
        <v>0</v>
      </c>
      <c r="AX159" s="7">
        <f t="shared" si="12"/>
        <v>0</v>
      </c>
      <c r="AY159" s="7">
        <f t="shared" si="12"/>
        <v>0</v>
      </c>
      <c r="AZ159" s="7">
        <f t="shared" si="12"/>
        <v>0</v>
      </c>
      <c r="BA159" s="7">
        <f t="shared" si="12"/>
        <v>0</v>
      </c>
      <c r="BB159" s="7">
        <f>IF(OR(ISERROR(+AB159/($D159+$E159-$G159)*$G159+AB159),LEFT(Z159,1)="x"),0,+AB159/($D159+$E159-$G159)*$G159+AB159)</f>
        <v>0</v>
      </c>
      <c r="BC159" s="7">
        <f>IF(OR(ISERROR(+#REF!/($D159+$E159-$G159)*$G159+#REF!),LEFT(AA159,1)="x"),0,+#REF!/($D159+$E159-$G159)*$G159+#REF!)</f>
        <v>0</v>
      </c>
      <c r="BD159" s="7">
        <f>IF(OR(ISERROR(+AC159/($D159+$E159-$G159)*$G159+AC159),LEFT(Z159,1)="x"),0,+AC159/($D159+$E159-$G159)*$G159+AC159)</f>
        <v>0</v>
      </c>
    </row>
    <row r="160" spans="1:57" hidden="1">
      <c r="A160" s="555"/>
      <c r="B160" s="623"/>
      <c r="C160" s="607"/>
      <c r="D160" s="609"/>
      <c r="E160" s="608"/>
      <c r="F160" s="609"/>
      <c r="G160" s="609"/>
      <c r="H160" s="603"/>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8"/>
        <v>0</v>
      </c>
      <c r="AE160" s="629">
        <f t="shared" si="9"/>
        <v>0</v>
      </c>
      <c r="AF160" s="634">
        <f t="shared" si="10"/>
        <v>0</v>
      </c>
      <c r="AG160" s="43">
        <f>IF(AF160=0,0,"ERROR HERE - CHECK NUMBER IS CORRECTLY EXTENDED")</f>
        <v>0</v>
      </c>
      <c r="AH160" s="7">
        <f t="shared" si="11"/>
        <v>0</v>
      </c>
      <c r="AI160" s="7">
        <f t="shared" si="11"/>
        <v>0</v>
      </c>
      <c r="AJ160" s="7">
        <f t="shared" si="11"/>
        <v>0</v>
      </c>
      <c r="AK160" s="7">
        <f t="shared" si="11"/>
        <v>0</v>
      </c>
      <c r="AL160" s="7">
        <f t="shared" si="11"/>
        <v>0</v>
      </c>
      <c r="AM160" s="7">
        <f t="shared" si="11"/>
        <v>0</v>
      </c>
      <c r="AN160" s="7">
        <f t="shared" si="11"/>
        <v>0</v>
      </c>
      <c r="AO160" s="7">
        <f t="shared" si="11"/>
        <v>0</v>
      </c>
      <c r="AP160" s="7">
        <f t="shared" si="11"/>
        <v>0</v>
      </c>
      <c r="AQ160" s="7">
        <f t="shared" si="11"/>
        <v>0</v>
      </c>
      <c r="AR160" s="7">
        <f t="shared" si="12"/>
        <v>0</v>
      </c>
      <c r="AS160" s="7">
        <f t="shared" si="12"/>
        <v>0</v>
      </c>
      <c r="AT160" s="7">
        <f t="shared" si="12"/>
        <v>0</v>
      </c>
      <c r="AU160" s="7">
        <f t="shared" si="12"/>
        <v>0</v>
      </c>
      <c r="AV160" s="7">
        <f t="shared" si="12"/>
        <v>0</v>
      </c>
      <c r="AW160" s="7">
        <f t="shared" si="12"/>
        <v>0</v>
      </c>
      <c r="AX160" s="7">
        <f t="shared" si="12"/>
        <v>0</v>
      </c>
      <c r="AY160" s="7">
        <f t="shared" si="12"/>
        <v>0</v>
      </c>
      <c r="AZ160" s="7">
        <f t="shared" si="12"/>
        <v>0</v>
      </c>
      <c r="BA160" s="7">
        <f t="shared" si="12"/>
        <v>0</v>
      </c>
      <c r="BB160" s="7">
        <f>IF(OR(ISERROR(+AB160/($D160+$E160-$G160)*$G160+AB160),LEFT(Z160,1)="x"),0,+AB160/($D160+$E160-$G160)*$G160+AB160)</f>
        <v>0</v>
      </c>
      <c r="BC160" s="7">
        <f>IF(OR(ISERROR(+#REF!/($D160+$E160-$G160)*$G160+#REF!),LEFT(AA160,1)="x"),0,+#REF!/($D160+$E160-$G160)*$G160+#REF!)</f>
        <v>0</v>
      </c>
      <c r="BD160" s="7">
        <f>IF(OR(ISERROR(+#REF!/($D160+$E160-$G160)*$G160+#REF!),LEFT(AB160,1)="x"),0,+#REF!/($D160+$E160-$G160)*$G160+#REF!)</f>
        <v>0</v>
      </c>
      <c r="BE160" s="7" t="e">
        <f>IF(OR(ISERROR(+AC160/($D160+$E160-$G160)*$G160+AC160),LEFT(#REF!,1)="x"),0,+AC160/($D160+$E160-$G160)*$G160+AC160)</f>
        <v>#REF!</v>
      </c>
    </row>
    <row r="161" spans="1:57" hidden="1">
      <c r="A161" s="555"/>
      <c r="B161" s="623"/>
      <c r="C161" s="607"/>
      <c r="D161" s="609"/>
      <c r="E161" s="608"/>
      <c r="F161" s="609"/>
      <c r="G161" s="609"/>
      <c r="H161" s="603"/>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8"/>
        <v>0</v>
      </c>
      <c r="AE161" s="629">
        <f t="shared" si="9"/>
        <v>0</v>
      </c>
      <c r="AF161" s="634">
        <f t="shared" si="10"/>
        <v>0</v>
      </c>
      <c r="AG161" s="43"/>
    </row>
    <row r="162" spans="1:57" hidden="1">
      <c r="A162" s="555"/>
      <c r="B162" s="623"/>
      <c r="C162" s="607"/>
      <c r="D162" s="609"/>
      <c r="E162" s="608"/>
      <c r="F162" s="609"/>
      <c r="G162" s="609"/>
      <c r="H162" s="603"/>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8"/>
        <v>0</v>
      </c>
      <c r="AE162" s="629">
        <f t="shared" si="9"/>
        <v>0</v>
      </c>
      <c r="AF162" s="634">
        <f t="shared" si="10"/>
        <v>0</v>
      </c>
      <c r="AG162" s="43"/>
    </row>
    <row r="163" spans="1:57" hidden="1">
      <c r="A163" s="555"/>
      <c r="B163" s="623"/>
      <c r="C163" s="607"/>
      <c r="D163" s="609"/>
      <c r="E163" s="608"/>
      <c r="F163" s="609"/>
      <c r="G163" s="609"/>
      <c r="H163" s="603"/>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8"/>
        <v>0</v>
      </c>
      <c r="AE163" s="629">
        <f t="shared" si="9"/>
        <v>0</v>
      </c>
      <c r="AF163" s="634">
        <f t="shared" si="10"/>
        <v>0</v>
      </c>
      <c r="AG163" s="43"/>
    </row>
    <row r="164" spans="1:57" hidden="1">
      <c r="A164" s="555"/>
      <c r="B164" s="623"/>
      <c r="C164" s="607"/>
      <c r="D164" s="609"/>
      <c r="E164" s="608"/>
      <c r="F164" s="609"/>
      <c r="G164" s="609"/>
      <c r="H164" s="603"/>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8"/>
        <v>0</v>
      </c>
      <c r="AE164" s="629">
        <f t="shared" si="9"/>
        <v>0</v>
      </c>
      <c r="AF164" s="634">
        <f t="shared" si="10"/>
        <v>0</v>
      </c>
      <c r="AG164" s="43"/>
    </row>
    <row r="165" spans="1:57" hidden="1">
      <c r="A165" s="555"/>
      <c r="B165" s="623"/>
      <c r="C165" s="607"/>
      <c r="D165" s="609"/>
      <c r="E165" s="608"/>
      <c r="F165" s="609"/>
      <c r="G165" s="609"/>
      <c r="H165" s="603"/>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8"/>
        <v>0</v>
      </c>
      <c r="AE165" s="629">
        <f t="shared" si="9"/>
        <v>0</v>
      </c>
      <c r="AF165" s="634">
        <f t="shared" si="10"/>
        <v>0</v>
      </c>
      <c r="AG165" s="43"/>
    </row>
    <row r="166" spans="1:57" hidden="1">
      <c r="A166" s="555"/>
      <c r="B166" s="623"/>
      <c r="C166" s="607"/>
      <c r="D166" s="609"/>
      <c r="E166" s="608"/>
      <c r="F166" s="609"/>
      <c r="G166" s="609"/>
      <c r="H166" s="603"/>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8"/>
        <v>0</v>
      </c>
      <c r="AE166" s="629">
        <f t="shared" si="9"/>
        <v>0</v>
      </c>
      <c r="AF166" s="634">
        <f t="shared" si="10"/>
        <v>0</v>
      </c>
      <c r="AG166" s="43"/>
    </row>
    <row r="167" spans="1:57" hidden="1">
      <c r="A167" s="555"/>
      <c r="B167" s="623"/>
      <c r="C167" s="607"/>
      <c r="D167" s="609"/>
      <c r="E167" s="608"/>
      <c r="F167" s="609"/>
      <c r="G167" s="609"/>
      <c r="H167" s="603"/>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8"/>
        <v>0</v>
      </c>
      <c r="AE167" s="629">
        <f t="shared" si="9"/>
        <v>0</v>
      </c>
      <c r="AF167" s="634">
        <f t="shared" si="10"/>
        <v>0</v>
      </c>
      <c r="AG167" s="43"/>
    </row>
    <row r="168" spans="1:57" hidden="1">
      <c r="A168" s="555"/>
      <c r="B168" s="623"/>
      <c r="C168" s="607"/>
      <c r="D168" s="609"/>
      <c r="E168" s="608"/>
      <c r="F168" s="609"/>
      <c r="G168" s="609"/>
      <c r="H168" s="603"/>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8"/>
        <v>0</v>
      </c>
      <c r="AE168" s="629">
        <f t="shared" si="9"/>
        <v>0</v>
      </c>
      <c r="AF168" s="634">
        <f t="shared" si="10"/>
        <v>0</v>
      </c>
      <c r="AG168" s="43"/>
    </row>
    <row r="169" spans="1:57" hidden="1">
      <c r="A169" s="555"/>
      <c r="B169" s="623"/>
      <c r="C169" s="607"/>
      <c r="D169" s="609"/>
      <c r="E169" s="608"/>
      <c r="F169" s="609"/>
      <c r="G169" s="609"/>
      <c r="H169" s="603"/>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8"/>
        <v>0</v>
      </c>
      <c r="AE169" s="629">
        <f t="shared" si="9"/>
        <v>0</v>
      </c>
      <c r="AF169" s="634">
        <f t="shared" si="10"/>
        <v>0</v>
      </c>
      <c r="AG169" s="43"/>
    </row>
    <row r="170" spans="1:57" hidden="1">
      <c r="A170" s="555"/>
      <c r="B170" s="623"/>
      <c r="C170" s="607"/>
      <c r="D170" s="609"/>
      <c r="E170" s="608"/>
      <c r="F170" s="609"/>
      <c r="G170" s="609"/>
      <c r="H170" s="603"/>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8"/>
        <v>0</v>
      </c>
      <c r="AE170" s="629">
        <f t="shared" si="9"/>
        <v>0</v>
      </c>
      <c r="AF170" s="634">
        <f t="shared" si="10"/>
        <v>0</v>
      </c>
      <c r="AG170" s="43"/>
    </row>
    <row r="171" spans="1:57" hidden="1">
      <c r="A171" s="555"/>
      <c r="B171" s="623"/>
      <c r="C171" s="607"/>
      <c r="D171" s="609"/>
      <c r="E171" s="608"/>
      <c r="F171" s="609"/>
      <c r="G171" s="609"/>
      <c r="H171" s="603"/>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8"/>
        <v>0</v>
      </c>
      <c r="AE171" s="629">
        <f t="shared" si="9"/>
        <v>0</v>
      </c>
      <c r="AF171" s="634">
        <f t="shared" si="10"/>
        <v>0</v>
      </c>
      <c r="AG171" s="43"/>
    </row>
    <row r="172" spans="1:57" hidden="1">
      <c r="A172" s="555"/>
      <c r="B172" s="623"/>
      <c r="C172" s="607"/>
      <c r="D172" s="609"/>
      <c r="E172" s="608"/>
      <c r="F172" s="609"/>
      <c r="G172" s="609"/>
      <c r="H172" s="603"/>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8"/>
        <v>0</v>
      </c>
      <c r="AE172" s="629">
        <f t="shared" si="9"/>
        <v>0</v>
      </c>
      <c r="AF172" s="634">
        <f t="shared" si="10"/>
        <v>0</v>
      </c>
      <c r="AG172" s="43"/>
    </row>
    <row r="173" spans="1:57" hidden="1">
      <c r="A173" s="555"/>
      <c r="B173" s="623"/>
      <c r="C173" s="607"/>
      <c r="D173" s="609"/>
      <c r="E173" s="608"/>
      <c r="F173" s="609"/>
      <c r="G173" s="609"/>
      <c r="H173" s="603"/>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8"/>
        <v>0</v>
      </c>
      <c r="AE173" s="629">
        <f t="shared" si="9"/>
        <v>0</v>
      </c>
      <c r="AF173" s="634">
        <f t="shared" si="10"/>
        <v>0</v>
      </c>
      <c r="AG173" s="43"/>
    </row>
    <row r="174" spans="1:57" hidden="1">
      <c r="A174" s="555"/>
      <c r="B174" s="623"/>
      <c r="C174" s="607"/>
      <c r="D174" s="609"/>
      <c r="E174" s="608"/>
      <c r="F174" s="609"/>
      <c r="G174" s="609"/>
      <c r="H174" s="603"/>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8"/>
        <v>0</v>
      </c>
      <c r="AE174" s="629">
        <f t="shared" si="9"/>
        <v>0</v>
      </c>
      <c r="AF174" s="634">
        <f t="shared" si="10"/>
        <v>0</v>
      </c>
      <c r="AG174" s="43">
        <f t="shared" ref="AG174:AG196" si="13">IF(AF174=0,0,"ERROR HERE")</f>
        <v>0</v>
      </c>
      <c r="AH174" s="7">
        <f t="shared" ref="AH174:AQ175" si="14">IF(OR(ISERROR(+H174/($D174+$E174-$G174)*$G174+H174),LEFT(F174,1)="x"),0,+H174/($D174+$E174-$G174)*$G174+H174)</f>
        <v>0</v>
      </c>
      <c r="AI174" s="7">
        <f t="shared" si="14"/>
        <v>0</v>
      </c>
      <c r="AJ174" s="7">
        <f t="shared" si="14"/>
        <v>0</v>
      </c>
      <c r="AK174" s="7">
        <f t="shared" si="14"/>
        <v>0</v>
      </c>
      <c r="AL174" s="7">
        <f t="shared" si="14"/>
        <v>0</v>
      </c>
      <c r="AM174" s="7">
        <f t="shared" si="14"/>
        <v>0</v>
      </c>
      <c r="AN174" s="7">
        <f t="shared" si="14"/>
        <v>0</v>
      </c>
      <c r="AO174" s="7">
        <f t="shared" si="14"/>
        <v>0</v>
      </c>
      <c r="AP174" s="7">
        <f t="shared" si="14"/>
        <v>0</v>
      </c>
      <c r="AQ174" s="7">
        <f t="shared" si="14"/>
        <v>0</v>
      </c>
      <c r="AR174" s="7">
        <f t="shared" ref="AR174:BA175" si="15">IF(OR(ISERROR(+R174/($D174+$E174-$G174)*$G174+R174),LEFT(P174,1)="x"),0,+R174/($D174+$E174-$G174)*$G174+R174)</f>
        <v>0</v>
      </c>
      <c r="AS174" s="7">
        <f t="shared" si="15"/>
        <v>0</v>
      </c>
      <c r="AT174" s="7">
        <f t="shared" si="15"/>
        <v>0</v>
      </c>
      <c r="AU174" s="7">
        <f t="shared" si="15"/>
        <v>0</v>
      </c>
      <c r="AV174" s="7">
        <f t="shared" si="15"/>
        <v>0</v>
      </c>
      <c r="AW174" s="7">
        <f t="shared" si="15"/>
        <v>0</v>
      </c>
      <c r="AX174" s="7">
        <f t="shared" si="15"/>
        <v>0</v>
      </c>
      <c r="AY174" s="7">
        <f t="shared" si="15"/>
        <v>0</v>
      </c>
      <c r="AZ174" s="7">
        <f t="shared" si="15"/>
        <v>0</v>
      </c>
      <c r="BA174" s="7">
        <f t="shared" si="15"/>
        <v>0</v>
      </c>
      <c r="BB174" s="7">
        <f>IF(OR(ISERROR(+AB174/($D174+$E174-$G174)*$G174+AB174),LEFT(Z174,1)="x"),0,+AB174/($D174+$E174-$G174)*$G174+AB174)</f>
        <v>0</v>
      </c>
      <c r="BC174" s="7">
        <f>IF(OR(ISERROR(+#REF!/($D174+$E174-$G174)*$G174+#REF!),LEFT(AA174,1)="x"),0,+#REF!/($D174+$E174-$G174)*$G174+#REF!)</f>
        <v>0</v>
      </c>
      <c r="BD174" s="7">
        <f>IF(OR(ISERROR(+#REF!/($D174+$E174-$G174)*$G174+#REF!),LEFT(AB174,1)="x"),0,+#REF!/($D174+$E174-$G174)*$G174+#REF!)</f>
        <v>0</v>
      </c>
      <c r="BE174" s="7" t="e">
        <f>IF(OR(ISERROR(+AC174/($D174+$E174-$G174)*$G174+AC174),LEFT(#REF!,1)="x"),0,+AC174/($D174+$E174-$G174)*$G174+AC174)</f>
        <v>#REF!</v>
      </c>
    </row>
    <row r="175" spans="1:57" hidden="1">
      <c r="A175" s="555"/>
      <c r="B175" s="623"/>
      <c r="C175" s="607"/>
      <c r="D175" s="609"/>
      <c r="E175" s="608"/>
      <c r="F175" s="609"/>
      <c r="G175" s="609"/>
      <c r="H175" s="603"/>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8"/>
        <v>0</v>
      </c>
      <c r="AE175" s="629">
        <f t="shared" si="9"/>
        <v>0</v>
      </c>
      <c r="AF175" s="634">
        <f t="shared" si="10"/>
        <v>0</v>
      </c>
      <c r="AG175" s="43">
        <f t="shared" si="13"/>
        <v>0</v>
      </c>
      <c r="AH175" s="7">
        <f t="shared" si="14"/>
        <v>0</v>
      </c>
      <c r="AI175" s="7">
        <f t="shared" si="14"/>
        <v>0</v>
      </c>
      <c r="AJ175" s="7">
        <f t="shared" si="14"/>
        <v>0</v>
      </c>
      <c r="AK175" s="7">
        <f t="shared" si="14"/>
        <v>0</v>
      </c>
      <c r="AL175" s="7">
        <f t="shared" si="14"/>
        <v>0</v>
      </c>
      <c r="AM175" s="7">
        <f t="shared" si="14"/>
        <v>0</v>
      </c>
      <c r="AN175" s="7">
        <f t="shared" si="14"/>
        <v>0</v>
      </c>
      <c r="AO175" s="7">
        <f t="shared" si="14"/>
        <v>0</v>
      </c>
      <c r="AP175" s="7">
        <f t="shared" si="14"/>
        <v>0</v>
      </c>
      <c r="AQ175" s="7">
        <f t="shared" si="14"/>
        <v>0</v>
      </c>
      <c r="AR175" s="7">
        <f t="shared" si="15"/>
        <v>0</v>
      </c>
      <c r="AS175" s="7">
        <f t="shared" si="15"/>
        <v>0</v>
      </c>
      <c r="AT175" s="7">
        <f t="shared" si="15"/>
        <v>0</v>
      </c>
      <c r="AU175" s="7">
        <f t="shared" si="15"/>
        <v>0</v>
      </c>
      <c r="AV175" s="7">
        <f t="shared" si="15"/>
        <v>0</v>
      </c>
      <c r="AW175" s="7">
        <f t="shared" si="15"/>
        <v>0</v>
      </c>
      <c r="AX175" s="7">
        <f t="shared" si="15"/>
        <v>0</v>
      </c>
      <c r="AY175" s="7">
        <f t="shared" si="15"/>
        <v>0</v>
      </c>
      <c r="AZ175" s="7">
        <f t="shared" si="15"/>
        <v>0</v>
      </c>
      <c r="BA175" s="7">
        <f t="shared" si="15"/>
        <v>0</v>
      </c>
      <c r="BB175" s="7">
        <f>IF(OR(ISERROR(+AB175/($D175+$E175-$G175)*$G175+AB175),LEFT(Z175,1)="x"),0,+AB175/($D175+$E175-$G175)*$G175+AB175)</f>
        <v>0</v>
      </c>
      <c r="BC175" s="7">
        <f>IF(OR(ISERROR(+#REF!/($D175+$E175-$G175)*$G175+#REF!),LEFT(AA175,1)="x"),0,+#REF!/($D175+$E175-$G175)*$G175+#REF!)</f>
        <v>0</v>
      </c>
      <c r="BD175" s="7">
        <f>IF(OR(ISERROR(+#REF!/($D175+$E175-$G175)*$G175+#REF!),LEFT(AB175,1)="x"),0,+#REF!/($D175+$E175-$G175)*$G175+#REF!)</f>
        <v>0</v>
      </c>
      <c r="BE175" s="7" t="e">
        <f>IF(OR(ISERROR(+AC175/($D175+$E175-$G175)*$G175+AC175),LEFT(#REF!,1)="x"),0,+AC175/($D175+$E175-$G175)*$G175+AC175)</f>
        <v>#REF!</v>
      </c>
    </row>
    <row r="176" spans="1:57" hidden="1">
      <c r="A176" s="555"/>
      <c r="B176" s="623"/>
      <c r="C176" s="607"/>
      <c r="D176" s="609"/>
      <c r="E176" s="608"/>
      <c r="F176" s="609"/>
      <c r="G176" s="609"/>
      <c r="H176" s="603"/>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8"/>
        <v>0</v>
      </c>
      <c r="AE176" s="629">
        <f t="shared" si="9"/>
        <v>0</v>
      </c>
      <c r="AF176" s="634">
        <f t="shared" si="10"/>
        <v>0</v>
      </c>
      <c r="AG176" s="43"/>
    </row>
    <row r="177" spans="1:57" hidden="1">
      <c r="A177" s="555"/>
      <c r="B177" s="623"/>
      <c r="C177" s="607"/>
      <c r="D177" s="609"/>
      <c r="E177" s="608"/>
      <c r="F177" s="609"/>
      <c r="G177" s="609"/>
      <c r="H177" s="603"/>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8"/>
        <v>0</v>
      </c>
      <c r="AE177" s="629">
        <f t="shared" si="9"/>
        <v>0</v>
      </c>
      <c r="AF177" s="634">
        <f t="shared" si="10"/>
        <v>0</v>
      </c>
      <c r="AG177" s="43">
        <f t="shared" si="13"/>
        <v>0</v>
      </c>
      <c r="AH177" s="7">
        <f t="shared" ref="AH177:AH185" si="16">IF(OR(ISERROR(+H177/($D177+$E177-$G177)*$G177+H177),LEFT(F177,1)="x"),0,+H177/($D177+$E177-$G177)*$G177+H177)</f>
        <v>0</v>
      </c>
      <c r="AI177" s="7">
        <f t="shared" ref="AI177:AI185" si="17">IF(OR(ISERROR(+I177/($D177+$E177-$G177)*$G177+I177),LEFT(G177,1)="x"),0,+I177/($D177+$E177-$G177)*$G177+I177)</f>
        <v>0</v>
      </c>
      <c r="AJ177" s="7">
        <f t="shared" ref="AJ177:AJ185" si="18">IF(OR(ISERROR(+J177/($D177+$E177-$G177)*$G177+J177),LEFT(H177,1)="x"),0,+J177/($D177+$E177-$G177)*$G177+J177)</f>
        <v>0</v>
      </c>
      <c r="AK177" s="7">
        <f t="shared" ref="AK177:AK185" si="19">IF(OR(ISERROR(+K177/($D177+$E177-$G177)*$G177+K177),LEFT(I177,1)="x"),0,+K177/($D177+$E177-$G177)*$G177+K177)</f>
        <v>0</v>
      </c>
      <c r="AL177" s="7">
        <f t="shared" ref="AL177:AL185" si="20">IF(OR(ISERROR(+L177/($D177+$E177-$G177)*$G177+L177),LEFT(J177,1)="x"),0,+L177/($D177+$E177-$G177)*$G177+L177)</f>
        <v>0</v>
      </c>
      <c r="AM177" s="7">
        <f t="shared" ref="AM177:AM185" si="21">IF(OR(ISERROR(+M177/($D177+$E177-$G177)*$G177+M177),LEFT(K177,1)="x"),0,+M177/($D177+$E177-$G177)*$G177+M177)</f>
        <v>0</v>
      </c>
      <c r="AN177" s="7">
        <f t="shared" ref="AN177:AN185" si="22">IF(OR(ISERROR(+N177/($D177+$E177-$G177)*$G177+N177),LEFT(L177,1)="x"),0,+N177/($D177+$E177-$G177)*$G177+N177)</f>
        <v>0</v>
      </c>
      <c r="AO177" s="7">
        <f t="shared" ref="AO177:AO185" si="23">IF(OR(ISERROR(+O177/($D177+$E177-$G177)*$G177+O177),LEFT(M177,1)="x"),0,+O177/($D177+$E177-$G177)*$G177+O177)</f>
        <v>0</v>
      </c>
      <c r="AP177" s="7">
        <f t="shared" ref="AP177:AP185" si="24">IF(OR(ISERROR(+P177/($D177+$E177-$G177)*$G177+P177),LEFT(N177,1)="x"),0,+P177/($D177+$E177-$G177)*$G177+P177)</f>
        <v>0</v>
      </c>
      <c r="AQ177" s="7">
        <f t="shared" ref="AQ177:AQ185" si="25">IF(OR(ISERROR(+Q177/($D177+$E177-$G177)*$G177+Q177),LEFT(O177,1)="x"),0,+Q177/($D177+$E177-$G177)*$G177+Q177)</f>
        <v>0</v>
      </c>
      <c r="AR177" s="7">
        <f t="shared" ref="AR177:AR185" si="26">IF(OR(ISERROR(+R177/($D177+$E177-$G177)*$G177+R177),LEFT(P177,1)="x"),0,+R177/($D177+$E177-$G177)*$G177+R177)</f>
        <v>0</v>
      </c>
      <c r="AS177" s="7">
        <f t="shared" ref="AS177:AS185" si="27">IF(OR(ISERROR(+S177/($D177+$E177-$G177)*$G177+S177),LEFT(Q177,1)="x"),0,+S177/($D177+$E177-$G177)*$G177+S177)</f>
        <v>0</v>
      </c>
      <c r="AT177" s="7">
        <f t="shared" ref="AT177:AT185" si="28">IF(OR(ISERROR(+T177/($D177+$E177-$G177)*$G177+T177),LEFT(R177,1)="x"),0,+T177/($D177+$E177-$G177)*$G177+T177)</f>
        <v>0</v>
      </c>
      <c r="AU177" s="7">
        <f t="shared" ref="AU177:AU185" si="29">IF(OR(ISERROR(+U177/($D177+$E177-$G177)*$G177+U177),LEFT(S177,1)="x"),0,+U177/($D177+$E177-$G177)*$G177+U177)</f>
        <v>0</v>
      </c>
      <c r="AV177" s="7">
        <f t="shared" ref="AV177:AV185" si="30">IF(OR(ISERROR(+V177/($D177+$E177-$G177)*$G177+V177),LEFT(T177,1)="x"),0,+V177/($D177+$E177-$G177)*$G177+V177)</f>
        <v>0</v>
      </c>
      <c r="AW177" s="7">
        <f t="shared" ref="AW177:AW185" si="31">IF(OR(ISERROR(+W177/($D177+$E177-$G177)*$G177+W177),LEFT(U177,1)="x"),0,+W177/($D177+$E177-$G177)*$G177+W177)</f>
        <v>0</v>
      </c>
      <c r="AX177" s="7">
        <f t="shared" ref="AX177:AX185" si="32">IF(OR(ISERROR(+X177/($D177+$E177-$G177)*$G177+X177),LEFT(V177,1)="x"),0,+X177/($D177+$E177-$G177)*$G177+X177)</f>
        <v>0</v>
      </c>
      <c r="AY177" s="7">
        <f t="shared" ref="AY177:AY185" si="33">IF(OR(ISERROR(+Y177/($D177+$E177-$G177)*$G177+Y177),LEFT(W177,1)="x"),0,+Y177/($D177+$E177-$G177)*$G177+Y177)</f>
        <v>0</v>
      </c>
      <c r="AZ177" s="7">
        <f t="shared" ref="AZ177:AZ185" si="34">IF(OR(ISERROR(+Z177/($D177+$E177-$G177)*$G177+Z177),LEFT(X177,1)="x"),0,+Z177/($D177+$E177-$G177)*$G177+Z177)</f>
        <v>0</v>
      </c>
      <c r="BA177" s="7">
        <f t="shared" ref="BA177:BA185" si="35">IF(OR(ISERROR(+AA177/($D177+$E177-$G177)*$G177+AA177),LEFT(Y177,1)="x"),0,+AA177/($D177+$E177-$G177)*$G177+AA177)</f>
        <v>0</v>
      </c>
      <c r="BB177" s="7">
        <f t="shared" ref="BB177:BB185" si="36">IF(OR(ISERROR(+AB177/($D177+$E177-$G177)*$G177+AB177),LEFT(Z177,1)="x"),0,+AB177/($D177+$E177-$G177)*$G177+AB177)</f>
        <v>0</v>
      </c>
      <c r="BC177" s="7">
        <f>IF(OR(ISERROR(+#REF!/($D177+$E177-$G177)*$G177+#REF!),LEFT(AA177,1)="x"),0,+#REF!/($D177+$E177-$G177)*$G177+#REF!)</f>
        <v>0</v>
      </c>
      <c r="BD177" s="7">
        <f>IF(OR(ISERROR(+#REF!/($D177+$E177-$G177)*$G177+#REF!),LEFT(AB177,1)="x"),0,+#REF!/($D177+$E177-$G177)*$G177+#REF!)</f>
        <v>0</v>
      </c>
      <c r="BE177" s="7" t="e">
        <f>IF(OR(ISERROR(+AC177/($D177+$E177-$G177)*$G177+AC177),LEFT(#REF!,1)="x"),0,+AC177/($D177+$E177-$G177)*$G177+AC177)</f>
        <v>#REF!</v>
      </c>
    </row>
    <row r="178" spans="1:57" hidden="1">
      <c r="A178" s="555"/>
      <c r="B178" s="623"/>
      <c r="C178" s="607"/>
      <c r="D178" s="609"/>
      <c r="E178" s="608"/>
      <c r="F178" s="609"/>
      <c r="G178" s="609"/>
      <c r="H178" s="603"/>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8"/>
        <v>0</v>
      </c>
      <c r="AE178" s="629">
        <f t="shared" si="9"/>
        <v>0</v>
      </c>
      <c r="AF178" s="634">
        <f t="shared" si="10"/>
        <v>0</v>
      </c>
      <c r="AG178" s="43">
        <f t="shared" si="13"/>
        <v>0</v>
      </c>
      <c r="AH178" s="7">
        <f t="shared" si="16"/>
        <v>0</v>
      </c>
      <c r="AI178" s="7">
        <f t="shared" si="17"/>
        <v>0</v>
      </c>
      <c r="AJ178" s="7">
        <f t="shared" si="18"/>
        <v>0</v>
      </c>
      <c r="AK178" s="7">
        <f t="shared" si="19"/>
        <v>0</v>
      </c>
      <c r="AL178" s="7">
        <f t="shared" si="20"/>
        <v>0</v>
      </c>
      <c r="AM178" s="7">
        <f t="shared" si="21"/>
        <v>0</v>
      </c>
      <c r="AN178" s="7">
        <f t="shared" si="22"/>
        <v>0</v>
      </c>
      <c r="AO178" s="7">
        <f t="shared" si="23"/>
        <v>0</v>
      </c>
      <c r="AP178" s="7">
        <f t="shared" si="24"/>
        <v>0</v>
      </c>
      <c r="AQ178" s="7">
        <f t="shared" si="25"/>
        <v>0</v>
      </c>
      <c r="AR178" s="7">
        <f t="shared" si="26"/>
        <v>0</v>
      </c>
      <c r="AS178" s="7">
        <f t="shared" si="27"/>
        <v>0</v>
      </c>
      <c r="AT178" s="7">
        <f t="shared" si="28"/>
        <v>0</v>
      </c>
      <c r="AU178" s="7">
        <f t="shared" si="29"/>
        <v>0</v>
      </c>
      <c r="AV178" s="7">
        <f t="shared" si="30"/>
        <v>0</v>
      </c>
      <c r="AW178" s="7">
        <f t="shared" si="31"/>
        <v>0</v>
      </c>
      <c r="AX178" s="7">
        <f t="shared" si="32"/>
        <v>0</v>
      </c>
      <c r="AY178" s="7">
        <f t="shared" si="33"/>
        <v>0</v>
      </c>
      <c r="AZ178" s="7">
        <f t="shared" si="34"/>
        <v>0</v>
      </c>
      <c r="BA178" s="7">
        <f t="shared" si="35"/>
        <v>0</v>
      </c>
      <c r="BB178" s="7">
        <f t="shared" si="36"/>
        <v>0</v>
      </c>
      <c r="BC178" s="7">
        <f>IF(OR(ISERROR(+#REF!/($D178+$E178-$G178)*$G178+#REF!),LEFT(AA178,1)="x"),0,+#REF!/($D178+$E178-$G178)*$G178+#REF!)</f>
        <v>0</v>
      </c>
      <c r="BD178" s="7">
        <f>IF(OR(ISERROR(+#REF!/($D178+$E178-$G178)*$G178+#REF!),LEFT(AB178,1)="x"),0,+#REF!/($D178+$E178-$G178)*$G178+#REF!)</f>
        <v>0</v>
      </c>
      <c r="BE178" s="7" t="e">
        <f>IF(OR(ISERROR(+AC178/($D178+$E178-$G178)*$G178+AC178),LEFT(#REF!,1)="x"),0,+AC178/($D178+$E178-$G178)*$G178+AC178)</f>
        <v>#REF!</v>
      </c>
    </row>
    <row r="179" spans="1:57" hidden="1">
      <c r="A179" s="555"/>
      <c r="B179" s="623"/>
      <c r="C179" s="607"/>
      <c r="D179" s="609"/>
      <c r="E179" s="608"/>
      <c r="F179" s="609"/>
      <c r="G179" s="609"/>
      <c r="H179" s="603"/>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8"/>
        <v>0</v>
      </c>
      <c r="AE179" s="629">
        <f t="shared" si="9"/>
        <v>0</v>
      </c>
      <c r="AF179" s="634">
        <f t="shared" si="10"/>
        <v>0</v>
      </c>
      <c r="AG179" s="43">
        <f t="shared" si="13"/>
        <v>0</v>
      </c>
      <c r="AH179" s="7">
        <f t="shared" si="16"/>
        <v>0</v>
      </c>
      <c r="AI179" s="7">
        <f t="shared" si="17"/>
        <v>0</v>
      </c>
      <c r="AJ179" s="7">
        <f t="shared" si="18"/>
        <v>0</v>
      </c>
      <c r="AK179" s="7">
        <f t="shared" si="19"/>
        <v>0</v>
      </c>
      <c r="AL179" s="7">
        <f t="shared" si="20"/>
        <v>0</v>
      </c>
      <c r="AM179" s="7">
        <f t="shared" si="21"/>
        <v>0</v>
      </c>
      <c r="AN179" s="7">
        <f t="shared" si="22"/>
        <v>0</v>
      </c>
      <c r="AO179" s="7">
        <f t="shared" si="23"/>
        <v>0</v>
      </c>
      <c r="AP179" s="7">
        <f t="shared" si="24"/>
        <v>0</v>
      </c>
      <c r="AQ179" s="7">
        <f t="shared" si="25"/>
        <v>0</v>
      </c>
      <c r="AR179" s="7">
        <f t="shared" si="26"/>
        <v>0</v>
      </c>
      <c r="AS179" s="7">
        <f t="shared" si="27"/>
        <v>0</v>
      </c>
      <c r="AT179" s="7">
        <f t="shared" si="28"/>
        <v>0</v>
      </c>
      <c r="AU179" s="7">
        <f t="shared" si="29"/>
        <v>0</v>
      </c>
      <c r="AV179" s="7">
        <f t="shared" si="30"/>
        <v>0</v>
      </c>
      <c r="AW179" s="7">
        <f t="shared" si="31"/>
        <v>0</v>
      </c>
      <c r="AX179" s="7">
        <f t="shared" si="32"/>
        <v>0</v>
      </c>
      <c r="AY179" s="7">
        <f t="shared" si="33"/>
        <v>0</v>
      </c>
      <c r="AZ179" s="7">
        <f t="shared" si="34"/>
        <v>0</v>
      </c>
      <c r="BA179" s="7">
        <f t="shared" si="35"/>
        <v>0</v>
      </c>
      <c r="BB179" s="7">
        <f t="shared" si="36"/>
        <v>0</v>
      </c>
      <c r="BC179" s="7">
        <f>IF(OR(ISERROR(+#REF!/($D179+$E179-$G179)*$G179+#REF!),LEFT(AA179,1)="x"),0,+#REF!/($D179+$E179-$G179)*$G179+#REF!)</f>
        <v>0</v>
      </c>
      <c r="BD179" s="7">
        <f>IF(OR(ISERROR(+#REF!/($D179+$E179-$G179)*$G179+#REF!),LEFT(AB179,1)="x"),0,+#REF!/($D179+$E179-$G179)*$G179+#REF!)</f>
        <v>0</v>
      </c>
      <c r="BE179" s="7" t="e">
        <f>IF(OR(ISERROR(+AC179/($D179+$E179-$G179)*$G179+AC179),LEFT(#REF!,1)="x"),0,+AC179/($D179+$E179-$G179)*$G179+AC179)</f>
        <v>#REF!</v>
      </c>
    </row>
    <row r="180" spans="1:57" hidden="1">
      <c r="A180" s="555"/>
      <c r="B180" s="623"/>
      <c r="C180" s="607"/>
      <c r="D180" s="609"/>
      <c r="E180" s="608"/>
      <c r="F180" s="609"/>
      <c r="G180" s="609"/>
      <c r="H180" s="603"/>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8"/>
        <v>0</v>
      </c>
      <c r="AE180" s="629">
        <f t="shared" si="9"/>
        <v>0</v>
      </c>
      <c r="AF180" s="634">
        <f t="shared" si="10"/>
        <v>0</v>
      </c>
      <c r="AG180" s="43">
        <f t="shared" si="13"/>
        <v>0</v>
      </c>
      <c r="AH180" s="7">
        <f t="shared" si="16"/>
        <v>0</v>
      </c>
      <c r="AI180" s="7">
        <f t="shared" si="17"/>
        <v>0</v>
      </c>
      <c r="AJ180" s="7">
        <f t="shared" si="18"/>
        <v>0</v>
      </c>
      <c r="AK180" s="7">
        <f t="shared" si="19"/>
        <v>0</v>
      </c>
      <c r="AL180" s="7">
        <f t="shared" si="20"/>
        <v>0</v>
      </c>
      <c r="AM180" s="7">
        <f t="shared" si="21"/>
        <v>0</v>
      </c>
      <c r="AN180" s="7">
        <f t="shared" si="22"/>
        <v>0</v>
      </c>
      <c r="AO180" s="7">
        <f t="shared" si="23"/>
        <v>0</v>
      </c>
      <c r="AP180" s="7">
        <f t="shared" si="24"/>
        <v>0</v>
      </c>
      <c r="AQ180" s="7">
        <f t="shared" si="25"/>
        <v>0</v>
      </c>
      <c r="AR180" s="7">
        <f t="shared" si="26"/>
        <v>0</v>
      </c>
      <c r="AS180" s="7">
        <f t="shared" si="27"/>
        <v>0</v>
      </c>
      <c r="AT180" s="7">
        <f t="shared" si="28"/>
        <v>0</v>
      </c>
      <c r="AU180" s="7">
        <f t="shared" si="29"/>
        <v>0</v>
      </c>
      <c r="AV180" s="7">
        <f t="shared" si="30"/>
        <v>0</v>
      </c>
      <c r="AW180" s="7">
        <f t="shared" si="31"/>
        <v>0</v>
      </c>
      <c r="AX180" s="7">
        <f t="shared" si="32"/>
        <v>0</v>
      </c>
      <c r="AY180" s="7">
        <f t="shared" si="33"/>
        <v>0</v>
      </c>
      <c r="AZ180" s="7">
        <f t="shared" si="34"/>
        <v>0</v>
      </c>
      <c r="BA180" s="7">
        <f t="shared" si="35"/>
        <v>0</v>
      </c>
      <c r="BB180" s="7">
        <f t="shared" si="36"/>
        <v>0</v>
      </c>
      <c r="BC180" s="7">
        <f>IF(OR(ISERROR(+#REF!/($D180+$E180-$G180)*$G180+#REF!),LEFT(AA180,1)="x"),0,+#REF!/($D180+$E180-$G180)*$G180+#REF!)</f>
        <v>0</v>
      </c>
      <c r="BD180" s="7">
        <f>IF(OR(ISERROR(+#REF!/($D180+$E180-$G180)*$G180+#REF!),LEFT(AB180,1)="x"),0,+#REF!/($D180+$E180-$G180)*$G180+#REF!)</f>
        <v>0</v>
      </c>
      <c r="BE180" s="7" t="e">
        <f>IF(OR(ISERROR(+AC180/($D180+$E180-$G180)*$G180+AC180),LEFT(#REF!,1)="x"),0,+AC180/($D180+$E180-$G180)*$G180+AC180)</f>
        <v>#REF!</v>
      </c>
    </row>
    <row r="181" spans="1:57" hidden="1">
      <c r="A181" s="555"/>
      <c r="B181" s="623"/>
      <c r="C181" s="607"/>
      <c r="D181" s="609"/>
      <c r="E181" s="608"/>
      <c r="F181" s="609"/>
      <c r="G181" s="609"/>
      <c r="H181" s="603"/>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8"/>
        <v>0</v>
      </c>
      <c r="AE181" s="629">
        <f t="shared" si="9"/>
        <v>0</v>
      </c>
      <c r="AF181" s="634">
        <f t="shared" si="10"/>
        <v>0</v>
      </c>
      <c r="AG181" s="43">
        <f t="shared" si="13"/>
        <v>0</v>
      </c>
      <c r="AH181" s="7">
        <f t="shared" si="16"/>
        <v>0</v>
      </c>
      <c r="AI181" s="7">
        <f t="shared" si="17"/>
        <v>0</v>
      </c>
      <c r="AJ181" s="7">
        <f t="shared" si="18"/>
        <v>0</v>
      </c>
      <c r="AK181" s="7">
        <f t="shared" si="19"/>
        <v>0</v>
      </c>
      <c r="AL181" s="7">
        <f t="shared" si="20"/>
        <v>0</v>
      </c>
      <c r="AM181" s="7">
        <f t="shared" si="21"/>
        <v>0</v>
      </c>
      <c r="AN181" s="7">
        <f t="shared" si="22"/>
        <v>0</v>
      </c>
      <c r="AO181" s="7">
        <f t="shared" si="23"/>
        <v>0</v>
      </c>
      <c r="AP181" s="7">
        <f t="shared" si="24"/>
        <v>0</v>
      </c>
      <c r="AQ181" s="7">
        <f t="shared" si="25"/>
        <v>0</v>
      </c>
      <c r="AR181" s="7">
        <f t="shared" si="26"/>
        <v>0</v>
      </c>
      <c r="AS181" s="7">
        <f t="shared" si="27"/>
        <v>0</v>
      </c>
      <c r="AT181" s="7">
        <f t="shared" si="28"/>
        <v>0</v>
      </c>
      <c r="AU181" s="7">
        <f t="shared" si="29"/>
        <v>0</v>
      </c>
      <c r="AV181" s="7">
        <f t="shared" si="30"/>
        <v>0</v>
      </c>
      <c r="AW181" s="7">
        <f t="shared" si="31"/>
        <v>0</v>
      </c>
      <c r="AX181" s="7">
        <f t="shared" si="32"/>
        <v>0</v>
      </c>
      <c r="AY181" s="7">
        <f t="shared" si="33"/>
        <v>0</v>
      </c>
      <c r="AZ181" s="7">
        <f t="shared" si="34"/>
        <v>0</v>
      </c>
      <c r="BA181" s="7">
        <f t="shared" si="35"/>
        <v>0</v>
      </c>
      <c r="BB181" s="7">
        <f t="shared" si="36"/>
        <v>0</v>
      </c>
      <c r="BC181" s="7">
        <f>IF(OR(ISERROR(+#REF!/($D181+$E181-$G181)*$G181+#REF!),LEFT(AA181,1)="x"),0,+#REF!/($D181+$E181-$G181)*$G181+#REF!)</f>
        <v>0</v>
      </c>
      <c r="BD181" s="7">
        <f>IF(OR(ISERROR(+#REF!/($D181+$E181-$G181)*$G181+#REF!),LEFT(AB181,1)="x"),0,+#REF!/($D181+$E181-$G181)*$G181+#REF!)</f>
        <v>0</v>
      </c>
      <c r="BE181" s="7" t="e">
        <f>IF(OR(ISERROR(+AC181/($D181+$E181-$G181)*$G181+AC181),LEFT(#REF!,1)="x"),0,+AC181/($D181+$E181-$G181)*$G181+AC181)</f>
        <v>#REF!</v>
      </c>
    </row>
    <row r="182" spans="1:57" hidden="1">
      <c r="A182" s="555"/>
      <c r="B182" s="623"/>
      <c r="C182" s="607"/>
      <c r="D182" s="609"/>
      <c r="E182" s="608"/>
      <c r="F182" s="609"/>
      <c r="G182" s="609"/>
      <c r="H182" s="603"/>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8"/>
        <v>0</v>
      </c>
      <c r="AE182" s="629">
        <f t="shared" si="9"/>
        <v>0</v>
      </c>
      <c r="AF182" s="634">
        <f t="shared" si="10"/>
        <v>0</v>
      </c>
      <c r="AG182" s="43">
        <f t="shared" si="13"/>
        <v>0</v>
      </c>
      <c r="AH182" s="7">
        <f t="shared" si="16"/>
        <v>0</v>
      </c>
      <c r="AI182" s="7">
        <f t="shared" si="17"/>
        <v>0</v>
      </c>
      <c r="AJ182" s="7">
        <f t="shared" si="18"/>
        <v>0</v>
      </c>
      <c r="AK182" s="7">
        <f t="shared" si="19"/>
        <v>0</v>
      </c>
      <c r="AL182" s="7">
        <f t="shared" si="20"/>
        <v>0</v>
      </c>
      <c r="AM182" s="7">
        <f t="shared" si="21"/>
        <v>0</v>
      </c>
      <c r="AN182" s="7">
        <f t="shared" si="22"/>
        <v>0</v>
      </c>
      <c r="AO182" s="7">
        <f t="shared" si="23"/>
        <v>0</v>
      </c>
      <c r="AP182" s="7">
        <f t="shared" si="24"/>
        <v>0</v>
      </c>
      <c r="AQ182" s="7">
        <f t="shared" si="25"/>
        <v>0</v>
      </c>
      <c r="AR182" s="7">
        <f t="shared" si="26"/>
        <v>0</v>
      </c>
      <c r="AS182" s="7">
        <f t="shared" si="27"/>
        <v>0</v>
      </c>
      <c r="AT182" s="7">
        <f t="shared" si="28"/>
        <v>0</v>
      </c>
      <c r="AU182" s="7">
        <f t="shared" si="29"/>
        <v>0</v>
      </c>
      <c r="AV182" s="7">
        <f t="shared" si="30"/>
        <v>0</v>
      </c>
      <c r="AW182" s="7">
        <f t="shared" si="31"/>
        <v>0</v>
      </c>
      <c r="AX182" s="7">
        <f t="shared" si="32"/>
        <v>0</v>
      </c>
      <c r="AY182" s="7">
        <f t="shared" si="33"/>
        <v>0</v>
      </c>
      <c r="AZ182" s="7">
        <f t="shared" si="34"/>
        <v>0</v>
      </c>
      <c r="BA182" s="7">
        <f t="shared" si="35"/>
        <v>0</v>
      </c>
      <c r="BB182" s="7">
        <f t="shared" si="36"/>
        <v>0</v>
      </c>
      <c r="BC182" s="7">
        <f>IF(OR(ISERROR(+#REF!/($D182+$E182-$G182)*$G182+#REF!),LEFT(AA182,1)="x"),0,+#REF!/($D182+$E182-$G182)*$G182+#REF!)</f>
        <v>0</v>
      </c>
      <c r="BD182" s="7">
        <f>IF(OR(ISERROR(+#REF!/($D182+$E182-$G182)*$G182+#REF!),LEFT(AB182,1)="x"),0,+#REF!/($D182+$E182-$G182)*$G182+#REF!)</f>
        <v>0</v>
      </c>
      <c r="BE182" s="7" t="e">
        <f>IF(OR(ISERROR(+AC182/($D182+$E182-$G182)*$G182+AC182),LEFT(#REF!,1)="x"),0,+AC182/($D182+$E182-$G182)*$G182+AC182)</f>
        <v>#REF!</v>
      </c>
    </row>
    <row r="183" spans="1:57" hidden="1">
      <c r="A183" s="555"/>
      <c r="B183" s="623"/>
      <c r="C183" s="607"/>
      <c r="D183" s="609"/>
      <c r="E183" s="608"/>
      <c r="F183" s="609"/>
      <c r="G183" s="609"/>
      <c r="H183" s="603"/>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8"/>
        <v>0</v>
      </c>
      <c r="AE183" s="629">
        <f t="shared" si="9"/>
        <v>0</v>
      </c>
      <c r="AF183" s="634">
        <f t="shared" si="10"/>
        <v>0</v>
      </c>
      <c r="AG183" s="43">
        <f t="shared" si="13"/>
        <v>0</v>
      </c>
      <c r="AH183" s="7">
        <f t="shared" si="16"/>
        <v>0</v>
      </c>
      <c r="AI183" s="7">
        <f t="shared" si="17"/>
        <v>0</v>
      </c>
      <c r="AJ183" s="7">
        <f t="shared" si="18"/>
        <v>0</v>
      </c>
      <c r="AK183" s="7">
        <f t="shared" si="19"/>
        <v>0</v>
      </c>
      <c r="AL183" s="7">
        <f t="shared" si="20"/>
        <v>0</v>
      </c>
      <c r="AM183" s="7">
        <f t="shared" si="21"/>
        <v>0</v>
      </c>
      <c r="AN183" s="7">
        <f t="shared" si="22"/>
        <v>0</v>
      </c>
      <c r="AO183" s="7">
        <f t="shared" si="23"/>
        <v>0</v>
      </c>
      <c r="AP183" s="7">
        <f t="shared" si="24"/>
        <v>0</v>
      </c>
      <c r="AQ183" s="7">
        <f t="shared" si="25"/>
        <v>0</v>
      </c>
      <c r="AR183" s="7">
        <f t="shared" si="26"/>
        <v>0</v>
      </c>
      <c r="AS183" s="7">
        <f t="shared" si="27"/>
        <v>0</v>
      </c>
      <c r="AT183" s="7">
        <f t="shared" si="28"/>
        <v>0</v>
      </c>
      <c r="AU183" s="7">
        <f t="shared" si="29"/>
        <v>0</v>
      </c>
      <c r="AV183" s="7">
        <f t="shared" si="30"/>
        <v>0</v>
      </c>
      <c r="AW183" s="7">
        <f t="shared" si="31"/>
        <v>0</v>
      </c>
      <c r="AX183" s="7">
        <f t="shared" si="32"/>
        <v>0</v>
      </c>
      <c r="AY183" s="7">
        <f t="shared" si="33"/>
        <v>0</v>
      </c>
      <c r="AZ183" s="7">
        <f t="shared" si="34"/>
        <v>0</v>
      </c>
      <c r="BA183" s="7">
        <f t="shared" si="35"/>
        <v>0</v>
      </c>
      <c r="BB183" s="7">
        <f t="shared" si="36"/>
        <v>0</v>
      </c>
      <c r="BC183" s="7">
        <f>IF(OR(ISERROR(+#REF!/($D183+$E183-$G183)*$G183+#REF!),LEFT(AA183,1)="x"),0,+#REF!/($D183+$E183-$G183)*$G183+#REF!)</f>
        <v>0</v>
      </c>
      <c r="BD183" s="7">
        <f>IF(OR(ISERROR(+#REF!/($D183+$E183-$G183)*$G183+#REF!),LEFT(AB183,1)="x"),0,+#REF!/($D183+$E183-$G183)*$G183+#REF!)</f>
        <v>0</v>
      </c>
      <c r="BE183" s="7" t="e">
        <f>IF(OR(ISERROR(+AC183/($D183+$E183-$G183)*$G183+AC183),LEFT(#REF!,1)="x"),0,+AC183/($D183+$E183-$G183)*$G183+AC183)</f>
        <v>#REF!</v>
      </c>
    </row>
    <row r="184" spans="1:57" hidden="1">
      <c r="A184" s="555"/>
      <c r="B184" s="623"/>
      <c r="C184" s="607"/>
      <c r="D184" s="609"/>
      <c r="E184" s="608"/>
      <c r="F184" s="609"/>
      <c r="G184" s="609"/>
      <c r="H184" s="603"/>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8"/>
        <v>0</v>
      </c>
      <c r="AE184" s="629">
        <f t="shared" si="9"/>
        <v>0</v>
      </c>
      <c r="AF184" s="634">
        <f t="shared" si="10"/>
        <v>0</v>
      </c>
      <c r="AG184" s="43">
        <f t="shared" si="13"/>
        <v>0</v>
      </c>
      <c r="AH184" s="7">
        <f t="shared" si="16"/>
        <v>0</v>
      </c>
      <c r="AI184" s="7">
        <f t="shared" si="17"/>
        <v>0</v>
      </c>
      <c r="AJ184" s="7">
        <f t="shared" si="18"/>
        <v>0</v>
      </c>
      <c r="AK184" s="7">
        <f t="shared" si="19"/>
        <v>0</v>
      </c>
      <c r="AL184" s="7">
        <f t="shared" si="20"/>
        <v>0</v>
      </c>
      <c r="AM184" s="7">
        <f t="shared" si="21"/>
        <v>0</v>
      </c>
      <c r="AN184" s="7">
        <f t="shared" si="22"/>
        <v>0</v>
      </c>
      <c r="AO184" s="7">
        <f t="shared" si="23"/>
        <v>0</v>
      </c>
      <c r="AP184" s="7">
        <f t="shared" si="24"/>
        <v>0</v>
      </c>
      <c r="AQ184" s="7">
        <f t="shared" si="25"/>
        <v>0</v>
      </c>
      <c r="AR184" s="7">
        <f t="shared" si="26"/>
        <v>0</v>
      </c>
      <c r="AS184" s="7">
        <f t="shared" si="27"/>
        <v>0</v>
      </c>
      <c r="AT184" s="7">
        <f t="shared" si="28"/>
        <v>0</v>
      </c>
      <c r="AU184" s="7">
        <f t="shared" si="29"/>
        <v>0</v>
      </c>
      <c r="AV184" s="7">
        <f t="shared" si="30"/>
        <v>0</v>
      </c>
      <c r="AW184" s="7">
        <f t="shared" si="31"/>
        <v>0</v>
      </c>
      <c r="AX184" s="7">
        <f t="shared" si="32"/>
        <v>0</v>
      </c>
      <c r="AY184" s="7">
        <f t="shared" si="33"/>
        <v>0</v>
      </c>
      <c r="AZ184" s="7">
        <f t="shared" si="34"/>
        <v>0</v>
      </c>
      <c r="BA184" s="7">
        <f t="shared" si="35"/>
        <v>0</v>
      </c>
      <c r="BB184" s="7">
        <f t="shared" si="36"/>
        <v>0</v>
      </c>
      <c r="BC184" s="7">
        <f>IF(OR(ISERROR(+#REF!/($D184+$E184-$G184)*$G184+#REF!),LEFT(AA184,1)="x"),0,+#REF!/($D184+$E184-$G184)*$G184+#REF!)</f>
        <v>0</v>
      </c>
      <c r="BD184" s="7">
        <f>IF(OR(ISERROR(+#REF!/($D184+$E184-$G184)*$G184+#REF!),LEFT(AB184,1)="x"),0,+#REF!/($D184+$E184-$G184)*$G184+#REF!)</f>
        <v>0</v>
      </c>
      <c r="BE184" s="7" t="e">
        <f>IF(OR(ISERROR(+AC184/($D184+$E184-$G184)*$G184+AC184),LEFT(#REF!,1)="x"),0,+AC184/($D184+$E184-$G184)*$G184+AC184)</f>
        <v>#REF!</v>
      </c>
    </row>
    <row r="185" spans="1:57" hidden="1">
      <c r="A185" s="555"/>
      <c r="B185" s="623"/>
      <c r="C185" s="607"/>
      <c r="D185" s="609"/>
      <c r="E185" s="608"/>
      <c r="F185" s="609"/>
      <c r="G185" s="609"/>
      <c r="H185" s="603"/>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8"/>
        <v>0</v>
      </c>
      <c r="AE185" s="629">
        <f t="shared" si="9"/>
        <v>0</v>
      </c>
      <c r="AF185" s="634">
        <f t="shared" si="10"/>
        <v>0</v>
      </c>
      <c r="AG185" s="43">
        <f t="shared" si="13"/>
        <v>0</v>
      </c>
      <c r="AH185" s="7">
        <f t="shared" si="16"/>
        <v>0</v>
      </c>
      <c r="AI185" s="7">
        <f t="shared" si="17"/>
        <v>0</v>
      </c>
      <c r="AJ185" s="7">
        <f t="shared" si="18"/>
        <v>0</v>
      </c>
      <c r="AK185" s="7">
        <f t="shared" si="19"/>
        <v>0</v>
      </c>
      <c r="AL185" s="7">
        <f t="shared" si="20"/>
        <v>0</v>
      </c>
      <c r="AM185" s="7">
        <f t="shared" si="21"/>
        <v>0</v>
      </c>
      <c r="AN185" s="7">
        <f t="shared" si="22"/>
        <v>0</v>
      </c>
      <c r="AO185" s="7">
        <f t="shared" si="23"/>
        <v>0</v>
      </c>
      <c r="AP185" s="7">
        <f t="shared" si="24"/>
        <v>0</v>
      </c>
      <c r="AQ185" s="7">
        <f t="shared" si="25"/>
        <v>0</v>
      </c>
      <c r="AR185" s="7">
        <f t="shared" si="26"/>
        <v>0</v>
      </c>
      <c r="AS185" s="7">
        <f t="shared" si="27"/>
        <v>0</v>
      </c>
      <c r="AT185" s="7">
        <f t="shared" si="28"/>
        <v>0</v>
      </c>
      <c r="AU185" s="7">
        <f t="shared" si="29"/>
        <v>0</v>
      </c>
      <c r="AV185" s="7">
        <f t="shared" si="30"/>
        <v>0</v>
      </c>
      <c r="AW185" s="7">
        <f t="shared" si="31"/>
        <v>0</v>
      </c>
      <c r="AX185" s="7">
        <f t="shared" si="32"/>
        <v>0</v>
      </c>
      <c r="AY185" s="7">
        <f t="shared" si="33"/>
        <v>0</v>
      </c>
      <c r="AZ185" s="7">
        <f t="shared" si="34"/>
        <v>0</v>
      </c>
      <c r="BA185" s="7">
        <f t="shared" si="35"/>
        <v>0</v>
      </c>
      <c r="BB185" s="7">
        <f t="shared" si="36"/>
        <v>0</v>
      </c>
      <c r="BC185" s="7">
        <f>IF(OR(ISERROR(+#REF!/($D185+$E185-$G185)*$G185+#REF!),LEFT(AA185,1)="x"),0,+#REF!/($D185+$E185-$G185)*$G185+#REF!)</f>
        <v>0</v>
      </c>
      <c r="BD185" s="7">
        <f>IF(OR(ISERROR(+#REF!/($D185+$E185-$G185)*$G185+#REF!),LEFT(AB185,1)="x"),0,+#REF!/($D185+$E185-$G185)*$G185+#REF!)</f>
        <v>0</v>
      </c>
      <c r="BE185" s="7" t="e">
        <f>IF(OR(ISERROR(+AC185/($D185+$E185-$G185)*$G185+AC185),LEFT(#REF!,1)="x"),0,+AC185/($D185+$E185-$G185)*$G185+AC185)</f>
        <v>#REF!</v>
      </c>
    </row>
    <row r="186" spans="1:57" hidden="1">
      <c r="A186" s="555"/>
      <c r="B186" s="623"/>
      <c r="C186" s="607"/>
      <c r="D186" s="609"/>
      <c r="E186" s="608"/>
      <c r="F186" s="609"/>
      <c r="G186" s="609"/>
      <c r="H186" s="585"/>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8"/>
        <v>0</v>
      </c>
      <c r="AE186" s="629">
        <f t="shared" si="9"/>
        <v>0</v>
      </c>
      <c r="AF186" s="634">
        <f t="shared" si="10"/>
        <v>0</v>
      </c>
      <c r="AG186" s="43">
        <f t="shared" si="13"/>
        <v>0</v>
      </c>
      <c r="AH186" s="7">
        <f t="shared" ref="AH186:AV186" si="37">IF(OR(ISERROR(+H186/($D186+$E186-$G186)*$G186+H186),LEFT(F186,1)="x"),0,+H186/($D186+$E186-$G186)*$G186+H186)</f>
        <v>0</v>
      </c>
      <c r="AI186" s="7">
        <f t="shared" si="37"/>
        <v>0</v>
      </c>
      <c r="AJ186" s="7">
        <f t="shared" si="37"/>
        <v>0</v>
      </c>
      <c r="AK186" s="7">
        <f t="shared" si="37"/>
        <v>0</v>
      </c>
      <c r="AL186" s="7">
        <f t="shared" si="37"/>
        <v>0</v>
      </c>
      <c r="AM186" s="7">
        <f t="shared" si="37"/>
        <v>0</v>
      </c>
      <c r="AN186" s="7">
        <f t="shared" si="37"/>
        <v>0</v>
      </c>
      <c r="AO186" s="7">
        <f t="shared" si="37"/>
        <v>0</v>
      </c>
      <c r="AP186" s="7">
        <f t="shared" si="37"/>
        <v>0</v>
      </c>
      <c r="AQ186" s="7">
        <f t="shared" si="37"/>
        <v>0</v>
      </c>
      <c r="AR186" s="7">
        <f t="shared" si="37"/>
        <v>0</v>
      </c>
      <c r="AS186" s="7">
        <f t="shared" si="37"/>
        <v>0</v>
      </c>
      <c r="AT186" s="7">
        <f t="shared" si="37"/>
        <v>0</v>
      </c>
      <c r="AU186" s="7">
        <f t="shared" si="37"/>
        <v>0</v>
      </c>
      <c r="AV186" s="7">
        <f t="shared" si="37"/>
        <v>0</v>
      </c>
      <c r="AW186" s="7">
        <f t="shared" ref="AW186:AW201" si="38">IF(OR(ISERROR(+W186/($D186+$E186-$G186)*$G186+W186),LEFT(U186,1)="x"),0,+W186/($D186+$E186-$G186)*$G186+W186)</f>
        <v>0</v>
      </c>
      <c r="AX186" s="7">
        <f t="shared" ref="AX186:AX201" si="39">IF(OR(ISERROR(+X186/($D186+$E186-$G186)*$G186+X186),LEFT(V186,1)="x"),0,+X186/($D186+$E186-$G186)*$G186+X186)</f>
        <v>0</v>
      </c>
      <c r="AY186" s="7">
        <f t="shared" ref="AY186:AY201" si="40">IF(OR(ISERROR(+Y186/($D186+$E186-$G186)*$G186+Y186),LEFT(W186,1)="x"),0,+Y186/($D186+$E186-$G186)*$G186+Y186)</f>
        <v>0</v>
      </c>
      <c r="AZ186" s="7">
        <f t="shared" ref="AZ186:AZ201" si="41">IF(OR(ISERROR(+Z186/($D186+$E186-$G186)*$G186+Z186),LEFT(X186,1)="x"),0,+Z186/($D186+$E186-$G186)*$G186+Z186)</f>
        <v>0</v>
      </c>
      <c r="BA186" s="7">
        <f t="shared" ref="BA186:BA201" si="42">IF(OR(ISERROR(+AA186/($D186+$E186-$G186)*$G186+AA186),LEFT(Y186,1)="x"),0,+AA186/($D186+$E186-$G186)*$G186+AA186)</f>
        <v>0</v>
      </c>
      <c r="BB186" s="7">
        <f t="shared" ref="BB186:BB201" si="43">IF(OR(ISERROR(+AB186/($D186+$E186-$G186)*$G186+AB186),LEFT(Z186,1)="x"),0,+AB186/($D186+$E186-$G186)*$G186+AB186)</f>
        <v>0</v>
      </c>
      <c r="BC186" s="7">
        <f>IF(OR(ISERROR(+#REF!/($D186+$E186-$G186)*$G186+#REF!),LEFT(AA186,1)="x"),0,+#REF!/($D186+$E186-$G186)*$G186+#REF!)</f>
        <v>0</v>
      </c>
      <c r="BD186" s="7">
        <f>IF(OR(ISERROR(+#REF!/($D186+$E186-$G186)*$G186+#REF!),LEFT(AB186,1)="x"),0,+#REF!/($D186+$E186-$G186)*$G186+#REF!)</f>
        <v>0</v>
      </c>
      <c r="BE186" s="7" t="e">
        <f>IF(OR(ISERROR(+AC186/($D186+$E186-$G186)*$G186+AC186),LEFT(#REF!,1)="x"),0,+AC186/($D186+$E186-$G186)*$G186+AC186)</f>
        <v>#REF!</v>
      </c>
    </row>
    <row r="187" spans="1:57" hidden="1">
      <c r="A187" s="555"/>
      <c r="B187" s="623"/>
      <c r="C187" s="607"/>
      <c r="D187" s="609"/>
      <c r="E187" s="608"/>
      <c r="F187" s="609"/>
      <c r="G187" s="609"/>
      <c r="H187" s="585"/>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8"/>
        <v>0</v>
      </c>
      <c r="AE187" s="629">
        <f t="shared" si="9"/>
        <v>0</v>
      </c>
      <c r="AF187" s="634">
        <f t="shared" si="10"/>
        <v>0</v>
      </c>
      <c r="AG187" s="43">
        <f t="shared" si="13"/>
        <v>0</v>
      </c>
      <c r="AH187" s="7">
        <f t="shared" ref="AH187:AV197" si="44">IF(OR(ISERROR(+H187/($D187+$E187-$G187)*$G187+H187),LEFT(F187,1)="x"),0,+H187/($D187+$E187-$G187)*$G187+H187)</f>
        <v>0</v>
      </c>
      <c r="AI187" s="7">
        <f t="shared" si="44"/>
        <v>0</v>
      </c>
      <c r="AJ187" s="7">
        <f t="shared" si="44"/>
        <v>0</v>
      </c>
      <c r="AK187" s="7">
        <f t="shared" si="44"/>
        <v>0</v>
      </c>
      <c r="AL187" s="7">
        <f t="shared" si="44"/>
        <v>0</v>
      </c>
      <c r="AM187" s="7">
        <f t="shared" si="44"/>
        <v>0</v>
      </c>
      <c r="AN187" s="7">
        <f t="shared" si="44"/>
        <v>0</v>
      </c>
      <c r="AO187" s="7">
        <f t="shared" si="44"/>
        <v>0</v>
      </c>
      <c r="AP187" s="7">
        <f t="shared" si="44"/>
        <v>0</v>
      </c>
      <c r="AQ187" s="7">
        <f t="shared" si="44"/>
        <v>0</v>
      </c>
      <c r="AR187" s="7">
        <f t="shared" si="44"/>
        <v>0</v>
      </c>
      <c r="AS187" s="7">
        <f t="shared" si="44"/>
        <v>0</v>
      </c>
      <c r="AT187" s="7">
        <f t="shared" si="44"/>
        <v>0</v>
      </c>
      <c r="AU187" s="7">
        <f t="shared" si="44"/>
        <v>0</v>
      </c>
      <c r="AV187" s="7">
        <f t="shared" si="44"/>
        <v>0</v>
      </c>
      <c r="AW187" s="7">
        <f t="shared" si="38"/>
        <v>0</v>
      </c>
      <c r="AX187" s="7">
        <f t="shared" si="39"/>
        <v>0</v>
      </c>
      <c r="AY187" s="7">
        <f t="shared" si="40"/>
        <v>0</v>
      </c>
      <c r="AZ187" s="7">
        <f t="shared" si="41"/>
        <v>0</v>
      </c>
      <c r="BA187" s="7">
        <f t="shared" si="42"/>
        <v>0</v>
      </c>
      <c r="BB187" s="7">
        <f t="shared" si="43"/>
        <v>0</v>
      </c>
      <c r="BC187" s="7">
        <f>IF(OR(ISERROR(+#REF!/($D187+$E187-$G187)*$G187+#REF!),LEFT(AA187,1)="x"),0,+#REF!/($D187+$E187-$G187)*$G187+#REF!)</f>
        <v>0</v>
      </c>
      <c r="BD187" s="7">
        <f>IF(OR(ISERROR(+#REF!/($D187+$E187-$G187)*$G187+#REF!),LEFT(AB187,1)="x"),0,+#REF!/($D187+$E187-$G187)*$G187+#REF!)</f>
        <v>0</v>
      </c>
      <c r="BE187" s="7" t="e">
        <f>IF(OR(ISERROR(+AC187/($D187+$E187-$G187)*$G187+AC187),LEFT(#REF!,1)="x"),0,+AC187/($D187+$E187-$G187)*$G187+AC187)</f>
        <v>#REF!</v>
      </c>
    </row>
    <row r="188" spans="1:57" hidden="1">
      <c r="A188" s="555"/>
      <c r="B188" s="623"/>
      <c r="C188" s="607"/>
      <c r="D188" s="609"/>
      <c r="E188" s="608"/>
      <c r="F188" s="609"/>
      <c r="G188" s="609"/>
      <c r="H188" s="585"/>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8"/>
        <v>0</v>
      </c>
      <c r="AE188" s="629">
        <f t="shared" si="9"/>
        <v>0</v>
      </c>
      <c r="AF188" s="634">
        <f t="shared" si="10"/>
        <v>0</v>
      </c>
      <c r="AG188" s="43">
        <f t="shared" si="13"/>
        <v>0</v>
      </c>
      <c r="AH188" s="7">
        <f t="shared" si="44"/>
        <v>0</v>
      </c>
      <c r="AI188" s="7">
        <f t="shared" si="44"/>
        <v>0</v>
      </c>
      <c r="AJ188" s="7">
        <f t="shared" si="44"/>
        <v>0</v>
      </c>
      <c r="AK188" s="7">
        <f t="shared" si="44"/>
        <v>0</v>
      </c>
      <c r="AL188" s="7">
        <f t="shared" si="44"/>
        <v>0</v>
      </c>
      <c r="AM188" s="7">
        <f t="shared" si="44"/>
        <v>0</v>
      </c>
      <c r="AN188" s="7">
        <f t="shared" si="44"/>
        <v>0</v>
      </c>
      <c r="AO188" s="7">
        <f t="shared" si="44"/>
        <v>0</v>
      </c>
      <c r="AP188" s="7">
        <f t="shared" si="44"/>
        <v>0</v>
      </c>
      <c r="AQ188" s="7">
        <f t="shared" si="44"/>
        <v>0</v>
      </c>
      <c r="AR188" s="7">
        <f t="shared" si="44"/>
        <v>0</v>
      </c>
      <c r="AS188" s="7">
        <f t="shared" si="44"/>
        <v>0</v>
      </c>
      <c r="AT188" s="7">
        <f t="shared" si="44"/>
        <v>0</v>
      </c>
      <c r="AU188" s="7">
        <f t="shared" si="44"/>
        <v>0</v>
      </c>
      <c r="AV188" s="7">
        <f t="shared" si="44"/>
        <v>0</v>
      </c>
      <c r="AW188" s="7">
        <f t="shared" si="38"/>
        <v>0</v>
      </c>
      <c r="AX188" s="7">
        <f t="shared" si="39"/>
        <v>0</v>
      </c>
      <c r="AY188" s="7">
        <f t="shared" si="40"/>
        <v>0</v>
      </c>
      <c r="AZ188" s="7">
        <f t="shared" si="41"/>
        <v>0</v>
      </c>
      <c r="BA188" s="7">
        <f t="shared" si="42"/>
        <v>0</v>
      </c>
      <c r="BB188" s="7">
        <f t="shared" si="43"/>
        <v>0</v>
      </c>
      <c r="BC188" s="7">
        <f>IF(OR(ISERROR(+#REF!/($D188+$E188-$G188)*$G188+#REF!),LEFT(AA188,1)="x"),0,+#REF!/($D188+$E188-$G188)*$G188+#REF!)</f>
        <v>0</v>
      </c>
      <c r="BD188" s="7">
        <f>IF(OR(ISERROR(+#REF!/($D188+$E188-$G188)*$G188+#REF!),LEFT(AB188,1)="x"),0,+#REF!/($D188+$E188-$G188)*$G188+#REF!)</f>
        <v>0</v>
      </c>
      <c r="BE188" s="7" t="e">
        <f>IF(OR(ISERROR(+AC188/($D188+$E188-$G188)*$G188+AC188),LEFT(#REF!,1)="x"),0,+AC188/($D188+$E188-$G188)*$G188+AC188)</f>
        <v>#REF!</v>
      </c>
    </row>
    <row r="189" spans="1:57" hidden="1">
      <c r="A189" s="555"/>
      <c r="B189" s="623"/>
      <c r="C189" s="607"/>
      <c r="D189" s="609"/>
      <c r="E189" s="608"/>
      <c r="F189" s="609"/>
      <c r="G189" s="609"/>
      <c r="H189" s="585"/>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8"/>
        <v>0</v>
      </c>
      <c r="AE189" s="629">
        <f t="shared" si="9"/>
        <v>0</v>
      </c>
      <c r="AF189" s="634">
        <f t="shared" si="10"/>
        <v>0</v>
      </c>
      <c r="AG189" s="43">
        <f t="shared" si="13"/>
        <v>0</v>
      </c>
      <c r="AH189" s="7">
        <f t="shared" si="44"/>
        <v>0</v>
      </c>
      <c r="AI189" s="7">
        <f t="shared" si="44"/>
        <v>0</v>
      </c>
      <c r="AJ189" s="7">
        <f t="shared" si="44"/>
        <v>0</v>
      </c>
      <c r="AK189" s="7">
        <f t="shared" si="44"/>
        <v>0</v>
      </c>
      <c r="AL189" s="7">
        <f t="shared" si="44"/>
        <v>0</v>
      </c>
      <c r="AM189" s="7">
        <f t="shared" si="44"/>
        <v>0</v>
      </c>
      <c r="AN189" s="7">
        <f t="shared" si="44"/>
        <v>0</v>
      </c>
      <c r="AO189" s="7">
        <f t="shared" si="44"/>
        <v>0</v>
      </c>
      <c r="AP189" s="7">
        <f t="shared" si="44"/>
        <v>0</v>
      </c>
      <c r="AQ189" s="7">
        <f t="shared" si="44"/>
        <v>0</v>
      </c>
      <c r="AR189" s="7">
        <f t="shared" si="44"/>
        <v>0</v>
      </c>
      <c r="AS189" s="7">
        <f t="shared" si="44"/>
        <v>0</v>
      </c>
      <c r="AT189" s="7">
        <f t="shared" si="44"/>
        <v>0</v>
      </c>
      <c r="AU189" s="7">
        <f t="shared" si="44"/>
        <v>0</v>
      </c>
      <c r="AV189" s="7">
        <f t="shared" si="44"/>
        <v>0</v>
      </c>
      <c r="AW189" s="7">
        <f t="shared" si="38"/>
        <v>0</v>
      </c>
      <c r="AX189" s="7">
        <f t="shared" si="39"/>
        <v>0</v>
      </c>
      <c r="AY189" s="7">
        <f t="shared" si="40"/>
        <v>0</v>
      </c>
      <c r="AZ189" s="7">
        <f t="shared" si="41"/>
        <v>0</v>
      </c>
      <c r="BA189" s="7">
        <f t="shared" si="42"/>
        <v>0</v>
      </c>
      <c r="BB189" s="7">
        <f t="shared" si="43"/>
        <v>0</v>
      </c>
      <c r="BC189" s="7">
        <f>IF(OR(ISERROR(+#REF!/($D189+$E189-$G189)*$G189+#REF!),LEFT(AA189,1)="x"),0,+#REF!/($D189+$E189-$G189)*$G189+#REF!)</f>
        <v>0</v>
      </c>
      <c r="BD189" s="7">
        <f>IF(OR(ISERROR(+#REF!/($D189+$E189-$G189)*$G189+#REF!),LEFT(AB189,1)="x"),0,+#REF!/($D189+$E189-$G189)*$G189+#REF!)</f>
        <v>0</v>
      </c>
      <c r="BE189" s="7" t="e">
        <f>IF(OR(ISERROR(+AC189/($D189+$E189-$G189)*$G189+AC189),LEFT(#REF!,1)="x"),0,+AC189/($D189+$E189-$G189)*$G189+AC189)</f>
        <v>#REF!</v>
      </c>
    </row>
    <row r="190" spans="1:57" hidden="1">
      <c r="A190" s="555"/>
      <c r="B190" s="623"/>
      <c r="C190" s="607"/>
      <c r="D190" s="609"/>
      <c r="E190" s="608"/>
      <c r="F190" s="609"/>
      <c r="G190" s="609"/>
      <c r="H190" s="585"/>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8"/>
        <v>0</v>
      </c>
      <c r="AE190" s="629">
        <f t="shared" si="9"/>
        <v>0</v>
      </c>
      <c r="AF190" s="634">
        <f t="shared" si="10"/>
        <v>0</v>
      </c>
      <c r="AG190" s="43">
        <f t="shared" si="13"/>
        <v>0</v>
      </c>
      <c r="AH190" s="7">
        <f t="shared" si="44"/>
        <v>0</v>
      </c>
      <c r="AI190" s="7">
        <f t="shared" si="44"/>
        <v>0</v>
      </c>
      <c r="AJ190" s="7">
        <f t="shared" si="44"/>
        <v>0</v>
      </c>
      <c r="AK190" s="7">
        <f t="shared" si="44"/>
        <v>0</v>
      </c>
      <c r="AL190" s="7">
        <f t="shared" si="44"/>
        <v>0</v>
      </c>
      <c r="AM190" s="7">
        <f t="shared" si="44"/>
        <v>0</v>
      </c>
      <c r="AN190" s="7">
        <f t="shared" si="44"/>
        <v>0</v>
      </c>
      <c r="AO190" s="7">
        <f t="shared" si="44"/>
        <v>0</v>
      </c>
      <c r="AP190" s="7">
        <f t="shared" si="44"/>
        <v>0</v>
      </c>
      <c r="AQ190" s="7">
        <f t="shared" si="44"/>
        <v>0</v>
      </c>
      <c r="AR190" s="7">
        <f t="shared" si="44"/>
        <v>0</v>
      </c>
      <c r="AS190" s="7">
        <f t="shared" si="44"/>
        <v>0</v>
      </c>
      <c r="AT190" s="7">
        <f t="shared" si="44"/>
        <v>0</v>
      </c>
      <c r="AU190" s="7">
        <f t="shared" si="44"/>
        <v>0</v>
      </c>
      <c r="AV190" s="7">
        <f t="shared" si="44"/>
        <v>0</v>
      </c>
      <c r="AW190" s="7">
        <f t="shared" si="38"/>
        <v>0</v>
      </c>
      <c r="AX190" s="7">
        <f t="shared" si="39"/>
        <v>0</v>
      </c>
      <c r="AY190" s="7">
        <f t="shared" si="40"/>
        <v>0</v>
      </c>
      <c r="AZ190" s="7">
        <f t="shared" si="41"/>
        <v>0</v>
      </c>
      <c r="BA190" s="7">
        <f t="shared" si="42"/>
        <v>0</v>
      </c>
      <c r="BB190" s="7">
        <f t="shared" si="43"/>
        <v>0</v>
      </c>
      <c r="BC190" s="7">
        <f>IF(OR(ISERROR(+#REF!/($D190+$E190-$G190)*$G190+#REF!),LEFT(AA190,1)="x"),0,+#REF!/($D190+$E190-$G190)*$G190+#REF!)</f>
        <v>0</v>
      </c>
      <c r="BD190" s="7">
        <f>IF(OR(ISERROR(+#REF!/($D190+$E190-$G190)*$G190+#REF!),LEFT(AB190,1)="x"),0,+#REF!/($D190+$E190-$G190)*$G190+#REF!)</f>
        <v>0</v>
      </c>
      <c r="BE190" s="7" t="e">
        <f>IF(OR(ISERROR(+AC190/($D190+$E190-$G190)*$G190+AC190),LEFT(#REF!,1)="x"),0,+AC190/($D190+$E190-$G190)*$G190+AC190)</f>
        <v>#REF!</v>
      </c>
    </row>
    <row r="191" spans="1:57" hidden="1">
      <c r="A191" s="555"/>
      <c r="B191" s="623"/>
      <c r="C191" s="607"/>
      <c r="D191" s="609"/>
      <c r="E191" s="608"/>
      <c r="F191" s="609"/>
      <c r="G191" s="609"/>
      <c r="H191" s="585"/>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8"/>
        <v>0</v>
      </c>
      <c r="AE191" s="629">
        <f t="shared" si="9"/>
        <v>0</v>
      </c>
      <c r="AF191" s="634">
        <f t="shared" si="10"/>
        <v>0</v>
      </c>
      <c r="AG191" s="43">
        <f t="shared" si="13"/>
        <v>0</v>
      </c>
      <c r="AH191" s="7">
        <f t="shared" si="44"/>
        <v>0</v>
      </c>
      <c r="AI191" s="7">
        <f t="shared" si="44"/>
        <v>0</v>
      </c>
      <c r="AJ191" s="7">
        <f t="shared" si="44"/>
        <v>0</v>
      </c>
      <c r="AK191" s="7">
        <f t="shared" si="44"/>
        <v>0</v>
      </c>
      <c r="AL191" s="7">
        <f t="shared" si="44"/>
        <v>0</v>
      </c>
      <c r="AM191" s="7">
        <f t="shared" si="44"/>
        <v>0</v>
      </c>
      <c r="AN191" s="7">
        <f t="shared" si="44"/>
        <v>0</v>
      </c>
      <c r="AO191" s="7">
        <f t="shared" si="44"/>
        <v>0</v>
      </c>
      <c r="AP191" s="7">
        <f t="shared" si="44"/>
        <v>0</v>
      </c>
      <c r="AQ191" s="7">
        <f t="shared" si="44"/>
        <v>0</v>
      </c>
      <c r="AR191" s="7">
        <f t="shared" si="44"/>
        <v>0</v>
      </c>
      <c r="AS191" s="7">
        <f t="shared" si="44"/>
        <v>0</v>
      </c>
      <c r="AT191" s="7">
        <f t="shared" si="44"/>
        <v>0</v>
      </c>
      <c r="AU191" s="7">
        <f t="shared" si="44"/>
        <v>0</v>
      </c>
      <c r="AV191" s="7">
        <f t="shared" si="44"/>
        <v>0</v>
      </c>
      <c r="AW191" s="7">
        <f t="shared" si="38"/>
        <v>0</v>
      </c>
      <c r="AX191" s="7">
        <f t="shared" si="39"/>
        <v>0</v>
      </c>
      <c r="AY191" s="7">
        <f t="shared" si="40"/>
        <v>0</v>
      </c>
      <c r="AZ191" s="7">
        <f t="shared" si="41"/>
        <v>0</v>
      </c>
      <c r="BA191" s="7">
        <f t="shared" si="42"/>
        <v>0</v>
      </c>
      <c r="BB191" s="7">
        <f t="shared" si="43"/>
        <v>0</v>
      </c>
      <c r="BC191" s="7">
        <f>IF(OR(ISERROR(+#REF!/($D191+$E191-$G191)*$G191+#REF!),LEFT(AA191,1)="x"),0,+#REF!/($D191+$E191-$G191)*$G191+#REF!)</f>
        <v>0</v>
      </c>
      <c r="BD191" s="7">
        <f>IF(OR(ISERROR(+#REF!/($D191+$E191-$G191)*$G191+#REF!),LEFT(AB191,1)="x"),0,+#REF!/($D191+$E191-$G191)*$G191+#REF!)</f>
        <v>0</v>
      </c>
      <c r="BE191" s="7" t="e">
        <f>IF(OR(ISERROR(+AC191/($D191+$E191-$G191)*$G191+AC191),LEFT(#REF!,1)="x"),0,+AC191/($D191+$E191-$G191)*$G191+AC191)</f>
        <v>#REF!</v>
      </c>
    </row>
    <row r="192" spans="1:57" hidden="1">
      <c r="A192" s="555"/>
      <c r="B192" s="623"/>
      <c r="C192" s="607"/>
      <c r="D192" s="609"/>
      <c r="E192" s="608"/>
      <c r="F192" s="609"/>
      <c r="G192" s="609"/>
      <c r="H192" s="585"/>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8"/>
        <v>0</v>
      </c>
      <c r="AE192" s="629">
        <f t="shared" si="9"/>
        <v>0</v>
      </c>
      <c r="AF192" s="634">
        <f t="shared" si="10"/>
        <v>0</v>
      </c>
      <c r="AG192" s="43">
        <f t="shared" si="13"/>
        <v>0</v>
      </c>
      <c r="AH192" s="7">
        <f t="shared" si="44"/>
        <v>0</v>
      </c>
      <c r="AI192" s="7">
        <f t="shared" si="44"/>
        <v>0</v>
      </c>
      <c r="AJ192" s="7">
        <f t="shared" si="44"/>
        <v>0</v>
      </c>
      <c r="AK192" s="7">
        <f t="shared" si="44"/>
        <v>0</v>
      </c>
      <c r="AL192" s="7">
        <f t="shared" si="44"/>
        <v>0</v>
      </c>
      <c r="AM192" s="7">
        <f t="shared" si="44"/>
        <v>0</v>
      </c>
      <c r="AN192" s="7">
        <f t="shared" si="44"/>
        <v>0</v>
      </c>
      <c r="AO192" s="7">
        <f t="shared" si="44"/>
        <v>0</v>
      </c>
      <c r="AP192" s="7">
        <f t="shared" si="44"/>
        <v>0</v>
      </c>
      <c r="AQ192" s="7">
        <f t="shared" si="44"/>
        <v>0</v>
      </c>
      <c r="AR192" s="7">
        <f t="shared" si="44"/>
        <v>0</v>
      </c>
      <c r="AS192" s="7">
        <f t="shared" si="44"/>
        <v>0</v>
      </c>
      <c r="AT192" s="7">
        <f t="shared" si="44"/>
        <v>0</v>
      </c>
      <c r="AU192" s="7">
        <f t="shared" si="44"/>
        <v>0</v>
      </c>
      <c r="AV192" s="7">
        <f t="shared" si="44"/>
        <v>0</v>
      </c>
      <c r="AW192" s="7">
        <f t="shared" si="38"/>
        <v>0</v>
      </c>
      <c r="AX192" s="7">
        <f t="shared" si="39"/>
        <v>0</v>
      </c>
      <c r="AY192" s="7">
        <f t="shared" si="40"/>
        <v>0</v>
      </c>
      <c r="AZ192" s="7">
        <f t="shared" si="41"/>
        <v>0</v>
      </c>
      <c r="BA192" s="7">
        <f t="shared" si="42"/>
        <v>0</v>
      </c>
      <c r="BB192" s="7">
        <f t="shared" si="43"/>
        <v>0</v>
      </c>
      <c r="BC192" s="7">
        <f>IF(OR(ISERROR(+#REF!/($D192+$E192-$G192)*$G192+#REF!),LEFT(AA192,1)="x"),0,+#REF!/($D192+$E192-$G192)*$G192+#REF!)</f>
        <v>0</v>
      </c>
      <c r="BD192" s="7">
        <f>IF(OR(ISERROR(+#REF!/($D192+$E192-$G192)*$G192+#REF!),LEFT(AB192,1)="x"),0,+#REF!/($D192+$E192-$G192)*$G192+#REF!)</f>
        <v>0</v>
      </c>
      <c r="BE192" s="7" t="e">
        <f>IF(OR(ISERROR(+AC192/($D192+$E192-$G192)*$G192+AC192),LEFT(#REF!,1)="x"),0,+AC192/($D192+$E192-$G192)*$G192+AC192)</f>
        <v>#REF!</v>
      </c>
    </row>
    <row r="193" spans="1:57" hidden="1">
      <c r="A193" s="555"/>
      <c r="B193" s="623"/>
      <c r="C193" s="607"/>
      <c r="D193" s="609"/>
      <c r="E193" s="608"/>
      <c r="F193" s="609"/>
      <c r="G193" s="60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8"/>
        <v>0</v>
      </c>
      <c r="AE193" s="629">
        <f t="shared" si="9"/>
        <v>0</v>
      </c>
      <c r="AF193" s="634">
        <f t="shared" si="10"/>
        <v>0</v>
      </c>
      <c r="AG193" s="43">
        <f t="shared" si="13"/>
        <v>0</v>
      </c>
      <c r="AH193" s="7">
        <f t="shared" si="44"/>
        <v>0</v>
      </c>
      <c r="AI193" s="7">
        <f t="shared" si="44"/>
        <v>0</v>
      </c>
      <c r="AJ193" s="7">
        <f t="shared" si="44"/>
        <v>0</v>
      </c>
      <c r="AK193" s="7">
        <f t="shared" si="44"/>
        <v>0</v>
      </c>
      <c r="AL193" s="7">
        <f t="shared" si="44"/>
        <v>0</v>
      </c>
      <c r="AM193" s="7">
        <f t="shared" si="44"/>
        <v>0</v>
      </c>
      <c r="AN193" s="7">
        <f t="shared" si="44"/>
        <v>0</v>
      </c>
      <c r="AO193" s="7">
        <f t="shared" si="44"/>
        <v>0</v>
      </c>
      <c r="AP193" s="7">
        <f t="shared" si="44"/>
        <v>0</v>
      </c>
      <c r="AQ193" s="7">
        <f t="shared" si="44"/>
        <v>0</v>
      </c>
      <c r="AR193" s="7">
        <f t="shared" si="44"/>
        <v>0</v>
      </c>
      <c r="AS193" s="7">
        <f t="shared" si="44"/>
        <v>0</v>
      </c>
      <c r="AT193" s="7">
        <f t="shared" si="44"/>
        <v>0</v>
      </c>
      <c r="AU193" s="7">
        <f t="shared" si="44"/>
        <v>0</v>
      </c>
      <c r="AV193" s="7">
        <f t="shared" si="44"/>
        <v>0</v>
      </c>
      <c r="AW193" s="7">
        <f t="shared" si="38"/>
        <v>0</v>
      </c>
      <c r="AX193" s="7">
        <f t="shared" si="39"/>
        <v>0</v>
      </c>
      <c r="AY193" s="7">
        <f t="shared" si="40"/>
        <v>0</v>
      </c>
      <c r="AZ193" s="7">
        <f t="shared" si="41"/>
        <v>0</v>
      </c>
      <c r="BA193" s="7">
        <f t="shared" si="42"/>
        <v>0</v>
      </c>
      <c r="BB193" s="7">
        <f t="shared" si="43"/>
        <v>0</v>
      </c>
      <c r="BC193" s="7">
        <f>IF(OR(ISERROR(+#REF!/($D193+$E193-$G193)*$G193+#REF!),LEFT(AA193,1)="x"),0,+#REF!/($D193+$E193-$G193)*$G193+#REF!)</f>
        <v>0</v>
      </c>
      <c r="BD193" s="7">
        <f>IF(OR(ISERROR(+#REF!/($D193+$E193-$G193)*$G193+#REF!),LEFT(AB193,1)="x"),0,+#REF!/($D193+$E193-$G193)*$G193+#REF!)</f>
        <v>0</v>
      </c>
      <c r="BE193" s="7" t="e">
        <f>IF(OR(ISERROR(+AC193/($D193+$E193-$G193)*$G193+AC193),LEFT(#REF!,1)="x"),0,+AC193/($D193+$E193-$G193)*$G193+AC193)</f>
        <v>#REF!</v>
      </c>
    </row>
    <row r="194" spans="1:57" hidden="1">
      <c r="A194" s="555"/>
      <c r="B194" s="623"/>
      <c r="C194" s="607"/>
      <c r="D194" s="609"/>
      <c r="E194" s="608"/>
      <c r="F194" s="609"/>
      <c r="G194" s="60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8"/>
        <v>0</v>
      </c>
      <c r="AE194" s="629">
        <f t="shared" si="9"/>
        <v>0</v>
      </c>
      <c r="AF194" s="634">
        <f t="shared" si="10"/>
        <v>0</v>
      </c>
      <c r="AG194" s="43">
        <f t="shared" si="13"/>
        <v>0</v>
      </c>
      <c r="AH194" s="7">
        <f t="shared" si="44"/>
        <v>0</v>
      </c>
      <c r="AI194" s="7">
        <f t="shared" si="44"/>
        <v>0</v>
      </c>
      <c r="AJ194" s="7">
        <f t="shared" si="44"/>
        <v>0</v>
      </c>
      <c r="AK194" s="7">
        <f t="shared" si="44"/>
        <v>0</v>
      </c>
      <c r="AL194" s="7">
        <f t="shared" si="44"/>
        <v>0</v>
      </c>
      <c r="AM194" s="7">
        <f t="shared" si="44"/>
        <v>0</v>
      </c>
      <c r="AN194" s="7">
        <f t="shared" si="44"/>
        <v>0</v>
      </c>
      <c r="AO194" s="7">
        <f t="shared" si="44"/>
        <v>0</v>
      </c>
      <c r="AP194" s="7">
        <f t="shared" si="44"/>
        <v>0</v>
      </c>
      <c r="AQ194" s="7">
        <f t="shared" si="44"/>
        <v>0</v>
      </c>
      <c r="AR194" s="7">
        <f t="shared" si="44"/>
        <v>0</v>
      </c>
      <c r="AS194" s="7">
        <f t="shared" si="44"/>
        <v>0</v>
      </c>
      <c r="AT194" s="7">
        <f t="shared" si="44"/>
        <v>0</v>
      </c>
      <c r="AU194" s="7">
        <f t="shared" si="44"/>
        <v>0</v>
      </c>
      <c r="AV194" s="7">
        <f t="shared" si="44"/>
        <v>0</v>
      </c>
      <c r="AW194" s="7">
        <f t="shared" si="38"/>
        <v>0</v>
      </c>
      <c r="AX194" s="7">
        <f t="shared" si="39"/>
        <v>0</v>
      </c>
      <c r="AY194" s="7">
        <f t="shared" si="40"/>
        <v>0</v>
      </c>
      <c r="AZ194" s="7">
        <f t="shared" si="41"/>
        <v>0</v>
      </c>
      <c r="BA194" s="7">
        <f t="shared" si="42"/>
        <v>0</v>
      </c>
      <c r="BB194" s="7">
        <f t="shared" si="43"/>
        <v>0</v>
      </c>
      <c r="BC194" s="7">
        <f>IF(OR(ISERROR(+#REF!/($D194+$E194-$G194)*$G194+#REF!),LEFT(AA194,1)="x"),0,+#REF!/($D194+$E194-$G194)*$G194+#REF!)</f>
        <v>0</v>
      </c>
      <c r="BD194" s="7">
        <f>IF(OR(ISERROR(+#REF!/($D194+$E194-$G194)*$G194+#REF!),LEFT(AB194,1)="x"),0,+#REF!/($D194+$E194-$G194)*$G194+#REF!)</f>
        <v>0</v>
      </c>
      <c r="BE194" s="7" t="e">
        <f>IF(OR(ISERROR(+AC194/($D194+$E194-$G194)*$G194+AC194),LEFT(#REF!,1)="x"),0,+AC194/($D194+$E194-$G194)*$G194+AC194)</f>
        <v>#REF!</v>
      </c>
    </row>
    <row r="195" spans="1:57" hidden="1">
      <c r="A195" s="555"/>
      <c r="B195" s="623"/>
      <c r="C195" s="607"/>
      <c r="D195" s="609"/>
      <c r="E195" s="608"/>
      <c r="F195" s="609"/>
      <c r="G195" s="60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8"/>
        <v>0</v>
      </c>
      <c r="AE195" s="629">
        <f t="shared" si="9"/>
        <v>0</v>
      </c>
      <c r="AF195" s="634">
        <f t="shared" si="10"/>
        <v>0</v>
      </c>
      <c r="AG195" s="43">
        <f t="shared" si="13"/>
        <v>0</v>
      </c>
      <c r="AH195" s="7">
        <f t="shared" si="44"/>
        <v>0</v>
      </c>
      <c r="AI195" s="7">
        <f t="shared" si="44"/>
        <v>0</v>
      </c>
      <c r="AJ195" s="7">
        <f t="shared" si="44"/>
        <v>0</v>
      </c>
      <c r="AK195" s="7">
        <f t="shared" si="44"/>
        <v>0</v>
      </c>
      <c r="AL195" s="7">
        <f t="shared" si="44"/>
        <v>0</v>
      </c>
      <c r="AM195" s="7">
        <f t="shared" si="44"/>
        <v>0</v>
      </c>
      <c r="AN195" s="7">
        <f t="shared" si="44"/>
        <v>0</v>
      </c>
      <c r="AO195" s="7">
        <f t="shared" si="44"/>
        <v>0</v>
      </c>
      <c r="AP195" s="7">
        <f t="shared" si="44"/>
        <v>0</v>
      </c>
      <c r="AQ195" s="7">
        <f t="shared" si="44"/>
        <v>0</v>
      </c>
      <c r="AR195" s="7">
        <f t="shared" si="44"/>
        <v>0</v>
      </c>
      <c r="AS195" s="7">
        <f t="shared" si="44"/>
        <v>0</v>
      </c>
      <c r="AT195" s="7">
        <f t="shared" si="44"/>
        <v>0</v>
      </c>
      <c r="AU195" s="7">
        <f t="shared" si="44"/>
        <v>0</v>
      </c>
      <c r="AV195" s="7">
        <f t="shared" si="44"/>
        <v>0</v>
      </c>
      <c r="AW195" s="7">
        <f t="shared" si="38"/>
        <v>0</v>
      </c>
      <c r="AX195" s="7">
        <f t="shared" si="39"/>
        <v>0</v>
      </c>
      <c r="AY195" s="7">
        <f t="shared" si="40"/>
        <v>0</v>
      </c>
      <c r="AZ195" s="7">
        <f t="shared" si="41"/>
        <v>0</v>
      </c>
      <c r="BA195" s="7">
        <f t="shared" si="42"/>
        <v>0</v>
      </c>
      <c r="BB195" s="7">
        <f t="shared" si="43"/>
        <v>0</v>
      </c>
      <c r="BC195" s="7">
        <f>IF(OR(ISERROR(+#REF!/($D195+$E195-$G195)*$G195+#REF!),LEFT(AA195,1)="x"),0,+#REF!/($D195+$E195-$G195)*$G195+#REF!)</f>
        <v>0</v>
      </c>
      <c r="BD195" s="7">
        <f>IF(OR(ISERROR(+#REF!/($D195+$E195-$G195)*$G195+#REF!),LEFT(AB195,1)="x"),0,+#REF!/($D195+$E195-$G195)*$G195+#REF!)</f>
        <v>0</v>
      </c>
      <c r="BE195" s="7" t="e">
        <f>IF(OR(ISERROR(+AC195/($D195+$E195-$G195)*$G195+AC195),LEFT(#REF!,1)="x"),0,+AC195/($D195+$E195-$G195)*$G195+AC195)</f>
        <v>#REF!</v>
      </c>
    </row>
    <row r="196" spans="1:57" ht="13.5" hidden="1" thickBot="1">
      <c r="A196" s="556"/>
      <c r="B196" s="624"/>
      <c r="C196" s="611"/>
      <c r="D196" s="610"/>
      <c r="E196" s="612"/>
      <c r="F196" s="610"/>
      <c r="G196" s="610"/>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8"/>
        <v>0</v>
      </c>
      <c r="AE196" s="629">
        <f t="shared" si="9"/>
        <v>0</v>
      </c>
      <c r="AF196" s="634">
        <f t="shared" si="10"/>
        <v>0</v>
      </c>
      <c r="AG196" s="43">
        <f t="shared" si="13"/>
        <v>0</v>
      </c>
      <c r="AH196" s="7">
        <f t="shared" si="44"/>
        <v>0</v>
      </c>
      <c r="AI196" s="7">
        <f t="shared" si="44"/>
        <v>0</v>
      </c>
      <c r="AJ196" s="7">
        <f t="shared" si="44"/>
        <v>0</v>
      </c>
      <c r="AK196" s="7">
        <f t="shared" si="44"/>
        <v>0</v>
      </c>
      <c r="AL196" s="7">
        <f t="shared" si="44"/>
        <v>0</v>
      </c>
      <c r="AM196" s="7">
        <f t="shared" si="44"/>
        <v>0</v>
      </c>
      <c r="AN196" s="7">
        <f t="shared" si="44"/>
        <v>0</v>
      </c>
      <c r="AO196" s="7">
        <f t="shared" si="44"/>
        <v>0</v>
      </c>
      <c r="AP196" s="7">
        <f t="shared" si="44"/>
        <v>0</v>
      </c>
      <c r="AQ196" s="7">
        <f t="shared" si="44"/>
        <v>0</v>
      </c>
      <c r="AR196" s="7">
        <f t="shared" si="44"/>
        <v>0</v>
      </c>
      <c r="AS196" s="7">
        <f t="shared" si="44"/>
        <v>0</v>
      </c>
      <c r="AT196" s="7">
        <f t="shared" si="44"/>
        <v>0</v>
      </c>
      <c r="AU196" s="7">
        <f t="shared" si="44"/>
        <v>0</v>
      </c>
      <c r="AV196" s="7">
        <f t="shared" si="44"/>
        <v>0</v>
      </c>
      <c r="AW196" s="7">
        <f t="shared" si="38"/>
        <v>0</v>
      </c>
      <c r="AX196" s="7">
        <f t="shared" si="39"/>
        <v>0</v>
      </c>
      <c r="AY196" s="7">
        <f t="shared" si="40"/>
        <v>0</v>
      </c>
      <c r="AZ196" s="7">
        <f t="shared" si="41"/>
        <v>0</v>
      </c>
      <c r="BA196" s="7">
        <f t="shared" si="42"/>
        <v>0</v>
      </c>
      <c r="BB196" s="7">
        <f t="shared" si="43"/>
        <v>0</v>
      </c>
      <c r="BC196" s="7">
        <f>IF(OR(ISERROR(+#REF!/($D196+$E196-$G196)*$G196+#REF!),LEFT(AA196,1)="x"),0,+#REF!/($D196+$E196-$G196)*$G196+#REF!)</f>
        <v>0</v>
      </c>
      <c r="BD196" s="7">
        <f>IF(OR(ISERROR(+#REF!/($D196+$E196-$G196)*$G196+#REF!),LEFT(AB196,1)="x"),0,+#REF!/($D196+$E196-$G196)*$G196+#REF!)</f>
        <v>0</v>
      </c>
      <c r="BE196" s="7" t="e">
        <f>IF(OR(ISERROR(+AC196/($D196+$E196-$G196)*$G196+AC196),LEFT(#REF!,1)="x"),0,+AC196/($D196+$E196-$G196)*$G196+AC196)</f>
        <v>#REF!</v>
      </c>
    </row>
    <row r="197" spans="1:57" ht="14.25">
      <c r="A197" s="99" t="s">
        <v>20</v>
      </c>
      <c r="B197" s="99"/>
      <c r="C197" s="97" t="s">
        <v>26</v>
      </c>
      <c r="D197" s="92">
        <f t="shared" ref="D197:AC197" si="45">SUM(D80:D196)</f>
        <v>4823.5</v>
      </c>
      <c r="E197" s="92">
        <f t="shared" si="45"/>
        <v>-2294</v>
      </c>
      <c r="F197" s="208">
        <f t="shared" si="45"/>
        <v>0</v>
      </c>
      <c r="G197" s="92">
        <f t="shared" si="45"/>
        <v>0</v>
      </c>
      <c r="H197" s="92">
        <f t="shared" si="45"/>
        <v>225</v>
      </c>
      <c r="I197" s="92">
        <f t="shared" si="45"/>
        <v>164</v>
      </c>
      <c r="J197" s="92">
        <f t="shared" si="45"/>
        <v>65</v>
      </c>
      <c r="K197" s="92">
        <f t="shared" si="45"/>
        <v>0</v>
      </c>
      <c r="L197" s="92">
        <f t="shared" si="45"/>
        <v>1612</v>
      </c>
      <c r="M197" s="92">
        <f t="shared" si="45"/>
        <v>0</v>
      </c>
      <c r="N197" s="92">
        <f t="shared" si="45"/>
        <v>0</v>
      </c>
      <c r="O197" s="92">
        <f t="shared" si="45"/>
        <v>0</v>
      </c>
      <c r="P197" s="92">
        <f t="shared" si="45"/>
        <v>20</v>
      </c>
      <c r="Q197" s="92">
        <f t="shared" si="45"/>
        <v>0</v>
      </c>
      <c r="R197" s="92">
        <f t="shared" si="45"/>
        <v>65</v>
      </c>
      <c r="S197" s="92">
        <f t="shared" si="45"/>
        <v>55</v>
      </c>
      <c r="T197" s="92">
        <f t="shared" si="45"/>
        <v>85</v>
      </c>
      <c r="U197" s="92">
        <f t="shared" si="45"/>
        <v>138</v>
      </c>
      <c r="V197" s="92">
        <f t="shared" si="45"/>
        <v>5.5</v>
      </c>
      <c r="W197" s="92">
        <f t="shared" si="45"/>
        <v>95</v>
      </c>
      <c r="X197" s="92">
        <f t="shared" si="45"/>
        <v>0</v>
      </c>
      <c r="Y197" s="92">
        <f t="shared" si="45"/>
        <v>0</v>
      </c>
      <c r="Z197" s="92">
        <f t="shared" si="45"/>
        <v>0</v>
      </c>
      <c r="AA197" s="92">
        <f t="shared" si="45"/>
        <v>0</v>
      </c>
      <c r="AB197" s="92">
        <f t="shared" si="45"/>
        <v>0</v>
      </c>
      <c r="AC197" s="208">
        <f t="shared" si="45"/>
        <v>0</v>
      </c>
      <c r="AH197" s="7">
        <f t="shared" si="44"/>
        <v>225</v>
      </c>
      <c r="AI197" s="7">
        <f t="shared" si="44"/>
        <v>164</v>
      </c>
      <c r="AJ197" s="7">
        <f t="shared" si="44"/>
        <v>65</v>
      </c>
      <c r="AK197" s="7">
        <f t="shared" si="44"/>
        <v>0</v>
      </c>
      <c r="AL197" s="7">
        <f t="shared" si="44"/>
        <v>1612</v>
      </c>
      <c r="AM197" s="7">
        <f t="shared" si="44"/>
        <v>0</v>
      </c>
      <c r="AN197" s="7">
        <f t="shared" si="44"/>
        <v>0</v>
      </c>
      <c r="AO197" s="7">
        <f t="shared" si="44"/>
        <v>0</v>
      </c>
      <c r="AP197" s="7">
        <f t="shared" si="44"/>
        <v>20</v>
      </c>
      <c r="AQ197" s="7">
        <f t="shared" si="44"/>
        <v>0</v>
      </c>
      <c r="AR197" s="7">
        <f t="shared" si="44"/>
        <v>65</v>
      </c>
      <c r="AS197" s="7">
        <f t="shared" si="44"/>
        <v>55</v>
      </c>
      <c r="AT197" s="7">
        <f t="shared" si="44"/>
        <v>85</v>
      </c>
      <c r="AU197" s="7">
        <f t="shared" si="44"/>
        <v>138</v>
      </c>
      <c r="AV197" s="7">
        <f t="shared" si="44"/>
        <v>5.5</v>
      </c>
      <c r="AW197" s="7">
        <f t="shared" si="38"/>
        <v>95</v>
      </c>
      <c r="AX197" s="7">
        <f t="shared" si="39"/>
        <v>0</v>
      </c>
      <c r="AY197" s="7">
        <f t="shared" si="40"/>
        <v>0</v>
      </c>
      <c r="AZ197" s="7">
        <f t="shared" si="41"/>
        <v>0</v>
      </c>
      <c r="BA197" s="7">
        <f t="shared" si="42"/>
        <v>0</v>
      </c>
      <c r="BB197" s="7">
        <f t="shared" si="43"/>
        <v>0</v>
      </c>
      <c r="BC197" s="7">
        <f>IF(OR(ISERROR(+#REF!/($D197+$E197-$G197)*$G197+#REF!),LEFT(AA197,1)="x"),0,+#REF!/($D197+$E197-$G197)*$G197+#REF!)</f>
        <v>0</v>
      </c>
      <c r="BD197" s="7">
        <f>IF(OR(ISERROR(+AC197/($D197+$E197-$G197)*$G197+AC197),LEFT(Z197,1)="x"),0,+AC197/($D197+$E197-$G197)*$G197+AC197)</f>
        <v>0</v>
      </c>
    </row>
    <row r="198" spans="1:57" ht="13.5" thickBot="1">
      <c r="A198" s="50"/>
      <c r="B198" s="50"/>
      <c r="C198" s="39" t="s">
        <v>27</v>
      </c>
      <c r="D198" s="643">
        <f t="shared" ref="D198:AC198" si="46">SUM(D79:D196)</f>
        <v>219773.60000000003</v>
      </c>
      <c r="E198" s="643">
        <f t="shared" si="46"/>
        <v>-114</v>
      </c>
      <c r="F198" s="644">
        <f t="shared" si="46"/>
        <v>0</v>
      </c>
      <c r="G198" s="643">
        <f t="shared" si="46"/>
        <v>0</v>
      </c>
      <c r="H198" s="643">
        <f t="shared" si="46"/>
        <v>2230</v>
      </c>
      <c r="I198" s="643">
        <f t="shared" si="46"/>
        <v>1652</v>
      </c>
      <c r="J198" s="643">
        <f t="shared" si="46"/>
        <v>500</v>
      </c>
      <c r="K198" s="643">
        <f t="shared" si="46"/>
        <v>0</v>
      </c>
      <c r="L198" s="643">
        <f t="shared" si="46"/>
        <v>19216</v>
      </c>
      <c r="M198" s="643">
        <f t="shared" si="46"/>
        <v>264.02999999999997</v>
      </c>
      <c r="N198" s="643">
        <f t="shared" si="46"/>
        <v>50000</v>
      </c>
      <c r="O198" s="643">
        <f t="shared" si="46"/>
        <v>0</v>
      </c>
      <c r="P198" s="643">
        <f t="shared" si="46"/>
        <v>180</v>
      </c>
      <c r="Q198" s="643">
        <f t="shared" si="46"/>
        <v>0</v>
      </c>
      <c r="R198" s="643">
        <f t="shared" si="46"/>
        <v>650</v>
      </c>
      <c r="S198" s="643">
        <f t="shared" si="46"/>
        <v>550</v>
      </c>
      <c r="T198" s="643">
        <f t="shared" si="46"/>
        <v>850</v>
      </c>
      <c r="U198" s="643">
        <f t="shared" si="46"/>
        <v>1380</v>
      </c>
      <c r="V198" s="643">
        <f t="shared" si="46"/>
        <v>60.3</v>
      </c>
      <c r="W198" s="643">
        <f t="shared" si="46"/>
        <v>950</v>
      </c>
      <c r="X198" s="643">
        <f t="shared" si="46"/>
        <v>101239.34</v>
      </c>
      <c r="Y198" s="643">
        <f t="shared" si="46"/>
        <v>17859.599999999999</v>
      </c>
      <c r="Z198" s="643">
        <f t="shared" si="46"/>
        <v>21280.33</v>
      </c>
      <c r="AA198" s="643">
        <f t="shared" si="46"/>
        <v>0</v>
      </c>
      <c r="AB198" s="643">
        <f t="shared" si="46"/>
        <v>785</v>
      </c>
      <c r="AC198" s="645">
        <f t="shared" si="46"/>
        <v>13</v>
      </c>
      <c r="AG198" s="57"/>
      <c r="AH198" s="7">
        <f t="shared" ref="AH198:AV201" si="47">IF(OR(ISERROR(+H198/($D198+$E198-$G198)*$G198+H198),LEFT(F198,1)="x"),0,+H198/($D198+$E198-$G198)*$G198+H198)</f>
        <v>2230</v>
      </c>
      <c r="AI198" s="7">
        <f t="shared" si="47"/>
        <v>1652</v>
      </c>
      <c r="AJ198" s="7">
        <f t="shared" si="47"/>
        <v>500</v>
      </c>
      <c r="AK198" s="7">
        <f t="shared" si="47"/>
        <v>0</v>
      </c>
      <c r="AL198" s="7">
        <f t="shared" si="47"/>
        <v>19216</v>
      </c>
      <c r="AM198" s="7">
        <f t="shared" si="47"/>
        <v>264.02999999999997</v>
      </c>
      <c r="AN198" s="7">
        <f t="shared" si="47"/>
        <v>50000</v>
      </c>
      <c r="AO198" s="7">
        <f t="shared" si="47"/>
        <v>0</v>
      </c>
      <c r="AP198" s="7">
        <f t="shared" si="47"/>
        <v>180</v>
      </c>
      <c r="AQ198" s="7">
        <f t="shared" si="47"/>
        <v>0</v>
      </c>
      <c r="AR198" s="7">
        <f t="shared" si="47"/>
        <v>650</v>
      </c>
      <c r="AS198" s="7">
        <f t="shared" si="47"/>
        <v>550</v>
      </c>
      <c r="AT198" s="7">
        <f t="shared" si="47"/>
        <v>850</v>
      </c>
      <c r="AU198" s="7">
        <f t="shared" si="47"/>
        <v>1380</v>
      </c>
      <c r="AV198" s="7">
        <f t="shared" si="47"/>
        <v>60.3</v>
      </c>
      <c r="AW198" s="7">
        <f t="shared" si="38"/>
        <v>950</v>
      </c>
      <c r="AX198" s="7">
        <f t="shared" si="39"/>
        <v>101239.34</v>
      </c>
      <c r="AY198" s="7">
        <f t="shared" si="40"/>
        <v>17859.599999999999</v>
      </c>
      <c r="AZ198" s="7">
        <f t="shared" si="41"/>
        <v>21280.33</v>
      </c>
      <c r="BA198" s="7">
        <f t="shared" si="42"/>
        <v>0</v>
      </c>
      <c r="BB198" s="7">
        <f t="shared" si="43"/>
        <v>785</v>
      </c>
      <c r="BC198" s="7">
        <f>IF(OR(ISERROR(+#REF!/($D198+$E198-$G198)*$G198+#REF!),LEFT(AA198,1)="x"),0,+#REF!/($D198+$E198-$G198)*$G198+#REF!)</f>
        <v>0</v>
      </c>
      <c r="BD198" s="7">
        <f>IF(OR(ISERROR(+AC198/($D198+$E198-$G198)*$G198+AC198),LEFT(Z198,1)="x"),0,+AC198/($D198+$E198-$G198)*$G198+AC198)</f>
        <v>13</v>
      </c>
    </row>
    <row r="199" spans="1:5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H199" s="7">
        <f t="shared" si="47"/>
        <v>0</v>
      </c>
      <c r="AI199" s="7">
        <f t="shared" si="47"/>
        <v>0</v>
      </c>
      <c r="AJ199" s="7">
        <f t="shared" si="47"/>
        <v>0</v>
      </c>
      <c r="AK199" s="7">
        <f t="shared" si="47"/>
        <v>0</v>
      </c>
      <c r="AL199" s="7">
        <f t="shared" si="47"/>
        <v>0</v>
      </c>
      <c r="AM199" s="7">
        <f t="shared" si="47"/>
        <v>0</v>
      </c>
      <c r="AN199" s="7">
        <f t="shared" si="47"/>
        <v>0</v>
      </c>
      <c r="AO199" s="7">
        <f t="shared" si="47"/>
        <v>0</v>
      </c>
      <c r="AP199" s="7">
        <f t="shared" si="47"/>
        <v>0</v>
      </c>
      <c r="AQ199" s="7">
        <f t="shared" si="47"/>
        <v>0</v>
      </c>
      <c r="AR199" s="7">
        <f t="shared" si="47"/>
        <v>0</v>
      </c>
      <c r="AS199" s="7">
        <f t="shared" si="47"/>
        <v>0</v>
      </c>
      <c r="AT199" s="7">
        <f t="shared" si="47"/>
        <v>0</v>
      </c>
      <c r="AU199" s="7">
        <f t="shared" si="47"/>
        <v>0</v>
      </c>
      <c r="AV199" s="7">
        <f t="shared" si="47"/>
        <v>0</v>
      </c>
      <c r="AW199" s="7">
        <f t="shared" si="38"/>
        <v>0</v>
      </c>
      <c r="AX199" s="7">
        <f t="shared" si="39"/>
        <v>0</v>
      </c>
      <c r="AY199" s="7">
        <f t="shared" si="40"/>
        <v>0</v>
      </c>
      <c r="AZ199" s="7">
        <f t="shared" si="41"/>
        <v>0</v>
      </c>
      <c r="BA199" s="7">
        <f t="shared" si="42"/>
        <v>0</v>
      </c>
      <c r="BB199" s="7">
        <f t="shared" si="43"/>
        <v>0</v>
      </c>
      <c r="BC199" s="7">
        <f>IF(OR(ISERROR(+#REF!/($D199+$E199-$G199)*$G199+#REF!),LEFT(AA199,1)="x"),0,+#REF!/($D199+$E199-$G199)*$G199+#REF!)</f>
        <v>0</v>
      </c>
      <c r="BD199" s="7">
        <f>IF(OR(ISERROR(+AC199/($D199+$E199-$G199)*$G199+AC199),LEFT(Z199,1)="x"),0,+AC199/($D199+$E199-$G199)*$G199+AC199)</f>
        <v>0</v>
      </c>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H200" s="7">
        <f t="shared" si="47"/>
        <v>0</v>
      </c>
      <c r="AI200" s="7">
        <f t="shared" si="47"/>
        <v>0</v>
      </c>
      <c r="AJ200" s="7">
        <f t="shared" si="47"/>
        <v>0</v>
      </c>
      <c r="AK200" s="7">
        <f t="shared" si="47"/>
        <v>0</v>
      </c>
      <c r="AL200" s="7">
        <f t="shared" si="47"/>
        <v>0</v>
      </c>
      <c r="AM200" s="7">
        <f t="shared" si="47"/>
        <v>0</v>
      </c>
      <c r="AN200" s="7">
        <f t="shared" si="47"/>
        <v>0</v>
      </c>
      <c r="AO200" s="7">
        <f t="shared" si="47"/>
        <v>0</v>
      </c>
      <c r="AP200" s="7">
        <f t="shared" si="47"/>
        <v>0</v>
      </c>
      <c r="AQ200" s="7">
        <f t="shared" si="47"/>
        <v>0</v>
      </c>
      <c r="AR200" s="7">
        <f t="shared" si="47"/>
        <v>0</v>
      </c>
      <c r="AS200" s="7">
        <f t="shared" si="47"/>
        <v>0</v>
      </c>
      <c r="AT200" s="7">
        <f t="shared" si="47"/>
        <v>0</v>
      </c>
      <c r="AU200" s="7">
        <f t="shared" si="47"/>
        <v>0</v>
      </c>
      <c r="AV200" s="7">
        <f t="shared" si="47"/>
        <v>0</v>
      </c>
      <c r="AW200" s="7">
        <f t="shared" si="38"/>
        <v>0</v>
      </c>
      <c r="AX200" s="7">
        <f t="shared" si="39"/>
        <v>0</v>
      </c>
      <c r="AY200" s="7">
        <f t="shared" si="40"/>
        <v>0</v>
      </c>
      <c r="AZ200" s="7">
        <f t="shared" si="41"/>
        <v>0</v>
      </c>
      <c r="BA200" s="7">
        <f t="shared" si="42"/>
        <v>0</v>
      </c>
      <c r="BB200" s="7">
        <f t="shared" si="43"/>
        <v>0</v>
      </c>
      <c r="BC200" s="7">
        <f>IF(OR(ISERROR(+#REF!/($D200+$E200-$G200)*$G200+#REF!),LEFT(AA200,1)="x"),0,+#REF!/($D200+$E200-$G200)*$G200+#REF!)</f>
        <v>0</v>
      </c>
      <c r="BD200" s="7">
        <f>IF(OR(ISERROR(+AC200/($D200+$E200-$G200)*$G200+AC200),LEFT(Z200,1)="x"),0,+AC200/($D200+$E200-$G200)*$G200+AC200)</f>
        <v>0</v>
      </c>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H201" s="7">
        <f t="shared" si="47"/>
        <v>0</v>
      </c>
      <c r="AI201" s="7">
        <f t="shared" si="47"/>
        <v>0</v>
      </c>
      <c r="AJ201" s="7">
        <f t="shared" si="47"/>
        <v>0</v>
      </c>
      <c r="AK201" s="7">
        <f t="shared" si="47"/>
        <v>0</v>
      </c>
      <c r="AL201" s="7">
        <f t="shared" si="47"/>
        <v>0</v>
      </c>
      <c r="AM201" s="7">
        <f t="shared" si="47"/>
        <v>0</v>
      </c>
      <c r="AN201" s="7">
        <f t="shared" si="47"/>
        <v>0</v>
      </c>
      <c r="AO201" s="7">
        <f t="shared" si="47"/>
        <v>0</v>
      </c>
      <c r="AP201" s="7">
        <f t="shared" si="47"/>
        <v>0</v>
      </c>
      <c r="AQ201" s="7">
        <f t="shared" si="47"/>
        <v>0</v>
      </c>
      <c r="AR201" s="7">
        <f t="shared" si="47"/>
        <v>0</v>
      </c>
      <c r="AS201" s="7">
        <f t="shared" si="47"/>
        <v>0</v>
      </c>
      <c r="AT201" s="7">
        <f t="shared" si="47"/>
        <v>0</v>
      </c>
      <c r="AU201" s="7">
        <f t="shared" si="47"/>
        <v>0</v>
      </c>
      <c r="AV201" s="7">
        <f t="shared" si="47"/>
        <v>0</v>
      </c>
      <c r="AW201" s="7">
        <f t="shared" si="38"/>
        <v>0</v>
      </c>
      <c r="AX201" s="7">
        <f t="shared" si="39"/>
        <v>0</v>
      </c>
      <c r="AY201" s="7">
        <f t="shared" si="40"/>
        <v>0</v>
      </c>
      <c r="AZ201" s="7">
        <f t="shared" si="41"/>
        <v>0</v>
      </c>
      <c r="BA201" s="7">
        <f t="shared" si="42"/>
        <v>0</v>
      </c>
      <c r="BB201" s="7">
        <f t="shared" si="43"/>
        <v>0</v>
      </c>
      <c r="BC201" s="7">
        <f>IF(OR(ISERROR(+#REF!/($D201+$E201-$G201)*$G201+#REF!),LEFT(AA201,1)="x"),0,+#REF!/($D201+$E201-$G201)*$G201+#REF!)</f>
        <v>0</v>
      </c>
      <c r="BD201" s="7">
        <f>IF(OR(ISERROR(+AC201/($D201+$E201-$G201)*$G201+AC201),LEFT(Z201,1)="x"),0,+AC201/($D201+$E201-$G201)*$G201+AC201)</f>
        <v>0</v>
      </c>
    </row>
    <row r="202" spans="1:57" ht="15.75">
      <c r="A202" s="52" t="s">
        <v>226</v>
      </c>
      <c r="B202" s="52"/>
      <c r="C202" s="52"/>
      <c r="D202" s="19">
        <f>E202-H202</f>
        <v>0</v>
      </c>
      <c r="E202" s="53">
        <f>D197+E197+F197</f>
        <v>2529.5</v>
      </c>
      <c r="F202" s="53" t="s">
        <v>20</v>
      </c>
      <c r="G202" s="17"/>
      <c r="H202" s="53">
        <f>SUM(G197:AC197)</f>
        <v>2529.5</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
      <c r="A203" s="17"/>
      <c r="B203" s="17"/>
      <c r="C203" s="17"/>
      <c r="D203" s="54">
        <f>IF(D202=0,0,"Error - check totals do not balance, please see column AF - at the right side of the expenditure table for corrections to be made")</f>
        <v>0</v>
      </c>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ht="15">
      <c r="A205" s="17"/>
      <c r="B205" s="17"/>
      <c r="C205" s="17"/>
      <c r="E205" s="5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32">
      <c r="A209" s="161" t="s">
        <v>166</v>
      </c>
      <c r="B209" s="17"/>
      <c r="C209" s="17"/>
      <c r="D209" s="17"/>
      <c r="E209" s="639">
        <f>'Nov 17'!K10+L54+M54+N54+O54-D198</f>
        <v>47621.049999999988</v>
      </c>
      <c r="F209" s="639">
        <f>'Nov 17'!K11+P54+X198-O54</f>
        <v>87034.239999999991</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32">
      <c r="A210" s="161"/>
      <c r="B210" s="17"/>
      <c r="C210" s="73"/>
      <c r="D210" s="73"/>
      <c r="E210" s="637"/>
      <c r="F210" s="6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32">
      <c r="A211" s="161" t="s">
        <v>63</v>
      </c>
      <c r="B211" s="17"/>
      <c r="C211" s="642"/>
      <c r="D211" s="642"/>
      <c r="E211" s="637" t="s">
        <v>20</v>
      </c>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32">
      <c r="B212" s="162" t="s">
        <v>187</v>
      </c>
      <c r="C212" s="642"/>
      <c r="D212" s="642"/>
      <c r="E212" s="637" t="s">
        <v>20</v>
      </c>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32">
      <c r="A213" s="17"/>
      <c r="B213" s="162" t="s">
        <v>164</v>
      </c>
      <c r="C213" s="642"/>
      <c r="D213" s="642"/>
      <c r="E213" s="637" t="s">
        <v>20</v>
      </c>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32">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32">
      <c r="A215" s="17"/>
      <c r="B215" s="17"/>
      <c r="C215" s="642"/>
      <c r="D215" s="642"/>
      <c r="E215" s="637"/>
      <c r="F215" s="6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32" ht="13.5" thickBot="1">
      <c r="A216" s="56" t="s">
        <v>165</v>
      </c>
      <c r="B216" s="56"/>
      <c r="C216" s="17"/>
      <c r="D216" s="17"/>
      <c r="E216" s="641">
        <f>E209+SUM(E211:E215)</f>
        <v>47621.049999999988</v>
      </c>
      <c r="F216" s="641">
        <f>F209+SUM(F211:F215)</f>
        <v>87034.239999999991</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32" ht="13.5" thickTop="1">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32" s="17" customFormat="1">
      <c r="A218" s="56"/>
      <c r="E218" s="53"/>
      <c r="AD218" s="346"/>
      <c r="AE218" s="346"/>
      <c r="AF218" s="636"/>
    </row>
    <row r="219" spans="1:3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32" hidden="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32" hidden="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32" hidden="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32"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32"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5" hidden="1">
      <c r="B246" s="213"/>
      <c r="C246" s="18"/>
      <c r="D246" s="18"/>
      <c r="E246" s="18"/>
      <c r="F246" s="215"/>
      <c r="G246" s="18"/>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2.6" hidden="1" customHeight="1">
      <c r="B247" s="213" t="s">
        <v>196</v>
      </c>
      <c r="C247" s="214"/>
      <c r="D247" s="214">
        <f>$C$58+$C$59-D249</f>
        <v>0</v>
      </c>
      <c r="E247" s="18"/>
      <c r="F247" s="215" t="s">
        <v>197</v>
      </c>
      <c r="G247" s="18"/>
      <c r="H247" s="18"/>
      <c r="I247" s="18"/>
      <c r="J247" s="18"/>
      <c r="K247" s="18"/>
      <c r="L247" s="18"/>
      <c r="M247" s="18"/>
      <c r="N247" s="17"/>
      <c r="O247" s="17"/>
      <c r="P247" s="17"/>
      <c r="Q247" s="17"/>
      <c r="R247" s="17"/>
      <c r="S247" s="17"/>
      <c r="T247" s="17"/>
      <c r="U247" s="17"/>
      <c r="V247" s="17"/>
      <c r="W247" s="17"/>
      <c r="X247" s="17"/>
      <c r="Y247" s="17"/>
      <c r="Z247" s="17"/>
      <c r="AA247" s="17"/>
      <c r="AB247" s="17"/>
      <c r="AC247" s="17"/>
    </row>
    <row r="248" spans="1:29" ht="14.25" hidden="1" customHeight="1">
      <c r="B248" s="216" t="s">
        <v>64</v>
      </c>
      <c r="C248" s="18">
        <f>($C$58+$C$59-663)/113.8*13.8</f>
        <v>-80.398945518453431</v>
      </c>
      <c r="D248" s="18"/>
      <c r="E248" s="7"/>
      <c r="F248" s="393" t="s">
        <v>397</v>
      </c>
      <c r="G248" s="18"/>
      <c r="H248" s="18"/>
      <c r="I248" s="18"/>
      <c r="J248" s="18"/>
      <c r="K248" s="18"/>
      <c r="L248" s="18"/>
      <c r="M248" s="18"/>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8"/>
      <c r="I249" s="18"/>
      <c r="J249" s="18"/>
      <c r="K249" s="18"/>
      <c r="L249" s="18"/>
      <c r="M249" s="18"/>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8"/>
      <c r="I250" s="18"/>
      <c r="J250" s="18"/>
      <c r="K250" s="18"/>
      <c r="L250" s="18"/>
      <c r="M250" s="18"/>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8"/>
      <c r="I251" s="18"/>
      <c r="J251" s="18"/>
      <c r="K251" s="18"/>
      <c r="L251" s="18"/>
      <c r="M251" s="18"/>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8"/>
      <c r="I252" s="18"/>
      <c r="J252" s="18"/>
      <c r="K252" s="18"/>
      <c r="L252" s="18"/>
      <c r="M252" s="18"/>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8"/>
      <c r="I253" s="18"/>
      <c r="J253" s="18"/>
      <c r="K253" s="18"/>
      <c r="L253" s="18"/>
      <c r="M253" s="18"/>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8"/>
      <c r="I254" s="18"/>
      <c r="J254" s="18"/>
      <c r="K254" s="18"/>
      <c r="L254" s="18"/>
      <c r="M254" s="18"/>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8"/>
      <c r="I255" s="18"/>
      <c r="J255" s="18"/>
      <c r="K255" s="18"/>
      <c r="L255" s="18"/>
      <c r="M255" s="18"/>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8"/>
      <c r="I256" s="18"/>
      <c r="J256" s="18"/>
      <c r="K256" s="18"/>
      <c r="L256" s="18"/>
      <c r="M256" s="18"/>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8"/>
      <c r="I257" s="18"/>
      <c r="J257" s="18"/>
      <c r="K257" s="18"/>
      <c r="L257" s="18"/>
      <c r="M257" s="18"/>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8"/>
      <c r="I258" s="18"/>
      <c r="J258" s="18"/>
      <c r="K258" s="18"/>
      <c r="L258" s="18"/>
      <c r="M258" s="18"/>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8"/>
      <c r="I259" s="18"/>
      <c r="J259" s="18"/>
      <c r="K259" s="18"/>
      <c r="L259" s="18"/>
      <c r="M259" s="18"/>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8"/>
      <c r="I260" s="18"/>
      <c r="J260" s="18"/>
      <c r="K260" s="18"/>
      <c r="L260" s="18"/>
      <c r="M260" s="18"/>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c r="H261" s="18"/>
      <c r="I261" s="18"/>
      <c r="J261" s="18"/>
      <c r="K261" s="18"/>
      <c r="L261" s="18"/>
      <c r="M261" s="18"/>
      <c r="N261" s="17"/>
      <c r="O261" s="17"/>
      <c r="P261" s="17"/>
      <c r="Q261" s="17"/>
      <c r="R261" s="17"/>
      <c r="S261" s="17"/>
      <c r="T261" s="17"/>
      <c r="U261" s="17"/>
      <c r="V261" s="17"/>
      <c r="W261" s="17"/>
      <c r="X261" s="17"/>
      <c r="Y261" s="17"/>
      <c r="Z261" s="17"/>
      <c r="AA261" s="17"/>
      <c r="AB261" s="17"/>
      <c r="AC261" s="17"/>
    </row>
    <row r="262" spans="1:29" ht="15" hidden="1">
      <c r="B262" s="216"/>
      <c r="C262" s="214">
        <v>0</v>
      </c>
      <c r="D262" s="214">
        <f>MAX(C261:C262)</f>
        <v>0</v>
      </c>
      <c r="E262" s="220"/>
      <c r="H262" s="18"/>
      <c r="I262" s="18"/>
      <c r="J262" s="18"/>
      <c r="K262" s="18"/>
      <c r="L262" s="18"/>
      <c r="M262" s="18"/>
      <c r="N262" s="17"/>
      <c r="O262" s="17"/>
      <c r="P262" s="17"/>
      <c r="Q262" s="17"/>
      <c r="R262" s="17"/>
      <c r="S262" s="17"/>
      <c r="T262" s="17"/>
      <c r="U262" s="17"/>
      <c r="V262" s="17"/>
      <c r="W262" s="17"/>
      <c r="X262" s="17"/>
      <c r="Y262" s="17"/>
      <c r="Z262" s="17"/>
      <c r="AA262" s="17"/>
      <c r="AB262" s="17"/>
      <c r="AC262" s="17"/>
    </row>
    <row r="263" spans="1:29" ht="15" hidden="1">
      <c r="B263" s="216" t="s">
        <v>203</v>
      </c>
      <c r="C263" s="329">
        <v>0</v>
      </c>
      <c r="D263" s="329">
        <v>0</v>
      </c>
      <c r="E263" s="220"/>
    </row>
    <row r="264" spans="1:29" ht="15" hidden="1">
      <c r="B264" s="330" t="s">
        <v>204</v>
      </c>
      <c r="C264" s="20"/>
      <c r="E264" s="219">
        <f>D263+D262+D260+D258+D256</f>
        <v>0</v>
      </c>
    </row>
    <row r="265" spans="1:29" ht="15.75" hidden="1" thickBot="1">
      <c r="B265" s="330" t="s">
        <v>69</v>
      </c>
      <c r="C265" s="20"/>
      <c r="E265" s="331">
        <f>E254+E264</f>
        <v>0</v>
      </c>
    </row>
    <row r="266" spans="1:29" ht="13.5" hidden="1" thickTop="1"/>
    <row r="267" spans="1:29" hidden="1"/>
    <row r="268" spans="1:29" ht="15" hidden="1">
      <c r="A268" s="211" t="s">
        <v>318</v>
      </c>
      <c r="B268" s="17"/>
      <c r="D268" s="212"/>
      <c r="E268" s="17"/>
      <c r="F268" s="17"/>
    </row>
    <row r="269" spans="1:29" hidden="1">
      <c r="B269" s="18"/>
      <c r="C269" s="18"/>
      <c r="D269" s="18"/>
      <c r="E269" s="18"/>
      <c r="F269" s="18"/>
    </row>
    <row r="270" spans="1:29" ht="15" hidden="1">
      <c r="B270" s="213" t="s">
        <v>196</v>
      </c>
      <c r="C270" s="214"/>
      <c r="D270" s="214">
        <f>$C$58+$C$59-D272</f>
        <v>0</v>
      </c>
      <c r="E270" s="18"/>
      <c r="F270" s="215" t="s">
        <v>197</v>
      </c>
    </row>
    <row r="271" spans="1:29" hidden="1">
      <c r="B271" s="216" t="s">
        <v>64</v>
      </c>
      <c r="C271" s="18">
        <f>($C$58+$C$59-641)/113.8*13.8</f>
        <v>-77.7311072056239</v>
      </c>
      <c r="D271" s="18"/>
      <c r="E271" s="7"/>
      <c r="F271" s="393" t="s">
        <v>324</v>
      </c>
    </row>
    <row r="272" spans="1:29" hidden="1">
      <c r="B272" s="216"/>
      <c r="C272" s="214">
        <v>0</v>
      </c>
      <c r="D272" s="214">
        <f>MAX(C271:C272)</f>
        <v>0</v>
      </c>
      <c r="E272" s="7"/>
      <c r="F272" s="216"/>
    </row>
    <row r="273" spans="2:6" hidden="1">
      <c r="B273" s="216" t="s">
        <v>65</v>
      </c>
      <c r="C273" s="18">
        <f>IF((D248&lt;3454.17), ((D248-645)*0.12),((3539.58-645)*0.12))</f>
        <v>-77.399999999999991</v>
      </c>
      <c r="D273" s="18"/>
      <c r="E273" s="7"/>
      <c r="F273" s="393" t="s">
        <v>323</v>
      </c>
    </row>
    <row r="274" spans="2:6" hidden="1">
      <c r="B274" s="216"/>
      <c r="C274" s="214">
        <v>0</v>
      </c>
      <c r="D274" s="214">
        <f>MAX(C273:C274)</f>
        <v>0</v>
      </c>
      <c r="E274" s="7"/>
      <c r="F274" s="216"/>
    </row>
    <row r="275" spans="2:6" hidden="1">
      <c r="B275" s="216" t="s">
        <v>120</v>
      </c>
      <c r="C275" s="18">
        <f>(D248-3454.17)*0.02</f>
        <v>-69.083399999999997</v>
      </c>
      <c r="D275" s="18"/>
      <c r="E275" s="7"/>
      <c r="F275" s="393" t="s">
        <v>322</v>
      </c>
    </row>
    <row r="276" spans="2:6" hidden="1">
      <c r="B276" s="217"/>
      <c r="C276" s="214">
        <v>0</v>
      </c>
      <c r="D276" s="214">
        <f>MAX(C275:C276)</f>
        <v>0</v>
      </c>
      <c r="E276" s="7"/>
      <c r="F276" s="216"/>
    </row>
    <row r="277" spans="2:6" ht="15" hidden="1">
      <c r="B277" s="218" t="s">
        <v>198</v>
      </c>
      <c r="C277" s="71"/>
      <c r="D277" s="71"/>
      <c r="E277" s="219">
        <f>D276+D274+D272</f>
        <v>0</v>
      </c>
      <c r="F277" s="216"/>
    </row>
    <row r="278" spans="2:6" ht="15" hidden="1">
      <c r="D278" s="18"/>
      <c r="E278" s="220"/>
      <c r="F278" s="327" t="s">
        <v>210</v>
      </c>
    </row>
    <row r="279" spans="2:6" ht="15" hidden="1">
      <c r="B279" s="217" t="s">
        <v>199</v>
      </c>
      <c r="C279" s="328">
        <f>IF((D248&lt;12500),0,((D248-12500)*0.45))</f>
        <v>0</v>
      </c>
      <c r="D279" s="214">
        <f>C279</f>
        <v>0</v>
      </c>
      <c r="E279" s="220"/>
      <c r="F279" s="216"/>
    </row>
    <row r="280" spans="2:6" ht="15" hidden="1">
      <c r="B280" s="217" t="s">
        <v>200</v>
      </c>
      <c r="C280" s="20">
        <f>IF((D248&lt;12500),(((D248-8333.33)*0.4)+(786.67*0.4)),(((12500-8333.33)*0.4)+(786.67*0.4)))</f>
        <v>-3018.6640000000002</v>
      </c>
      <c r="D280" s="18"/>
      <c r="E280" s="220"/>
      <c r="F280" s="327" t="s">
        <v>209</v>
      </c>
    </row>
    <row r="281" spans="2:6" ht="15" hidden="1">
      <c r="B281" s="217"/>
      <c r="C281" s="214">
        <v>0</v>
      </c>
      <c r="D281" s="214">
        <f>MAX(C280:C281)</f>
        <v>0</v>
      </c>
      <c r="E281" s="220"/>
      <c r="F281" s="217"/>
    </row>
    <row r="282" spans="2:6" ht="15" hidden="1">
      <c r="B282" s="216" t="s">
        <v>201</v>
      </c>
      <c r="C282" s="20">
        <f>IF((D248&lt;8333.33),((D248-3454.17)*0.4),((8333.33-3454.17)*0.4))</f>
        <v>-1381.6680000000001</v>
      </c>
      <c r="D282" s="18"/>
      <c r="E282" s="220"/>
      <c r="F282" s="393" t="s">
        <v>321</v>
      </c>
    </row>
    <row r="283" spans="2:6" ht="15" hidden="1">
      <c r="B283" s="216"/>
      <c r="C283" s="214">
        <v>0</v>
      </c>
      <c r="D283" s="214">
        <f>MAX(C282:C283)</f>
        <v>0</v>
      </c>
      <c r="E283" s="220"/>
      <c r="F283" s="393" t="s">
        <v>320</v>
      </c>
    </row>
    <row r="284" spans="2:6" ht="15" hidden="1">
      <c r="B284" s="216" t="s">
        <v>202</v>
      </c>
      <c r="C284" s="20">
        <f>IF((D248&lt;3454.17),((D248-786.67)*0.2),(2667.5*0.2))</f>
        <v>-157.334</v>
      </c>
      <c r="D284" s="18"/>
      <c r="E284" s="221"/>
      <c r="F284" s="393" t="s">
        <v>319</v>
      </c>
    </row>
    <row r="285" spans="2:6" ht="15" hidden="1">
      <c r="B285" s="216"/>
      <c r="C285" s="214">
        <v>0</v>
      </c>
      <c r="D285" s="214">
        <f>MAX(C284:C285)</f>
        <v>0</v>
      </c>
      <c r="E285" s="220"/>
    </row>
    <row r="286" spans="2:6" ht="15" hidden="1">
      <c r="B286" s="216" t="s">
        <v>203</v>
      </c>
      <c r="C286" s="329">
        <v>0</v>
      </c>
      <c r="D286" s="329">
        <v>0</v>
      </c>
      <c r="E286" s="220"/>
    </row>
    <row r="287" spans="2:6" ht="15" hidden="1">
      <c r="B287" s="330" t="s">
        <v>204</v>
      </c>
      <c r="C287" s="20"/>
      <c r="E287" s="219">
        <f>D286+D285+D283+D281+D279</f>
        <v>0</v>
      </c>
    </row>
    <row r="288" spans="2:6"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sheetData>
  <phoneticPr fontId="0" type="noConversion"/>
  <conditionalFormatting sqref="G79 G96:G196">
    <cfRule type="expression" dxfId="122" priority="46" stopIfTrue="1">
      <formula>$E$12&gt;0</formula>
    </cfRule>
  </conditionalFormatting>
  <conditionalFormatting sqref="G79 G96:G196">
    <cfRule type="expression" dxfId="121" priority="47" stopIfTrue="1">
      <formula>$E$12&gt;0</formula>
    </cfRule>
    <cfRule type="expression" priority="48" stopIfTrue="1">
      <formula>$E$12 &gt;0</formula>
    </cfRule>
  </conditionalFormatting>
  <conditionalFormatting sqref="G79 G96:G196">
    <cfRule type="expression" dxfId="120" priority="45" stopIfTrue="1">
      <formula>"e12&gt;0"</formula>
    </cfRule>
  </conditionalFormatting>
  <conditionalFormatting sqref="G94:G95">
    <cfRule type="expression" dxfId="119" priority="42" stopIfTrue="1">
      <formula>$E$12&gt;0</formula>
    </cfRule>
  </conditionalFormatting>
  <conditionalFormatting sqref="G94:G95">
    <cfRule type="expression" dxfId="118" priority="43" stopIfTrue="1">
      <formula>$E$12&gt;0</formula>
    </cfRule>
    <cfRule type="expression" priority="44" stopIfTrue="1">
      <formula>$E$12 &gt;0</formula>
    </cfRule>
  </conditionalFormatting>
  <conditionalFormatting sqref="G94:G95">
    <cfRule type="expression" dxfId="117" priority="41" stopIfTrue="1">
      <formula>"e12&gt;0"</formula>
    </cfRule>
  </conditionalFormatting>
  <conditionalFormatting sqref="G93">
    <cfRule type="expression" dxfId="116" priority="38" stopIfTrue="1">
      <formula>$E$12&gt;0</formula>
    </cfRule>
  </conditionalFormatting>
  <conditionalFormatting sqref="G93">
    <cfRule type="expression" dxfId="115" priority="39" stopIfTrue="1">
      <formula>$E$12&gt;0</formula>
    </cfRule>
    <cfRule type="expression" priority="40" stopIfTrue="1">
      <formula>$E$12 &gt;0</formula>
    </cfRule>
  </conditionalFormatting>
  <conditionalFormatting sqref="G93">
    <cfRule type="expression" dxfId="114" priority="37" stopIfTrue="1">
      <formula>"e12&gt;0"</formula>
    </cfRule>
  </conditionalFormatting>
  <conditionalFormatting sqref="G91">
    <cfRule type="expression" dxfId="113" priority="35" stopIfTrue="1">
      <formula>$E$12&gt;0</formula>
    </cfRule>
    <cfRule type="expression" priority="36" stopIfTrue="1">
      <formula>$E$12 &gt;0</formula>
    </cfRule>
  </conditionalFormatting>
  <conditionalFormatting sqref="G91">
    <cfRule type="expression" dxfId="112" priority="34" stopIfTrue="1">
      <formula>$E$12&gt;0</formula>
    </cfRule>
  </conditionalFormatting>
  <conditionalFormatting sqref="G91">
    <cfRule type="expression" dxfId="111" priority="33" stopIfTrue="1">
      <formula>"e12&gt;0"</formula>
    </cfRule>
  </conditionalFormatting>
  <conditionalFormatting sqref="G90">
    <cfRule type="expression" dxfId="110" priority="31" stopIfTrue="1">
      <formula>$E$12&gt;0</formula>
    </cfRule>
    <cfRule type="expression" priority="32" stopIfTrue="1">
      <formula>$E$12 &gt;0</formula>
    </cfRule>
  </conditionalFormatting>
  <conditionalFormatting sqref="G90">
    <cfRule type="expression" dxfId="109" priority="30" stopIfTrue="1">
      <formula>$E$12&gt;0</formula>
    </cfRule>
  </conditionalFormatting>
  <conditionalFormatting sqref="G90">
    <cfRule type="expression" dxfId="108" priority="29" stopIfTrue="1">
      <formula>"e12&gt;0"</formula>
    </cfRule>
  </conditionalFormatting>
  <conditionalFormatting sqref="G82 G87:G88">
    <cfRule type="expression" dxfId="107" priority="22">
      <formula>$E$12&gt;0</formula>
    </cfRule>
  </conditionalFormatting>
  <conditionalFormatting sqref="G82 G87:G88">
    <cfRule type="expression" dxfId="106" priority="23">
      <formula>$E$12&gt;0</formula>
    </cfRule>
  </conditionalFormatting>
  <conditionalFormatting sqref="G82 G87:G88">
    <cfRule type="expression" dxfId="105" priority="24">
      <formula>"e12&gt;0"</formula>
    </cfRule>
  </conditionalFormatting>
  <conditionalFormatting sqref="G82 G87:G88">
    <cfRule type="expression" dxfId="104" priority="25">
      <formula>$E$12&gt;0</formula>
    </cfRule>
  </conditionalFormatting>
  <conditionalFormatting sqref="G82 G87:G88">
    <cfRule type="expression" dxfId="103" priority="26">
      <formula>$E$12</formula>
    </cfRule>
  </conditionalFormatting>
  <conditionalFormatting sqref="G82 G87:G88">
    <cfRule type="expression" dxfId="102" priority="27">
      <formula>$E$12</formula>
    </cfRule>
  </conditionalFormatting>
  <conditionalFormatting sqref="G82 G87:G88">
    <cfRule type="expression" dxfId="101" priority="28">
      <formula>"e12&gt;0"</formula>
    </cfRule>
  </conditionalFormatting>
  <conditionalFormatting sqref="G89">
    <cfRule type="expression" dxfId="100" priority="19">
      <formula>$E$12&gt;0</formula>
    </cfRule>
  </conditionalFormatting>
  <conditionalFormatting sqref="G89">
    <cfRule type="expression" dxfId="99" priority="20">
      <formula>$E$12&gt;0</formula>
    </cfRule>
  </conditionalFormatting>
  <conditionalFormatting sqref="G89">
    <cfRule type="expression" dxfId="98" priority="21">
      <formula>"e12&gt;0"</formula>
    </cfRule>
  </conditionalFormatting>
  <conditionalFormatting sqref="G83:G86">
    <cfRule type="expression" dxfId="97" priority="12">
      <formula>$E$12&gt;0</formula>
    </cfRule>
  </conditionalFormatting>
  <conditionalFormatting sqref="G83:G86">
    <cfRule type="expression" dxfId="96" priority="13">
      <formula>$E$12&gt;0</formula>
    </cfRule>
  </conditionalFormatting>
  <conditionalFormatting sqref="G83:G86">
    <cfRule type="expression" dxfId="95" priority="14">
      <formula>"e12&gt;0"</formula>
    </cfRule>
  </conditionalFormatting>
  <conditionalFormatting sqref="G83:G86">
    <cfRule type="expression" dxfId="94" priority="15">
      <formula>$E$12&gt;0</formula>
    </cfRule>
  </conditionalFormatting>
  <conditionalFormatting sqref="G83:G86">
    <cfRule type="expression" dxfId="93" priority="16">
      <formula>$E$12</formula>
    </cfRule>
  </conditionalFormatting>
  <conditionalFormatting sqref="G83:G86">
    <cfRule type="expression" dxfId="92" priority="17">
      <formula>$E$12</formula>
    </cfRule>
  </conditionalFormatting>
  <conditionalFormatting sqref="G83:G86">
    <cfRule type="expression" dxfId="91" priority="18">
      <formula>"e12&gt;0"</formula>
    </cfRule>
  </conditionalFormatting>
  <conditionalFormatting sqref="G92">
    <cfRule type="expression" dxfId="90" priority="9" stopIfTrue="1">
      <formula>$E$12&gt;0</formula>
    </cfRule>
  </conditionalFormatting>
  <conditionalFormatting sqref="G92">
    <cfRule type="expression" dxfId="89" priority="10" stopIfTrue="1">
      <formula>$E$12&gt;0</formula>
    </cfRule>
    <cfRule type="expression" priority="11" stopIfTrue="1">
      <formula>$E$12 &gt;0</formula>
    </cfRule>
  </conditionalFormatting>
  <conditionalFormatting sqref="G92">
    <cfRule type="expression" dxfId="88" priority="8" stopIfTrue="1">
      <formula>"e12&gt;0"</formula>
    </cfRule>
  </conditionalFormatting>
  <conditionalFormatting sqref="G80:G81">
    <cfRule type="expression" dxfId="87" priority="1">
      <formula>$E$12&gt;0</formula>
    </cfRule>
  </conditionalFormatting>
  <conditionalFormatting sqref="G80:G81">
    <cfRule type="expression" dxfId="86" priority="2">
      <formula>$E$12&gt;0</formula>
    </cfRule>
  </conditionalFormatting>
  <conditionalFormatting sqref="G80:G81">
    <cfRule type="expression" dxfId="85" priority="3">
      <formula>"e12&gt;0"</formula>
    </cfRule>
  </conditionalFormatting>
  <conditionalFormatting sqref="G80:G81">
    <cfRule type="expression" dxfId="84" priority="4">
      <formula>$E$12&gt;0</formula>
    </cfRule>
  </conditionalFormatting>
  <conditionalFormatting sqref="G80:G81">
    <cfRule type="expression" dxfId="83" priority="5">
      <formula>$E$12</formula>
    </cfRule>
  </conditionalFormatting>
  <conditionalFormatting sqref="G80:G81">
    <cfRule type="expression" dxfId="82" priority="6">
      <formula>$E$12</formula>
    </cfRule>
  </conditionalFormatting>
  <conditionalFormatting sqref="G80:G81">
    <cfRule type="expression" dxfId="81" priority="7">
      <formula>"e12&gt;0"</formula>
    </cfRule>
  </conditionalFormatting>
  <pageMargins left="0.74803149606299213" right="0.74803149606299213" top="0.98425196850393704" bottom="0.98425196850393704" header="0.51181102362204722" footer="0.51181102362204722"/>
  <pageSetup paperSize="9" scale="47" fitToHeight="4" orientation="landscape" horizontalDpi="300" verticalDpi="300" r:id="rId1"/>
  <headerFooter alignWithMargins="0">
    <oddFooter>&amp;C&amp;"Bodoni Bd BT,Bold Italic"&amp;9Page &amp;P of &amp;N</oddFooter>
  </headerFooter>
  <ignoredErrors>
    <ignoredError sqref="E216:F216 D41:E52 B41 E9 E11:E1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6164" r:id="rId4" name="Check Box 20">
              <controlPr defaultSize="0" autoFill="0" autoLine="0" autoPict="0">
                <anchor moveWithCells="1">
                  <from>
                    <xdr:col>6</xdr:col>
                    <xdr:colOff>57150</xdr:colOff>
                    <xdr:row>214</xdr:row>
                    <xdr:rowOff>142875</xdr:rowOff>
                  </from>
                  <to>
                    <xdr:col>7</xdr:col>
                    <xdr:colOff>552450</xdr:colOff>
                    <xdr:row>216</xdr:row>
                    <xdr:rowOff>19050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BE294"/>
  <sheetViews>
    <sheetView showZeros="0" topLeftCell="A29" zoomScale="70" zoomScaleNormal="70" workbookViewId="0">
      <pane xSplit="7" topLeftCell="H1" activePane="topRight" state="frozen"/>
      <selection activeCell="L49" sqref="L49"/>
      <selection pane="topRight" activeCell="B94" sqref="B94"/>
    </sheetView>
  </sheetViews>
  <sheetFormatPr defaultColWidth="0" defaultRowHeight="12.75"/>
  <cols>
    <col min="1" max="1" width="10.7109375" style="7" customWidth="1"/>
    <col min="2" max="2" width="25.7109375" style="7" customWidth="1"/>
    <col min="3" max="3" width="17.7109375" style="7" customWidth="1"/>
    <col min="4"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0" width="13.5703125" style="629" hidden="1" customWidth="1"/>
    <col min="31" max="31" width="10.42578125" style="629" hidden="1" customWidth="1"/>
    <col min="32" max="32" width="12.7109375" style="629" customWidth="1"/>
    <col min="33" max="33" width="17.140625" style="7" hidden="1" customWidth="1"/>
    <col min="34" max="16384" width="0" style="7" hidden="1"/>
  </cols>
  <sheetData>
    <row r="1" spans="1:29" ht="13.5" thickBot="1">
      <c r="A1" s="7">
        <v>0</v>
      </c>
    </row>
    <row r="2" spans="1:29" ht="29.45" customHeight="1" thickBot="1">
      <c r="A2" s="81" t="str">
        <f>'Nov 17'!A2</f>
        <v>Design-spectrum Limited</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86" t="s">
        <v>84</v>
      </c>
      <c r="B4" s="87"/>
      <c r="C4" s="85">
        <f>'Aug 18'!C4+31</f>
        <v>43350</v>
      </c>
      <c r="F4" s="21"/>
      <c r="G4" s="21"/>
      <c r="H4" s="21"/>
      <c r="I4" s="21"/>
      <c r="J4" s="21"/>
      <c r="K4" s="21"/>
      <c r="L4" s="21"/>
      <c r="M4" s="21"/>
      <c r="N4" s="21"/>
      <c r="O4" s="21"/>
      <c r="P4" s="21"/>
      <c r="Q4" s="22"/>
      <c r="R4" s="22"/>
      <c r="S4" s="22"/>
      <c r="T4" s="22"/>
      <c r="U4" s="22"/>
      <c r="V4" s="22"/>
      <c r="W4" s="22"/>
      <c r="X4" s="22"/>
      <c r="Y4" s="22"/>
      <c r="Z4" s="22"/>
      <c r="AA4" s="22"/>
      <c r="AB4" s="22"/>
      <c r="AC4" s="22"/>
    </row>
    <row r="6" spans="1:29" ht="13.5" thickBot="1"/>
    <row r="7" spans="1:29" ht="21" thickBot="1">
      <c r="A7" s="101" t="s">
        <v>0</v>
      </c>
      <c r="B7" s="102"/>
      <c r="C7" s="102"/>
      <c r="D7" s="102"/>
      <c r="E7" s="102"/>
      <c r="F7" s="102"/>
      <c r="G7" s="103"/>
      <c r="H7" s="23"/>
      <c r="I7" s="101" t="s">
        <v>211</v>
      </c>
      <c r="J7" s="102"/>
      <c r="K7" s="102"/>
      <c r="L7" s="103"/>
      <c r="M7" s="7"/>
    </row>
    <row r="8" spans="1:29" ht="13.5" thickBot="1">
      <c r="A8" s="24"/>
      <c r="B8" s="24"/>
      <c r="C8" s="24"/>
      <c r="D8" s="5"/>
      <c r="E8" s="5"/>
      <c r="F8" s="5"/>
      <c r="G8" s="5"/>
      <c r="H8" s="5"/>
      <c r="I8" s="5"/>
      <c r="J8" s="5"/>
      <c r="K8" s="5"/>
      <c r="L8" s="5"/>
      <c r="M8" s="5"/>
    </row>
    <row r="9" spans="1:29" ht="15.75" thickBot="1">
      <c r="A9" s="25" t="s">
        <v>2</v>
      </c>
      <c r="B9" s="24"/>
      <c r="C9" s="24"/>
      <c r="D9" s="26"/>
      <c r="E9" s="334" t="str">
        <f>'Aug 18'!E9</f>
        <v>n</v>
      </c>
      <c r="F9" s="5">
        <f>IF(E9="Both","enter sales invoices manually at row 30 onwards",0)</f>
        <v>0</v>
      </c>
      <c r="G9" s="5"/>
      <c r="H9" s="5"/>
      <c r="I9" s="5"/>
      <c r="J9" s="5"/>
      <c r="K9" s="5"/>
      <c r="L9" s="5"/>
      <c r="M9" s="5"/>
    </row>
    <row r="10" spans="1:29" ht="15.75" thickBot="1">
      <c r="A10" s="24"/>
      <c r="B10" s="24"/>
      <c r="C10" s="24"/>
      <c r="E10" s="27"/>
      <c r="F10" s="5"/>
      <c r="G10" s="5"/>
      <c r="H10" s="5"/>
      <c r="I10" s="5"/>
      <c r="J10" s="5"/>
      <c r="K10" s="5"/>
      <c r="L10" s="5"/>
      <c r="M10" s="5"/>
    </row>
    <row r="11" spans="1:29" ht="15.75" thickBot="1">
      <c r="A11" s="25" t="s">
        <v>4</v>
      </c>
      <c r="B11" s="24"/>
      <c r="C11" s="24"/>
      <c r="E11" s="334" t="str">
        <f>'Aug 18'!E11</f>
        <v>y</v>
      </c>
      <c r="F11" s="5"/>
      <c r="G11" s="5"/>
      <c r="H11" s="5"/>
      <c r="I11" s="5"/>
      <c r="J11" s="5"/>
      <c r="K11" s="65" t="s">
        <v>20</v>
      </c>
      <c r="L11" s="65"/>
      <c r="M11" s="5"/>
      <c r="N11" s="5"/>
      <c r="O11" s="14" t="s">
        <v>20</v>
      </c>
    </row>
    <row r="12" spans="1:29" ht="15.75" thickBot="1">
      <c r="A12" s="25" t="s">
        <v>306</v>
      </c>
      <c r="B12" s="24"/>
      <c r="C12" s="24"/>
      <c r="E12" s="335">
        <f>'Aug 18'!E12</f>
        <v>0.16500000000000001</v>
      </c>
      <c r="F12" s="5"/>
      <c r="G12" s="5"/>
      <c r="H12" s="5"/>
      <c r="I12" s="5"/>
      <c r="J12" s="5"/>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2"/>
      <c r="C16" s="33" t="s">
        <v>77</v>
      </c>
      <c r="D16" s="346">
        <f>'Aug 18'!D54</f>
        <v>0</v>
      </c>
      <c r="E16" s="346">
        <f>'Aug 18'!E54</f>
        <v>95150</v>
      </c>
      <c r="F16" s="346">
        <f>'Aug 18'!F54</f>
        <v>114180</v>
      </c>
      <c r="G16" s="259">
        <f>'Aug 18'!G54</f>
        <v>19030</v>
      </c>
      <c r="H16" s="34"/>
      <c r="I16" s="153" t="s">
        <v>20</v>
      </c>
      <c r="J16" s="152" t="s">
        <v>77</v>
      </c>
      <c r="K16" s="154"/>
      <c r="L16" s="486">
        <f>'Aug 18'!L54</f>
        <v>137280</v>
      </c>
      <c r="M16" s="263">
        <f>'Aug 18'!M54</f>
        <v>195.09</v>
      </c>
      <c r="N16" s="263">
        <f>'Aug 18'!N54</f>
        <v>0</v>
      </c>
      <c r="O16" s="263">
        <f>'Aug 18'!O54</f>
        <v>101044.25</v>
      </c>
      <c r="P16" s="257">
        <f>'Aug 18'!P54</f>
        <v>-172.54</v>
      </c>
      <c r="Q16" s="17"/>
    </row>
    <row r="17" spans="1:16">
      <c r="A17" s="555"/>
      <c r="B17" s="548" t="s">
        <v>500</v>
      </c>
      <c r="C17" s="2"/>
      <c r="D17" s="346">
        <f>IF(E$9="y",F17-G17,0)</f>
        <v>0</v>
      </c>
      <c r="E17" s="346">
        <f>IF(E$9="n",F17-G17,0)</f>
        <v>13200</v>
      </c>
      <c r="F17" s="558">
        <v>15840</v>
      </c>
      <c r="G17" s="551">
        <f t="shared" ref="G17:G52" si="0">IF(($E$11="n"),0,IF((LEFT(C17,1)="v"),F17,IF((LEFT(C17,1)="z"),0,F17*1/6)))</f>
        <v>2640</v>
      </c>
      <c r="H17" s="34"/>
      <c r="I17" s="560"/>
      <c r="J17" s="565"/>
      <c r="K17" s="567"/>
      <c r="L17" s="585"/>
      <c r="M17" s="562"/>
      <c r="N17" s="562"/>
      <c r="O17" s="562"/>
      <c r="P17" s="563">
        <v>3.25</v>
      </c>
    </row>
    <row r="18" spans="1:16">
      <c r="A18" s="555"/>
      <c r="B18" s="1"/>
      <c r="C18" s="2"/>
      <c r="D18" s="346">
        <f t="shared" ref="D18:D52" si="1">IF(E$9="y",F18-G18,0)</f>
        <v>0</v>
      </c>
      <c r="E18" s="346">
        <f t="shared" ref="E18:E52" si="2">IF(E$9="n",F18-G18,0)</f>
        <v>0</v>
      </c>
      <c r="F18" s="558"/>
      <c r="G18" s="551">
        <f t="shared" si="0"/>
        <v>0</v>
      </c>
      <c r="H18" s="34"/>
      <c r="I18" s="560"/>
      <c r="J18" s="565"/>
      <c r="K18" s="567"/>
      <c r="L18" s="585"/>
      <c r="M18" s="562"/>
      <c r="N18" s="562"/>
      <c r="O18" s="562"/>
      <c r="P18" s="563"/>
    </row>
    <row r="19" spans="1:16">
      <c r="A19" s="555"/>
      <c r="B19" s="1"/>
      <c r="C19" s="2"/>
      <c r="D19" s="346">
        <f t="shared" si="1"/>
        <v>0</v>
      </c>
      <c r="E19" s="346">
        <f t="shared" si="2"/>
        <v>0</v>
      </c>
      <c r="F19" s="558"/>
      <c r="G19" s="551">
        <f t="shared" si="0"/>
        <v>0</v>
      </c>
      <c r="H19" s="34"/>
      <c r="I19" s="560"/>
      <c r="J19" s="565"/>
      <c r="K19" s="567"/>
      <c r="L19" s="585"/>
      <c r="M19" s="562"/>
      <c r="N19" s="562"/>
      <c r="O19" s="562"/>
      <c r="P19" s="563"/>
    </row>
    <row r="20" spans="1:16">
      <c r="A20" s="555"/>
      <c r="B20" s="1"/>
      <c r="C20" s="2"/>
      <c r="D20" s="346">
        <f t="shared" si="1"/>
        <v>0</v>
      </c>
      <c r="E20" s="346">
        <f t="shared" si="2"/>
        <v>0</v>
      </c>
      <c r="F20" s="558"/>
      <c r="G20" s="551">
        <f t="shared" si="0"/>
        <v>0</v>
      </c>
      <c r="H20" s="34"/>
      <c r="I20" s="560"/>
      <c r="J20" s="565"/>
      <c r="K20" s="567"/>
      <c r="L20" s="585"/>
      <c r="M20" s="562"/>
      <c r="N20" s="562"/>
      <c r="O20" s="562"/>
      <c r="P20" s="563"/>
    </row>
    <row r="21" spans="1:16">
      <c r="A21" s="555"/>
      <c r="B21" s="1"/>
      <c r="C21" s="2"/>
      <c r="D21" s="346">
        <f t="shared" si="1"/>
        <v>0</v>
      </c>
      <c r="E21" s="346">
        <f t="shared" si="2"/>
        <v>0</v>
      </c>
      <c r="F21" s="558"/>
      <c r="G21" s="551">
        <f t="shared" si="0"/>
        <v>0</v>
      </c>
      <c r="H21" s="34"/>
      <c r="I21" s="560"/>
      <c r="J21" s="565"/>
      <c r="K21" s="567"/>
      <c r="L21" s="585"/>
      <c r="M21" s="562"/>
      <c r="N21" s="562"/>
      <c r="O21" s="562"/>
      <c r="P21" s="563"/>
    </row>
    <row r="22" spans="1:16">
      <c r="A22" s="555"/>
      <c r="B22" s="1"/>
      <c r="C22" s="2"/>
      <c r="D22" s="346">
        <f t="shared" si="1"/>
        <v>0</v>
      </c>
      <c r="E22" s="346">
        <f t="shared" si="2"/>
        <v>0</v>
      </c>
      <c r="F22" s="558"/>
      <c r="G22" s="551">
        <f t="shared" si="0"/>
        <v>0</v>
      </c>
      <c r="H22" s="34"/>
      <c r="I22" s="560"/>
      <c r="J22" s="565"/>
      <c r="K22" s="567"/>
      <c r="L22" s="585"/>
      <c r="M22" s="562"/>
      <c r="N22" s="562"/>
      <c r="O22" s="562"/>
      <c r="P22" s="563"/>
    </row>
    <row r="23" spans="1:16">
      <c r="A23" s="555"/>
      <c r="B23" s="1"/>
      <c r="C23" s="2"/>
      <c r="D23" s="346">
        <f t="shared" si="1"/>
        <v>0</v>
      </c>
      <c r="E23" s="346">
        <f t="shared" si="2"/>
        <v>0</v>
      </c>
      <c r="F23" s="558"/>
      <c r="G23" s="551">
        <f t="shared" si="0"/>
        <v>0</v>
      </c>
      <c r="H23" s="34"/>
      <c r="I23" s="560"/>
      <c r="J23" s="565"/>
      <c r="K23" s="567"/>
      <c r="L23" s="585"/>
      <c r="M23" s="562"/>
      <c r="N23" s="562"/>
      <c r="O23" s="562"/>
      <c r="P23" s="563"/>
    </row>
    <row r="24" spans="1:16">
      <c r="A24" s="555"/>
      <c r="B24" s="1"/>
      <c r="C24" s="2"/>
      <c r="D24" s="346">
        <f t="shared" si="1"/>
        <v>0</v>
      </c>
      <c r="E24" s="346">
        <f t="shared" si="2"/>
        <v>0</v>
      </c>
      <c r="F24" s="558"/>
      <c r="G24" s="551">
        <f t="shared" si="0"/>
        <v>0</v>
      </c>
      <c r="H24" s="34"/>
      <c r="I24" s="560"/>
      <c r="J24" s="565"/>
      <c r="K24" s="567"/>
      <c r="L24" s="585"/>
      <c r="M24" s="562"/>
      <c r="N24" s="562"/>
      <c r="O24" s="562"/>
      <c r="P24" s="563"/>
    </row>
    <row r="25" spans="1:16">
      <c r="A25" s="555"/>
      <c r="B25" s="1"/>
      <c r="C25" s="2"/>
      <c r="D25" s="346">
        <f t="shared" si="1"/>
        <v>0</v>
      </c>
      <c r="E25" s="346">
        <f t="shared" si="2"/>
        <v>0</v>
      </c>
      <c r="F25" s="558"/>
      <c r="G25" s="551">
        <f t="shared" si="0"/>
        <v>0</v>
      </c>
      <c r="H25" s="34"/>
      <c r="I25" s="560"/>
      <c r="J25" s="565"/>
      <c r="K25" s="567"/>
      <c r="L25" s="585"/>
      <c r="M25" s="562"/>
      <c r="N25" s="562"/>
      <c r="O25" s="562"/>
      <c r="P25" s="563"/>
    </row>
    <row r="26" spans="1:16">
      <c r="A26" s="555"/>
      <c r="B26" s="1"/>
      <c r="C26" s="2"/>
      <c r="D26" s="346">
        <f t="shared" si="1"/>
        <v>0</v>
      </c>
      <c r="E26" s="346">
        <f t="shared" si="2"/>
        <v>0</v>
      </c>
      <c r="F26" s="558"/>
      <c r="G26" s="551">
        <f t="shared" si="0"/>
        <v>0</v>
      </c>
      <c r="H26" s="34"/>
      <c r="I26" s="560"/>
      <c r="J26" s="565"/>
      <c r="K26" s="567"/>
      <c r="L26" s="585"/>
      <c r="M26" s="562"/>
      <c r="N26" s="562"/>
      <c r="O26" s="562"/>
      <c r="P26" s="563"/>
    </row>
    <row r="27" spans="1:16">
      <c r="A27" s="555"/>
      <c r="B27" s="1"/>
      <c r="C27" s="2"/>
      <c r="D27" s="346">
        <f t="shared" si="1"/>
        <v>0</v>
      </c>
      <c r="E27" s="346">
        <f t="shared" si="2"/>
        <v>0</v>
      </c>
      <c r="F27" s="558"/>
      <c r="G27" s="551">
        <f t="shared" si="0"/>
        <v>0</v>
      </c>
      <c r="H27" s="34"/>
      <c r="I27" s="560"/>
      <c r="J27" s="565"/>
      <c r="K27" s="567"/>
      <c r="L27" s="585"/>
      <c r="M27" s="562"/>
      <c r="N27" s="562"/>
      <c r="O27" s="562"/>
      <c r="P27" s="563"/>
    </row>
    <row r="28" spans="1:16">
      <c r="A28" s="555"/>
      <c r="B28" s="1"/>
      <c r="C28" s="2"/>
      <c r="D28" s="346">
        <f t="shared" si="1"/>
        <v>0</v>
      </c>
      <c r="E28" s="346">
        <f t="shared" si="2"/>
        <v>0</v>
      </c>
      <c r="F28" s="558"/>
      <c r="G28" s="551">
        <f t="shared" si="0"/>
        <v>0</v>
      </c>
      <c r="H28" s="34"/>
      <c r="I28" s="560"/>
      <c r="J28" s="565"/>
      <c r="K28" s="567"/>
      <c r="L28" s="585"/>
      <c r="M28" s="562"/>
      <c r="N28" s="562"/>
      <c r="O28" s="562"/>
      <c r="P28" s="563"/>
    </row>
    <row r="29" spans="1:16">
      <c r="A29" s="555"/>
      <c r="B29" s="1"/>
      <c r="C29" s="2"/>
      <c r="D29" s="346">
        <f t="shared" si="1"/>
        <v>0</v>
      </c>
      <c r="E29" s="346">
        <f t="shared" si="2"/>
        <v>0</v>
      </c>
      <c r="F29" s="558"/>
      <c r="G29" s="551">
        <f t="shared" si="0"/>
        <v>0</v>
      </c>
      <c r="H29" s="34"/>
      <c r="I29" s="560"/>
      <c r="J29" s="565"/>
      <c r="K29" s="567"/>
      <c r="L29" s="585"/>
      <c r="M29" s="562"/>
      <c r="N29" s="562"/>
      <c r="O29" s="562"/>
      <c r="P29" s="563"/>
    </row>
    <row r="30" spans="1:16">
      <c r="A30" s="555"/>
      <c r="B30" s="1"/>
      <c r="C30" s="2"/>
      <c r="D30" s="346">
        <f t="shared" si="1"/>
        <v>0</v>
      </c>
      <c r="E30" s="346">
        <f t="shared" si="2"/>
        <v>0</v>
      </c>
      <c r="F30" s="558"/>
      <c r="G30" s="551">
        <f t="shared" si="0"/>
        <v>0</v>
      </c>
      <c r="H30" s="34"/>
      <c r="I30" s="560"/>
      <c r="J30" s="565"/>
      <c r="K30" s="567"/>
      <c r="L30" s="585"/>
      <c r="M30" s="562"/>
      <c r="N30" s="562"/>
      <c r="O30" s="562"/>
      <c r="P30" s="563"/>
    </row>
    <row r="31" spans="1:16">
      <c r="A31" s="555"/>
      <c r="B31" s="1"/>
      <c r="C31" s="2"/>
      <c r="D31" s="346">
        <f t="shared" si="1"/>
        <v>0</v>
      </c>
      <c r="E31" s="346">
        <f t="shared" si="2"/>
        <v>0</v>
      </c>
      <c r="F31" s="558"/>
      <c r="G31" s="551">
        <f t="shared" si="0"/>
        <v>0</v>
      </c>
      <c r="H31" s="34"/>
      <c r="I31" s="560"/>
      <c r="J31" s="565"/>
      <c r="K31" s="567"/>
      <c r="L31" s="585"/>
      <c r="M31" s="562"/>
      <c r="N31" s="562"/>
      <c r="O31" s="562"/>
      <c r="P31" s="563"/>
    </row>
    <row r="32" spans="1:16">
      <c r="A32" s="555"/>
      <c r="B32" s="1"/>
      <c r="C32" s="2"/>
      <c r="D32" s="346">
        <f t="shared" si="1"/>
        <v>0</v>
      </c>
      <c r="E32" s="346">
        <f t="shared" si="2"/>
        <v>0</v>
      </c>
      <c r="F32" s="558"/>
      <c r="G32" s="551">
        <f t="shared" si="0"/>
        <v>0</v>
      </c>
      <c r="H32" s="34"/>
      <c r="I32" s="560"/>
      <c r="J32" s="565"/>
      <c r="K32" s="567"/>
      <c r="L32" s="585"/>
      <c r="M32" s="562"/>
      <c r="N32" s="562"/>
      <c r="O32" s="562"/>
      <c r="P32" s="563"/>
    </row>
    <row r="33" spans="1:16">
      <c r="A33" s="555"/>
      <c r="B33" s="1"/>
      <c r="C33" s="2"/>
      <c r="D33" s="346">
        <f t="shared" si="1"/>
        <v>0</v>
      </c>
      <c r="E33" s="346">
        <f t="shared" si="2"/>
        <v>0</v>
      </c>
      <c r="F33" s="558"/>
      <c r="G33" s="551">
        <f t="shared" si="0"/>
        <v>0</v>
      </c>
      <c r="H33" s="34"/>
      <c r="I33" s="560"/>
      <c r="J33" s="565"/>
      <c r="K33" s="567"/>
      <c r="L33" s="585"/>
      <c r="M33" s="562"/>
      <c r="N33" s="562"/>
      <c r="O33" s="562"/>
      <c r="P33" s="563"/>
    </row>
    <row r="34" spans="1:16">
      <c r="A34" s="555"/>
      <c r="B34" s="1"/>
      <c r="C34" s="2"/>
      <c r="D34" s="346">
        <f t="shared" si="1"/>
        <v>0</v>
      </c>
      <c r="E34" s="346">
        <f t="shared" si="2"/>
        <v>0</v>
      </c>
      <c r="F34" s="558"/>
      <c r="G34" s="551">
        <f t="shared" si="0"/>
        <v>0</v>
      </c>
      <c r="H34" s="34"/>
      <c r="I34" s="560"/>
      <c r="J34" s="565"/>
      <c r="K34" s="567"/>
      <c r="L34" s="585"/>
      <c r="M34" s="562"/>
      <c r="N34" s="562"/>
      <c r="O34" s="562"/>
      <c r="P34" s="563"/>
    </row>
    <row r="35" spans="1:16">
      <c r="A35" s="555"/>
      <c r="B35" s="1"/>
      <c r="C35" s="2"/>
      <c r="D35" s="346">
        <f t="shared" si="1"/>
        <v>0</v>
      </c>
      <c r="E35" s="346">
        <f t="shared" si="2"/>
        <v>0</v>
      </c>
      <c r="F35" s="558"/>
      <c r="G35" s="551">
        <f t="shared" si="0"/>
        <v>0</v>
      </c>
      <c r="H35" s="34"/>
      <c r="I35" s="560"/>
      <c r="J35" s="565"/>
      <c r="K35" s="567"/>
      <c r="L35" s="585"/>
      <c r="M35" s="562"/>
      <c r="N35" s="562"/>
      <c r="O35" s="562"/>
      <c r="P35" s="563"/>
    </row>
    <row r="36" spans="1:16">
      <c r="A36" s="555"/>
      <c r="B36" s="1"/>
      <c r="C36" s="2"/>
      <c r="D36" s="346">
        <f t="shared" si="1"/>
        <v>0</v>
      </c>
      <c r="E36" s="346">
        <f t="shared" si="2"/>
        <v>0</v>
      </c>
      <c r="F36" s="558"/>
      <c r="G36" s="551">
        <f t="shared" si="0"/>
        <v>0</v>
      </c>
      <c r="H36" s="34"/>
      <c r="I36" s="560"/>
      <c r="J36" s="565"/>
      <c r="K36" s="567"/>
      <c r="L36" s="585"/>
      <c r="M36" s="562"/>
      <c r="N36" s="562"/>
      <c r="O36" s="562"/>
      <c r="P36" s="563"/>
    </row>
    <row r="37" spans="1:16">
      <c r="A37" s="555"/>
      <c r="B37" s="1"/>
      <c r="C37" s="2"/>
      <c r="D37" s="346">
        <f t="shared" si="1"/>
        <v>0</v>
      </c>
      <c r="E37" s="346">
        <f t="shared" si="2"/>
        <v>0</v>
      </c>
      <c r="F37" s="558"/>
      <c r="G37" s="551">
        <f t="shared" si="0"/>
        <v>0</v>
      </c>
      <c r="H37" s="34"/>
      <c r="I37" s="560"/>
      <c r="J37" s="565"/>
      <c r="K37" s="567"/>
      <c r="L37" s="585"/>
      <c r="M37" s="562"/>
      <c r="N37" s="562"/>
      <c r="O37" s="562"/>
      <c r="P37" s="563"/>
    </row>
    <row r="38" spans="1:16">
      <c r="A38" s="555"/>
      <c r="B38" s="1"/>
      <c r="C38" s="2"/>
      <c r="D38" s="346">
        <f t="shared" si="1"/>
        <v>0</v>
      </c>
      <c r="E38" s="346">
        <f t="shared" si="2"/>
        <v>0</v>
      </c>
      <c r="F38" s="558"/>
      <c r="G38" s="551">
        <f t="shared" si="0"/>
        <v>0</v>
      </c>
      <c r="H38" s="34"/>
      <c r="I38" s="560"/>
      <c r="J38" s="565"/>
      <c r="K38" s="567"/>
      <c r="L38" s="585"/>
      <c r="M38" s="562"/>
      <c r="N38" s="562"/>
      <c r="O38" s="562"/>
      <c r="P38" s="563"/>
    </row>
    <row r="39" spans="1:16" hidden="1">
      <c r="A39" s="555"/>
      <c r="B39" s="1"/>
      <c r="C39" s="2"/>
      <c r="D39" s="346">
        <f t="shared" si="1"/>
        <v>0</v>
      </c>
      <c r="E39" s="346">
        <f t="shared" si="2"/>
        <v>0</v>
      </c>
      <c r="F39" s="558"/>
      <c r="G39" s="551">
        <f t="shared" si="0"/>
        <v>0</v>
      </c>
      <c r="H39" s="34"/>
      <c r="I39" s="560"/>
      <c r="J39" s="565"/>
      <c r="K39" s="567"/>
      <c r="L39" s="585"/>
      <c r="M39" s="562"/>
      <c r="N39" s="562"/>
      <c r="O39" s="562"/>
      <c r="P39" s="563"/>
    </row>
    <row r="40" spans="1:16" hidden="1">
      <c r="A40" s="555"/>
      <c r="B40" s="1"/>
      <c r="C40" s="2"/>
      <c r="D40" s="346">
        <f t="shared" si="1"/>
        <v>0</v>
      </c>
      <c r="E40" s="346">
        <f t="shared" si="2"/>
        <v>0</v>
      </c>
      <c r="F40" s="558"/>
      <c r="G40" s="551">
        <f t="shared" si="0"/>
        <v>0</v>
      </c>
      <c r="H40" s="34"/>
      <c r="I40" s="560"/>
      <c r="J40" s="565"/>
      <c r="K40" s="567"/>
      <c r="L40" s="585"/>
      <c r="M40" s="562"/>
      <c r="N40" s="562"/>
      <c r="O40" s="562"/>
      <c r="P40" s="563"/>
    </row>
    <row r="41" spans="1:16" hidden="1">
      <c r="A41" s="555"/>
      <c r="B41" s="549">
        <f>IF(E9="Both","Enter manual values here",0)</f>
        <v>0</v>
      </c>
      <c r="C41" s="2"/>
      <c r="D41" s="552">
        <f t="shared" si="1"/>
        <v>0</v>
      </c>
      <c r="E41" s="552">
        <f t="shared" si="2"/>
        <v>0</v>
      </c>
      <c r="F41" s="558"/>
      <c r="G41" s="551">
        <f t="shared" si="0"/>
        <v>0</v>
      </c>
      <c r="H41" s="34"/>
      <c r="I41" s="560"/>
      <c r="J41" s="565"/>
      <c r="K41" s="567"/>
      <c r="L41" s="585"/>
      <c r="M41" s="562"/>
      <c r="N41" s="562"/>
      <c r="O41" s="562"/>
      <c r="P41" s="563"/>
    </row>
    <row r="42" spans="1:16" hidden="1">
      <c r="A42" s="555"/>
      <c r="B42" s="1"/>
      <c r="C42" s="2"/>
      <c r="D42" s="552">
        <f t="shared" si="1"/>
        <v>0</v>
      </c>
      <c r="E42" s="552">
        <f t="shared" si="2"/>
        <v>0</v>
      </c>
      <c r="F42" s="558"/>
      <c r="G42" s="551">
        <f t="shared" si="0"/>
        <v>0</v>
      </c>
      <c r="H42" s="34"/>
      <c r="I42" s="560"/>
      <c r="J42" s="565"/>
      <c r="K42" s="567"/>
      <c r="L42" s="585"/>
      <c r="M42" s="562"/>
      <c r="N42" s="562"/>
      <c r="O42" s="562"/>
      <c r="P42" s="563"/>
    </row>
    <row r="43" spans="1:16" hidden="1">
      <c r="A43" s="555"/>
      <c r="B43" s="1"/>
      <c r="C43" s="2"/>
      <c r="D43" s="552">
        <f t="shared" si="1"/>
        <v>0</v>
      </c>
      <c r="E43" s="552">
        <f t="shared" si="2"/>
        <v>0</v>
      </c>
      <c r="F43" s="558"/>
      <c r="G43" s="551">
        <f t="shared" si="0"/>
        <v>0</v>
      </c>
      <c r="H43" s="34"/>
      <c r="I43" s="560"/>
      <c r="J43" s="565"/>
      <c r="K43" s="567"/>
      <c r="L43" s="585"/>
      <c r="M43" s="562"/>
      <c r="N43" s="562"/>
      <c r="O43" s="562"/>
      <c r="P43" s="563"/>
    </row>
    <row r="44" spans="1:16" hidden="1">
      <c r="A44" s="555"/>
      <c r="B44" s="1"/>
      <c r="C44" s="2"/>
      <c r="D44" s="552">
        <f t="shared" si="1"/>
        <v>0</v>
      </c>
      <c r="E44" s="552">
        <f t="shared" si="2"/>
        <v>0</v>
      </c>
      <c r="F44" s="558"/>
      <c r="G44" s="551">
        <f t="shared" si="0"/>
        <v>0</v>
      </c>
      <c r="H44" s="34"/>
      <c r="I44" s="560"/>
      <c r="J44" s="565"/>
      <c r="K44" s="567"/>
      <c r="L44" s="585"/>
      <c r="M44" s="562"/>
      <c r="N44" s="562"/>
      <c r="O44" s="562"/>
      <c r="P44" s="563"/>
    </row>
    <row r="45" spans="1:16" hidden="1">
      <c r="A45" s="555"/>
      <c r="B45" s="1"/>
      <c r="C45" s="2"/>
      <c r="D45" s="552">
        <f t="shared" si="1"/>
        <v>0</v>
      </c>
      <c r="E45" s="552">
        <f t="shared" si="2"/>
        <v>0</v>
      </c>
      <c r="F45" s="558"/>
      <c r="G45" s="551">
        <f t="shared" si="0"/>
        <v>0</v>
      </c>
      <c r="H45" s="34"/>
      <c r="I45" s="560"/>
      <c r="J45" s="565"/>
      <c r="K45" s="567"/>
      <c r="L45" s="585"/>
      <c r="M45" s="562"/>
      <c r="N45" s="562"/>
      <c r="O45" s="562"/>
      <c r="P45" s="563"/>
    </row>
    <row r="46" spans="1:16" hidden="1">
      <c r="A46" s="555"/>
      <c r="B46" s="1"/>
      <c r="C46" s="2"/>
      <c r="D46" s="552">
        <f t="shared" si="1"/>
        <v>0</v>
      </c>
      <c r="E46" s="552">
        <f t="shared" si="2"/>
        <v>0</v>
      </c>
      <c r="F46" s="558"/>
      <c r="G46" s="551">
        <f t="shared" si="0"/>
        <v>0</v>
      </c>
      <c r="H46" s="34"/>
      <c r="I46" s="560"/>
      <c r="J46" s="565"/>
      <c r="K46" s="567"/>
      <c r="L46" s="585"/>
      <c r="M46" s="562"/>
      <c r="N46" s="562"/>
      <c r="O46" s="562"/>
      <c r="P46" s="563"/>
    </row>
    <row r="47" spans="1:16" hidden="1">
      <c r="A47" s="555"/>
      <c r="B47" s="1"/>
      <c r="C47" s="2"/>
      <c r="D47" s="552">
        <f t="shared" si="1"/>
        <v>0</v>
      </c>
      <c r="E47" s="552">
        <f t="shared" si="2"/>
        <v>0</v>
      </c>
      <c r="F47" s="558"/>
      <c r="G47" s="551">
        <f t="shared" si="0"/>
        <v>0</v>
      </c>
      <c r="H47" s="34"/>
      <c r="I47" s="560"/>
      <c r="J47" s="565"/>
      <c r="K47" s="567"/>
      <c r="L47" s="585"/>
      <c r="M47" s="562"/>
      <c r="N47" s="562"/>
      <c r="O47" s="562"/>
      <c r="P47" s="563"/>
    </row>
    <row r="48" spans="1:16" hidden="1">
      <c r="A48" s="555"/>
      <c r="B48" s="1"/>
      <c r="C48" s="2"/>
      <c r="D48" s="552">
        <f t="shared" si="1"/>
        <v>0</v>
      </c>
      <c r="E48" s="552">
        <f t="shared" si="2"/>
        <v>0</v>
      </c>
      <c r="F48" s="558"/>
      <c r="G48" s="551">
        <f t="shared" si="0"/>
        <v>0</v>
      </c>
      <c r="H48" s="34"/>
      <c r="I48" s="560"/>
      <c r="J48" s="565"/>
      <c r="K48" s="567"/>
      <c r="L48" s="585"/>
      <c r="M48" s="562"/>
      <c r="N48" s="562"/>
      <c r="O48" s="562"/>
      <c r="P48" s="563"/>
    </row>
    <row r="49" spans="1:32" hidden="1">
      <c r="A49" s="555"/>
      <c r="B49" s="1"/>
      <c r="C49" s="2"/>
      <c r="D49" s="552">
        <f t="shared" si="1"/>
        <v>0</v>
      </c>
      <c r="E49" s="552">
        <f t="shared" si="2"/>
        <v>0</v>
      </c>
      <c r="F49" s="558"/>
      <c r="G49" s="551">
        <f t="shared" si="0"/>
        <v>0</v>
      </c>
      <c r="H49" s="34"/>
      <c r="I49" s="560"/>
      <c r="J49" s="565"/>
      <c r="K49" s="567"/>
      <c r="L49" s="585"/>
      <c r="M49" s="562"/>
      <c r="N49" s="562"/>
      <c r="O49" s="562"/>
      <c r="P49" s="563"/>
    </row>
    <row r="50" spans="1:32" hidden="1">
      <c r="A50" s="555"/>
      <c r="B50" s="1"/>
      <c r="C50" s="2"/>
      <c r="D50" s="552">
        <f t="shared" si="1"/>
        <v>0</v>
      </c>
      <c r="E50" s="552">
        <f t="shared" si="2"/>
        <v>0</v>
      </c>
      <c r="F50" s="558"/>
      <c r="G50" s="551">
        <f t="shared" si="0"/>
        <v>0</v>
      </c>
      <c r="H50" s="34"/>
      <c r="I50" s="560"/>
      <c r="J50" s="565"/>
      <c r="K50" s="567"/>
      <c r="L50" s="585"/>
      <c r="M50" s="562"/>
      <c r="N50" s="562"/>
      <c r="O50" s="562"/>
      <c r="P50" s="563"/>
    </row>
    <row r="51" spans="1:32" hidden="1">
      <c r="A51" s="555"/>
      <c r="B51" s="1"/>
      <c r="C51" s="2"/>
      <c r="D51" s="552">
        <f t="shared" si="1"/>
        <v>0</v>
      </c>
      <c r="E51" s="552">
        <f t="shared" si="2"/>
        <v>0</v>
      </c>
      <c r="F51" s="558"/>
      <c r="G51" s="551">
        <f t="shared" si="0"/>
        <v>0</v>
      </c>
      <c r="H51" s="34"/>
      <c r="I51" s="560"/>
      <c r="J51" s="565"/>
      <c r="K51" s="567"/>
      <c r="L51" s="585"/>
      <c r="M51" s="562"/>
      <c r="N51" s="562"/>
      <c r="O51" s="562"/>
      <c r="P51" s="563"/>
    </row>
    <row r="52" spans="1:32" ht="13.5" thickBot="1">
      <c r="A52" s="556"/>
      <c r="B52" s="3"/>
      <c r="C52" s="4"/>
      <c r="D52" s="552">
        <f t="shared" si="1"/>
        <v>0</v>
      </c>
      <c r="E52" s="552">
        <f t="shared" si="2"/>
        <v>0</v>
      </c>
      <c r="F52" s="558"/>
      <c r="G52" s="551">
        <f t="shared" si="0"/>
        <v>0</v>
      </c>
      <c r="H52" s="34"/>
      <c r="I52" s="561"/>
      <c r="J52" s="566"/>
      <c r="K52" s="568"/>
      <c r="L52" s="586"/>
      <c r="M52" s="564"/>
      <c r="N52" s="564"/>
      <c r="O52" s="564"/>
      <c r="P52" s="587"/>
    </row>
    <row r="53" spans="1:32" s="10" customFormat="1" ht="14.25">
      <c r="A53" s="89" t="s">
        <v>26</v>
      </c>
      <c r="B53" s="90"/>
      <c r="C53" s="91"/>
      <c r="D53" s="92">
        <f>SUM(D17:D52)</f>
        <v>0</v>
      </c>
      <c r="E53" s="92">
        <f>SUM(E17:E52)</f>
        <v>13200</v>
      </c>
      <c r="F53" s="92">
        <f>SUM(F17:F52)</f>
        <v>15840</v>
      </c>
      <c r="G53" s="92">
        <f>SUM(G17:G52)</f>
        <v>2640</v>
      </c>
      <c r="H53" s="592"/>
      <c r="I53" s="589" t="s">
        <v>26</v>
      </c>
      <c r="J53" s="91"/>
      <c r="K53" s="590"/>
      <c r="L53" s="92">
        <f>SUM(L17:L52)</f>
        <v>0</v>
      </c>
      <c r="M53" s="92">
        <f>SUM(M17:M52)</f>
        <v>0</v>
      </c>
      <c r="N53" s="92">
        <f>SUM(N17:N52)</f>
        <v>0</v>
      </c>
      <c r="O53" s="92">
        <f>SUM(O17:O52)</f>
        <v>0</v>
      </c>
      <c r="P53" s="208">
        <f>SUM(P17:P52)</f>
        <v>3.25</v>
      </c>
      <c r="AD53" s="630"/>
      <c r="AE53" s="630"/>
      <c r="AF53" s="630"/>
    </row>
    <row r="54" spans="1:32" s="10" customFormat="1" ht="13.5" thickBot="1">
      <c r="A54" s="38" t="s">
        <v>27</v>
      </c>
      <c r="B54" s="38"/>
      <c r="C54" s="38"/>
      <c r="D54" s="643">
        <f>SUM(D16:D52)</f>
        <v>0</v>
      </c>
      <c r="E54" s="643">
        <f>SUM(E16:E52)</f>
        <v>108350</v>
      </c>
      <c r="F54" s="643">
        <f>SUM(F16:F52)</f>
        <v>130020</v>
      </c>
      <c r="G54" s="643">
        <f>SUM(G16:G52)</f>
        <v>21670</v>
      </c>
      <c r="H54" s="592"/>
      <c r="I54" s="591" t="s">
        <v>27</v>
      </c>
      <c r="J54" s="38"/>
      <c r="K54" s="151"/>
      <c r="L54" s="643">
        <f>SUM(L16:L52)</f>
        <v>137280</v>
      </c>
      <c r="M54" s="643">
        <f>SUM(M16:M52)</f>
        <v>195.09</v>
      </c>
      <c r="N54" s="643">
        <f>SUM(N16:N52)</f>
        <v>0</v>
      </c>
      <c r="O54" s="643">
        <f>SUM(O16:O52)</f>
        <v>101044.25</v>
      </c>
      <c r="P54" s="645">
        <f>SUM(P16:P52)</f>
        <v>-169.29</v>
      </c>
      <c r="AD54" s="630"/>
      <c r="AE54" s="630"/>
      <c r="AF54" s="630"/>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c r="N57" s="18"/>
    </row>
    <row r="58" spans="1:32" ht="18" hidden="1">
      <c r="A58" s="66" t="s">
        <v>28</v>
      </c>
      <c r="B58" s="17"/>
      <c r="C58" s="75">
        <f>IF(E9="y",G59*0.95-(SUM(H197:K197)),0)</f>
        <v>0</v>
      </c>
      <c r="E58" s="113" t="s">
        <v>136</v>
      </c>
      <c r="F58" s="70" t="s">
        <v>138</v>
      </c>
      <c r="G58" s="70" t="s">
        <v>137</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13200</v>
      </c>
      <c r="F60" s="70">
        <f>+G60-E60</f>
        <v>26.399999999999636</v>
      </c>
      <c r="G60" s="70">
        <f>IF(E59+E60&lt;&gt;0,E60/(E59+E60)*(G61-G62),0)</f>
        <v>13226.4</v>
      </c>
      <c r="H60" s="18"/>
      <c r="I60" s="18"/>
      <c r="J60" s="18"/>
      <c r="K60" s="18"/>
      <c r="L60" s="18"/>
      <c r="M60" s="18"/>
    </row>
    <row r="61" spans="1:32" hidden="1">
      <c r="A61" s="16"/>
      <c r="B61" s="17"/>
      <c r="C61" s="16"/>
      <c r="D61" s="70" t="s">
        <v>16</v>
      </c>
      <c r="E61" s="70">
        <f>+F53</f>
        <v>15840</v>
      </c>
      <c r="F61" s="70">
        <f>+G61-E61</f>
        <v>0</v>
      </c>
      <c r="G61" s="70">
        <f>+E61</f>
        <v>15840</v>
      </c>
      <c r="H61" s="18"/>
      <c r="I61" s="18"/>
      <c r="J61" s="18"/>
      <c r="K61" s="18"/>
      <c r="L61" s="18"/>
      <c r="M61" s="18"/>
    </row>
    <row r="62" spans="1:32" hidden="1">
      <c r="A62" s="67" t="s">
        <v>29</v>
      </c>
      <c r="B62" s="17"/>
      <c r="C62" s="70">
        <f>IF(E243&lt;=0,0,IF(C4&lt;42095,E265,E243))</f>
        <v>0</v>
      </c>
      <c r="D62" s="70" t="s">
        <v>17</v>
      </c>
      <c r="E62" s="70">
        <f>+G53</f>
        <v>2640</v>
      </c>
      <c r="F62" s="70">
        <f>+G62-E62</f>
        <v>-26.400000000000091</v>
      </c>
      <c r="G62" s="70">
        <f>IF(E12&gt;0,(G61)*E12,E62)</f>
        <v>2613.6</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D73" s="7"/>
      <c r="E73" s="7"/>
      <c r="F73" s="7"/>
      <c r="G73" s="7"/>
      <c r="H73" s="7"/>
      <c r="I73" s="7"/>
      <c r="J73" s="7"/>
      <c r="K73" s="7"/>
      <c r="L73" s="7"/>
      <c r="M73" s="7"/>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5"/>
    </row>
    <row r="75" spans="1:56" ht="15">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5" t="s">
        <v>20</v>
      </c>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0"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row>
    <row r="78" spans="1:56" ht="13.5" thickBot="1">
      <c r="A78" s="580" t="s">
        <v>11</v>
      </c>
      <c r="B78" s="580" t="s">
        <v>13</v>
      </c>
      <c r="C78" s="594" t="s">
        <v>38</v>
      </c>
      <c r="D78" s="569" t="s">
        <v>39</v>
      </c>
      <c r="E78" s="569" t="s">
        <v>40</v>
      </c>
      <c r="F78" s="569" t="s">
        <v>155</v>
      </c>
      <c r="G78" s="595" t="s">
        <v>17</v>
      </c>
      <c r="H78" s="571" t="s">
        <v>294</v>
      </c>
      <c r="I78" s="570" t="s">
        <v>42</v>
      </c>
      <c r="J78" s="571" t="s">
        <v>127</v>
      </c>
      <c r="K78" s="570" t="s">
        <v>44</v>
      </c>
      <c r="L78" s="597" t="s">
        <v>161</v>
      </c>
      <c r="M78" s="597" t="s">
        <v>160</v>
      </c>
      <c r="N78" s="597" t="s">
        <v>49</v>
      </c>
      <c r="O78" s="570" t="s">
        <v>132</v>
      </c>
      <c r="P78" s="570" t="s">
        <v>45</v>
      </c>
      <c r="Q78" s="570" t="s">
        <v>46</v>
      </c>
      <c r="R78" s="571" t="s">
        <v>171</v>
      </c>
      <c r="S78" s="570" t="s">
        <v>113</v>
      </c>
      <c r="T78" s="571" t="s">
        <v>57</v>
      </c>
      <c r="U78" s="570" t="s">
        <v>50</v>
      </c>
      <c r="V78" s="571" t="s">
        <v>207</v>
      </c>
      <c r="W78" s="571" t="s">
        <v>175</v>
      </c>
      <c r="X78" s="571" t="s">
        <v>302</v>
      </c>
      <c r="Y78" s="570" t="s">
        <v>121</v>
      </c>
      <c r="Z78" s="571" t="s">
        <v>173</v>
      </c>
      <c r="AA78" s="571" t="s">
        <v>302</v>
      </c>
      <c r="AB78" s="597" t="s">
        <v>152</v>
      </c>
      <c r="AC78" s="570" t="s">
        <v>51</v>
      </c>
      <c r="AF78" s="628" t="s">
        <v>52</v>
      </c>
    </row>
    <row r="79" spans="1:56">
      <c r="A79" s="258"/>
      <c r="B79" s="44" t="s">
        <v>77</v>
      </c>
      <c r="C79" s="45"/>
      <c r="D79" s="615">
        <f>'Aug 18'!D198</f>
        <v>219773.60000000003</v>
      </c>
      <c r="E79" s="616">
        <f>'Aug 18'!E198</f>
        <v>-114</v>
      </c>
      <c r="F79" s="615">
        <f>'Aug 18'!F198</f>
        <v>0</v>
      </c>
      <c r="G79" s="617">
        <f>'Aug 18'!G198</f>
        <v>0</v>
      </c>
      <c r="H79" s="625">
        <f>'Aug 18'!H198</f>
        <v>2230</v>
      </c>
      <c r="I79" s="559">
        <f>'Aug 18'!I198</f>
        <v>1652</v>
      </c>
      <c r="J79" s="559">
        <f>'Aug 18'!J198</f>
        <v>500</v>
      </c>
      <c r="K79" s="559">
        <f>'Aug 18'!K198</f>
        <v>0</v>
      </c>
      <c r="L79" s="559">
        <f>'Aug 18'!L198</f>
        <v>19216</v>
      </c>
      <c r="M79" s="559">
        <f>'Aug 18'!M198</f>
        <v>264.02999999999997</v>
      </c>
      <c r="N79" s="559">
        <f>'Aug 18'!N198</f>
        <v>50000</v>
      </c>
      <c r="O79" s="559">
        <f>'Aug 18'!O198</f>
        <v>0</v>
      </c>
      <c r="P79" s="559">
        <f>'Aug 18'!P198</f>
        <v>180</v>
      </c>
      <c r="Q79" s="559">
        <f>'Aug 18'!Q198</f>
        <v>0</v>
      </c>
      <c r="R79" s="559">
        <f>'Aug 18'!R198</f>
        <v>650</v>
      </c>
      <c r="S79" s="559">
        <f>'Aug 18'!S198</f>
        <v>550</v>
      </c>
      <c r="T79" s="559">
        <f>'Aug 18'!T198</f>
        <v>850</v>
      </c>
      <c r="U79" s="559">
        <f>'Aug 18'!U198</f>
        <v>1380</v>
      </c>
      <c r="V79" s="559">
        <f>'Aug 18'!V198</f>
        <v>60.3</v>
      </c>
      <c r="W79" s="559">
        <f>'Aug 18'!W198</f>
        <v>950</v>
      </c>
      <c r="X79" s="559">
        <f>'Aug 18'!X198</f>
        <v>101239.34</v>
      </c>
      <c r="Y79" s="559">
        <f>'Aug 18'!Y198</f>
        <v>17859.599999999999</v>
      </c>
      <c r="Z79" s="559">
        <f>'Aug 18'!Z198</f>
        <v>21280.33</v>
      </c>
      <c r="AA79" s="559">
        <f>'Aug 18'!AA198</f>
        <v>0</v>
      </c>
      <c r="AB79" s="559">
        <f>'Aug 18'!AB198</f>
        <v>785</v>
      </c>
      <c r="AC79" s="259">
        <f>'Aug 18'!AC198</f>
        <v>13</v>
      </c>
      <c r="AF79" s="628"/>
      <c r="AG79" s="43">
        <f>IF(AF79=0,0,"ERROR HERE")</f>
        <v>0</v>
      </c>
      <c r="AH79" s="7">
        <f t="shared" ref="AH79:AQ81" si="3">IF(OR(ISERROR(+H79/($D79+$E79-$G79)*$G79+H79),LEFT(F79,1)="x"),0,+H79/($D79+$E79-$G79)*$G79+H79)</f>
        <v>2230</v>
      </c>
      <c r="AI79" s="7">
        <f t="shared" si="3"/>
        <v>1652</v>
      </c>
      <c r="AJ79" s="7">
        <f t="shared" si="3"/>
        <v>500</v>
      </c>
      <c r="AK79" s="7">
        <f t="shared" si="3"/>
        <v>0</v>
      </c>
      <c r="AL79" s="7">
        <f t="shared" si="3"/>
        <v>19216</v>
      </c>
      <c r="AM79" s="7">
        <f t="shared" si="3"/>
        <v>264.02999999999997</v>
      </c>
      <c r="AN79" s="7">
        <f t="shared" si="3"/>
        <v>50000</v>
      </c>
      <c r="AO79" s="7">
        <f t="shared" si="3"/>
        <v>0</v>
      </c>
      <c r="AP79" s="7">
        <f t="shared" si="3"/>
        <v>180</v>
      </c>
      <c r="AQ79" s="7">
        <f t="shared" si="3"/>
        <v>0</v>
      </c>
      <c r="AR79" s="7">
        <f t="shared" ref="AR79:BA81" si="4">IF(OR(ISERROR(+R79/($D79+$E79-$G79)*$G79+R79),LEFT(P79,1)="x"),0,+R79/($D79+$E79-$G79)*$G79+R79)</f>
        <v>650</v>
      </c>
      <c r="AS79" s="7">
        <f t="shared" si="4"/>
        <v>550</v>
      </c>
      <c r="AT79" s="7">
        <f t="shared" si="4"/>
        <v>850</v>
      </c>
      <c r="AU79" s="7">
        <f t="shared" si="4"/>
        <v>1380</v>
      </c>
      <c r="AV79" s="7">
        <f t="shared" si="4"/>
        <v>60.3</v>
      </c>
      <c r="AW79" s="7">
        <f t="shared" si="4"/>
        <v>950</v>
      </c>
      <c r="AX79" s="7">
        <f t="shared" si="4"/>
        <v>101239.34</v>
      </c>
      <c r="AY79" s="7">
        <f t="shared" si="4"/>
        <v>17859.599999999999</v>
      </c>
      <c r="AZ79" s="7">
        <f t="shared" si="4"/>
        <v>21280.33</v>
      </c>
      <c r="BA79" s="7">
        <f t="shared" si="4"/>
        <v>0</v>
      </c>
      <c r="BB79" s="7">
        <f>IF(OR(ISERROR(+AB79/($D79+$E79-$G79)*$G79+AB79),LEFT(Z79,1)="x"),0,+AB79/($D79+$E79-$G79)*$G79+AB79)</f>
        <v>785</v>
      </c>
      <c r="BC79" s="7">
        <f>IF(OR(ISERROR(+#REF!/($D79+$E79-$G79)*$G79+#REF!),LEFT(AA79,1)="x"),0,+#REF!/($D79+$E79-$G79)*$G79+#REF!)</f>
        <v>0</v>
      </c>
      <c r="BD79" s="7">
        <f>IF(OR(ISERROR(+AC79/($D79+$E79-$G79)*$G79+AC79),LEFT(Z79,1)="x"),0,+AC79/($D79+$E79-$G79)*$G79+AC79)</f>
        <v>13</v>
      </c>
    </row>
    <row r="80" spans="1:56">
      <c r="A80" s="555" t="s">
        <v>20</v>
      </c>
      <c r="B80" s="719" t="s">
        <v>462</v>
      </c>
      <c r="C80" s="719"/>
      <c r="D80" s="720">
        <v>812</v>
      </c>
      <c r="E80" s="721"/>
      <c r="F80" s="722"/>
      <c r="G80" s="723"/>
      <c r="H80" s="724"/>
      <c r="I80" s="724"/>
      <c r="J80" s="724"/>
      <c r="K80" s="725"/>
      <c r="L80" s="720">
        <v>812</v>
      </c>
      <c r="M80" s="725"/>
      <c r="N80" s="725"/>
      <c r="O80" s="725"/>
      <c r="P80" s="725"/>
      <c r="Q80" s="725"/>
      <c r="R80" s="726"/>
      <c r="S80" s="727"/>
      <c r="T80" s="725"/>
      <c r="U80" s="726"/>
      <c r="V80" s="726"/>
      <c r="W80" s="727"/>
      <c r="X80" s="562"/>
      <c r="Y80" s="562"/>
      <c r="Z80" s="562"/>
      <c r="AA80" s="562"/>
      <c r="AB80" s="562"/>
      <c r="AC80" s="563"/>
      <c r="AD80" s="629">
        <f>SUM(G80:AC80)</f>
        <v>812</v>
      </c>
      <c r="AE80" s="629">
        <f>SUM(D80:F80)</f>
        <v>812</v>
      </c>
      <c r="AF80" s="628">
        <f>AD80-AE80</f>
        <v>0</v>
      </c>
      <c r="AG80" s="43">
        <f>IF(AF80=0,0,"ERROR HERE")</f>
        <v>0</v>
      </c>
      <c r="AH80" s="7">
        <f t="shared" si="3"/>
        <v>0</v>
      </c>
      <c r="AI80" s="7">
        <f t="shared" si="3"/>
        <v>0</v>
      </c>
      <c r="AJ80" s="7">
        <f t="shared" si="3"/>
        <v>0</v>
      </c>
      <c r="AK80" s="7">
        <f t="shared" si="3"/>
        <v>0</v>
      </c>
      <c r="AL80" s="7">
        <f t="shared" si="3"/>
        <v>812</v>
      </c>
      <c r="AM80" s="7">
        <f t="shared" si="3"/>
        <v>0</v>
      </c>
      <c r="AN80" s="7">
        <f t="shared" si="3"/>
        <v>0</v>
      </c>
      <c r="AO80" s="7">
        <f t="shared" si="3"/>
        <v>0</v>
      </c>
      <c r="AP80" s="7">
        <f t="shared" si="3"/>
        <v>0</v>
      </c>
      <c r="AQ80" s="7">
        <f t="shared" si="3"/>
        <v>0</v>
      </c>
      <c r="AR80" s="7">
        <f t="shared" si="4"/>
        <v>0</v>
      </c>
      <c r="AS80" s="7">
        <f t="shared" si="4"/>
        <v>0</v>
      </c>
      <c r="AT80" s="7">
        <f t="shared" si="4"/>
        <v>0</v>
      </c>
      <c r="AU80" s="7">
        <f t="shared" si="4"/>
        <v>0</v>
      </c>
      <c r="AV80" s="7">
        <f t="shared" si="4"/>
        <v>0</v>
      </c>
      <c r="AW80" s="7">
        <f t="shared" si="4"/>
        <v>0</v>
      </c>
      <c r="AX80" s="7">
        <f t="shared" si="4"/>
        <v>0</v>
      </c>
      <c r="AY80" s="7">
        <f t="shared" si="4"/>
        <v>0</v>
      </c>
      <c r="AZ80" s="7">
        <f t="shared" si="4"/>
        <v>0</v>
      </c>
      <c r="BA80" s="7">
        <f t="shared" si="4"/>
        <v>0</v>
      </c>
      <c r="BB80" s="7">
        <f>IF(OR(ISERROR(+AB80/($D80+$E80-$G80)*$G80+AB80),LEFT(Z80,1)="x"),0,+AB80/($D80+$E80-$G80)*$G80+AB80)</f>
        <v>0</v>
      </c>
      <c r="BC80" s="7">
        <f>IF(OR(ISERROR(+#REF!/($D80+$E80-$G80)*$G80+#REF!),LEFT(AA80,1)="x"),0,+#REF!/($D80+$E80-$G80)*$G80+#REF!)</f>
        <v>0</v>
      </c>
      <c r="BD80" s="7">
        <f>IF(OR(ISERROR(+AC80/($D80+$E80-$G80)*$G80+AC80),LEFT(Z80,1)="x"),0,+AC80/($D80+$E80-$G80)*$G80+AC80)</f>
        <v>0</v>
      </c>
    </row>
    <row r="81" spans="1:56">
      <c r="A81" s="555"/>
      <c r="B81" s="719" t="s">
        <v>463</v>
      </c>
      <c r="C81" s="719"/>
      <c r="D81" s="719">
        <v>800</v>
      </c>
      <c r="E81" s="721"/>
      <c r="F81" s="722"/>
      <c r="G81" s="723"/>
      <c r="H81" s="724"/>
      <c r="I81" s="724"/>
      <c r="J81" s="724"/>
      <c r="K81" s="725"/>
      <c r="L81" s="719">
        <v>800</v>
      </c>
      <c r="M81" s="725"/>
      <c r="N81" s="725"/>
      <c r="O81" s="725"/>
      <c r="P81" s="725"/>
      <c r="Q81" s="725"/>
      <c r="R81" s="726"/>
      <c r="S81" s="727"/>
      <c r="T81" s="725"/>
      <c r="U81" s="726"/>
      <c r="V81" s="726"/>
      <c r="W81" s="727"/>
      <c r="X81" s="562"/>
      <c r="Y81" s="562"/>
      <c r="Z81" s="562"/>
      <c r="AA81" s="562"/>
      <c r="AB81" s="562"/>
      <c r="AC81" s="563"/>
      <c r="AD81" s="629">
        <f t="shared" ref="AD81:AD144" si="5">SUM(G81:AC81)</f>
        <v>800</v>
      </c>
      <c r="AE81" s="629">
        <f t="shared" ref="AE81:AE144" si="6">SUM(D81:F81)</f>
        <v>800</v>
      </c>
      <c r="AF81" s="628">
        <f t="shared" ref="AF81:AF144" si="7">AD81-AE81</f>
        <v>0</v>
      </c>
      <c r="AG81" s="43">
        <f>IF(AF81=0,0,"ERROR HERE")</f>
        <v>0</v>
      </c>
      <c r="AH81" s="7">
        <f t="shared" si="3"/>
        <v>0</v>
      </c>
      <c r="AI81" s="7">
        <f t="shared" si="3"/>
        <v>0</v>
      </c>
      <c r="AJ81" s="7">
        <f t="shared" si="3"/>
        <v>0</v>
      </c>
      <c r="AK81" s="7">
        <f t="shared" si="3"/>
        <v>0</v>
      </c>
      <c r="AL81" s="7">
        <f t="shared" si="3"/>
        <v>800</v>
      </c>
      <c r="AM81" s="7">
        <f t="shared" si="3"/>
        <v>0</v>
      </c>
      <c r="AN81" s="7">
        <f t="shared" si="3"/>
        <v>0</v>
      </c>
      <c r="AO81" s="7">
        <f t="shared" si="3"/>
        <v>0</v>
      </c>
      <c r="AP81" s="7">
        <f t="shared" si="3"/>
        <v>0</v>
      </c>
      <c r="AQ81" s="7">
        <f t="shared" si="3"/>
        <v>0</v>
      </c>
      <c r="AR81" s="7">
        <f t="shared" si="4"/>
        <v>0</v>
      </c>
      <c r="AS81" s="7">
        <f t="shared" si="4"/>
        <v>0</v>
      </c>
      <c r="AT81" s="7">
        <f t="shared" si="4"/>
        <v>0</v>
      </c>
      <c r="AU81" s="7">
        <f t="shared" si="4"/>
        <v>0</v>
      </c>
      <c r="AV81" s="7">
        <f t="shared" si="4"/>
        <v>0</v>
      </c>
      <c r="AW81" s="7">
        <f t="shared" si="4"/>
        <v>0</v>
      </c>
      <c r="AX81" s="7">
        <f t="shared" si="4"/>
        <v>0</v>
      </c>
      <c r="AY81" s="7">
        <f t="shared" si="4"/>
        <v>0</v>
      </c>
      <c r="AZ81" s="7">
        <f t="shared" si="4"/>
        <v>0</v>
      </c>
      <c r="BA81" s="7">
        <f t="shared" si="4"/>
        <v>0</v>
      </c>
      <c r="BB81" s="7">
        <f>IF(OR(ISERROR(+AB81/($D81+$E81-$G81)*$G81+AB81),LEFT(Z81,1)="x"),0,+AB81/($D81+$E81-$G81)*$G81+AB81)</f>
        <v>0</v>
      </c>
      <c r="BC81" s="7">
        <f>IF(OR(ISERROR(+#REF!/($D81+$E81-$G81)*$G81+#REF!),LEFT(AA81,1)="x"),0,+#REF!/($D81+$E81-$G81)*$G81+#REF!)</f>
        <v>0</v>
      </c>
      <c r="BD81" s="7">
        <f>IF(OR(ISERROR(+AC81/($D81+$E81-$G81)*$G81+AC81),LEFT(Z81,1)="x"),0,+AC81/($D81+$E81-$G81)*$G81+AC81)</f>
        <v>0</v>
      </c>
    </row>
    <row r="82" spans="1:56">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562"/>
      <c r="Y82" s="562"/>
      <c r="Z82" s="562"/>
      <c r="AA82" s="562"/>
      <c r="AB82" s="562"/>
      <c r="AC82" s="563"/>
      <c r="AD82" s="629">
        <f t="shared" si="5"/>
        <v>138</v>
      </c>
      <c r="AE82" s="629">
        <f t="shared" si="6"/>
        <v>138</v>
      </c>
      <c r="AF82" s="628">
        <f t="shared" si="7"/>
        <v>0</v>
      </c>
      <c r="AG82" s="43"/>
    </row>
    <row r="83" spans="1:56">
      <c r="A83" s="555"/>
      <c r="B83" s="719" t="s">
        <v>465</v>
      </c>
      <c r="C83" s="719"/>
      <c r="D83" s="721"/>
      <c r="E83" s="719">
        <v>164</v>
      </c>
      <c r="F83" s="722"/>
      <c r="G83" s="723"/>
      <c r="H83" s="724"/>
      <c r="I83" s="719">
        <v>164</v>
      </c>
      <c r="J83" s="724"/>
      <c r="K83" s="725"/>
      <c r="L83" s="725"/>
      <c r="M83" s="725"/>
      <c r="N83" s="725"/>
      <c r="O83" s="725"/>
      <c r="P83" s="725"/>
      <c r="Q83" s="725"/>
      <c r="R83" s="726"/>
      <c r="S83" s="727"/>
      <c r="T83" s="725"/>
      <c r="U83" s="726"/>
      <c r="V83" s="726"/>
      <c r="W83" s="727"/>
      <c r="X83" s="562"/>
      <c r="Y83" s="562"/>
      <c r="Z83" s="562"/>
      <c r="AA83" s="562"/>
      <c r="AB83" s="562"/>
      <c r="AC83" s="563"/>
      <c r="AD83" s="629">
        <f t="shared" si="5"/>
        <v>164</v>
      </c>
      <c r="AE83" s="629">
        <f t="shared" si="6"/>
        <v>164</v>
      </c>
      <c r="AF83" s="628">
        <f t="shared" si="7"/>
        <v>0</v>
      </c>
      <c r="AG83" s="43"/>
    </row>
    <row r="84" spans="1:56">
      <c r="A84" s="555"/>
      <c r="B84" s="719" t="s">
        <v>466</v>
      </c>
      <c r="C84" s="719"/>
      <c r="D84" s="721"/>
      <c r="E84" s="719">
        <v>10</v>
      </c>
      <c r="F84" s="722"/>
      <c r="G84" s="723"/>
      <c r="H84" s="724"/>
      <c r="I84" s="724"/>
      <c r="J84" s="724"/>
      <c r="K84" s="725"/>
      <c r="L84" s="725"/>
      <c r="M84" s="725"/>
      <c r="N84" s="725"/>
      <c r="O84" s="725"/>
      <c r="P84" s="719">
        <v>10</v>
      </c>
      <c r="Q84" s="725"/>
      <c r="R84" s="726"/>
      <c r="S84" s="727"/>
      <c r="T84" s="725"/>
      <c r="U84" s="726"/>
      <c r="V84" s="726"/>
      <c r="W84" s="727"/>
      <c r="X84" s="562"/>
      <c r="Y84" s="562"/>
      <c r="Z84" s="562"/>
      <c r="AA84" s="562"/>
      <c r="AB84" s="562"/>
      <c r="AC84" s="563"/>
      <c r="AD84" s="629">
        <f t="shared" si="5"/>
        <v>10</v>
      </c>
      <c r="AE84" s="629">
        <f t="shared" si="6"/>
        <v>10</v>
      </c>
      <c r="AF84" s="628">
        <f t="shared" si="7"/>
        <v>0</v>
      </c>
      <c r="AG84" s="43"/>
    </row>
    <row r="85" spans="1:56">
      <c r="A85" s="555"/>
      <c r="B85" s="719" t="s">
        <v>467</v>
      </c>
      <c r="C85" s="719"/>
      <c r="D85" s="721"/>
      <c r="E85" s="719">
        <v>45</v>
      </c>
      <c r="F85" s="722"/>
      <c r="G85" s="723"/>
      <c r="H85" s="724"/>
      <c r="I85" s="724"/>
      <c r="J85" s="724"/>
      <c r="K85" s="725"/>
      <c r="L85" s="725"/>
      <c r="M85" s="725"/>
      <c r="N85" s="725"/>
      <c r="O85" s="725"/>
      <c r="P85" s="725"/>
      <c r="Q85" s="725"/>
      <c r="R85" s="726"/>
      <c r="S85" s="727"/>
      <c r="T85" s="725"/>
      <c r="U85" s="719"/>
      <c r="V85" s="726"/>
      <c r="W85" s="719">
        <v>45</v>
      </c>
      <c r="X85" s="562"/>
      <c r="Y85" s="562"/>
      <c r="Z85" s="562"/>
      <c r="AA85" s="562"/>
      <c r="AB85" s="562"/>
      <c r="AC85" s="563"/>
      <c r="AD85" s="629">
        <f t="shared" si="5"/>
        <v>45</v>
      </c>
      <c r="AE85" s="629">
        <f t="shared" si="6"/>
        <v>45</v>
      </c>
      <c r="AF85" s="628">
        <f t="shared" si="7"/>
        <v>0</v>
      </c>
      <c r="AG85" s="43"/>
    </row>
    <row r="86" spans="1:56">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562"/>
      <c r="Y86" s="562"/>
      <c r="Z86" s="562"/>
      <c r="AA86" s="562"/>
      <c r="AB86" s="562"/>
      <c r="AC86" s="563"/>
      <c r="AD86" s="629">
        <f t="shared" si="5"/>
        <v>85</v>
      </c>
      <c r="AE86" s="629">
        <f t="shared" si="6"/>
        <v>85</v>
      </c>
      <c r="AF86" s="628">
        <f t="shared" si="7"/>
        <v>0</v>
      </c>
      <c r="AG86" s="43"/>
    </row>
    <row r="87" spans="1:56">
      <c r="A87" s="555"/>
      <c r="B87" s="719" t="s">
        <v>469</v>
      </c>
      <c r="C87" s="719"/>
      <c r="D87" s="721"/>
      <c r="E87" s="719">
        <v>125</v>
      </c>
      <c r="F87" s="722"/>
      <c r="G87" s="723"/>
      <c r="H87" s="719">
        <v>125</v>
      </c>
      <c r="I87" s="724"/>
      <c r="J87" s="724"/>
      <c r="K87" s="725"/>
      <c r="L87" s="725"/>
      <c r="M87" s="725"/>
      <c r="N87" s="725"/>
      <c r="O87" s="725"/>
      <c r="P87" s="725"/>
      <c r="Q87" s="725"/>
      <c r="R87" s="726"/>
      <c r="S87" s="727"/>
      <c r="T87" s="719"/>
      <c r="U87" s="726"/>
      <c r="V87" s="726"/>
      <c r="W87" s="727"/>
      <c r="X87" s="562"/>
      <c r="Y87" s="562"/>
      <c r="Z87" s="562"/>
      <c r="AA87" s="562"/>
      <c r="AB87" s="562"/>
      <c r="AC87" s="563"/>
      <c r="AD87" s="629">
        <f t="shared" si="5"/>
        <v>125</v>
      </c>
      <c r="AE87" s="629">
        <f t="shared" si="6"/>
        <v>125</v>
      </c>
      <c r="AF87" s="628">
        <f t="shared" si="7"/>
        <v>0</v>
      </c>
      <c r="AG87" s="43"/>
    </row>
    <row r="88" spans="1:56">
      <c r="A88" s="555"/>
      <c r="B88" s="719"/>
      <c r="C88" s="719"/>
      <c r="D88" s="721"/>
      <c r="E88" s="719"/>
      <c r="F88" s="722"/>
      <c r="G88" s="723"/>
      <c r="H88" s="719"/>
      <c r="I88" s="724"/>
      <c r="J88" s="724"/>
      <c r="K88" s="725"/>
      <c r="L88" s="725"/>
      <c r="M88" s="725"/>
      <c r="N88" s="725"/>
      <c r="O88" s="725"/>
      <c r="P88" s="725"/>
      <c r="Q88" s="725"/>
      <c r="R88" s="726"/>
      <c r="S88" s="727"/>
      <c r="T88" s="725"/>
      <c r="U88" s="726"/>
      <c r="V88" s="726"/>
      <c r="W88" s="727"/>
      <c r="X88" s="562"/>
      <c r="Y88" s="562"/>
      <c r="Z88" s="562"/>
      <c r="AA88" s="562"/>
      <c r="AB88" s="562"/>
      <c r="AC88" s="563"/>
      <c r="AD88" s="629">
        <f t="shared" si="5"/>
        <v>0</v>
      </c>
      <c r="AE88" s="629">
        <f t="shared" si="6"/>
        <v>0</v>
      </c>
      <c r="AF88" s="628">
        <f t="shared" si="7"/>
        <v>0</v>
      </c>
      <c r="AG88" s="43"/>
    </row>
    <row r="89" spans="1:56">
      <c r="A89" s="555"/>
      <c r="B89" s="719" t="s">
        <v>471</v>
      </c>
      <c r="C89" s="719"/>
      <c r="D89" s="721"/>
      <c r="E89" s="721">
        <v>86</v>
      </c>
      <c r="F89" s="728"/>
      <c r="G89" s="729"/>
      <c r="H89" s="724"/>
      <c r="I89" s="724"/>
      <c r="J89" s="724"/>
      <c r="K89" s="725"/>
      <c r="L89" s="725"/>
      <c r="M89" s="725"/>
      <c r="N89" s="725"/>
      <c r="O89" s="725"/>
      <c r="P89" s="725"/>
      <c r="Q89" s="725"/>
      <c r="R89" s="725"/>
      <c r="S89" s="725">
        <v>86</v>
      </c>
      <c r="T89" s="725"/>
      <c r="U89" s="725"/>
      <c r="V89" s="725"/>
      <c r="W89" s="725"/>
      <c r="X89" s="562"/>
      <c r="Y89" s="562"/>
      <c r="Z89" s="562"/>
      <c r="AA89" s="562"/>
      <c r="AB89" s="562"/>
      <c r="AC89" s="563"/>
      <c r="AD89" s="629">
        <f t="shared" si="5"/>
        <v>86</v>
      </c>
      <c r="AE89" s="629">
        <f t="shared" si="6"/>
        <v>86</v>
      </c>
      <c r="AF89" s="628">
        <f t="shared" si="7"/>
        <v>0</v>
      </c>
      <c r="AG89" s="43"/>
    </row>
    <row r="90" spans="1:56">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562"/>
      <c r="Y90" s="562"/>
      <c r="Z90" s="562"/>
      <c r="AA90" s="562"/>
      <c r="AB90" s="562"/>
      <c r="AC90" s="563"/>
      <c r="AD90" s="629">
        <f t="shared" si="5"/>
        <v>65</v>
      </c>
      <c r="AE90" s="629">
        <f t="shared" si="6"/>
        <v>65</v>
      </c>
      <c r="AF90" s="628">
        <f t="shared" si="7"/>
        <v>0</v>
      </c>
      <c r="AG90" s="43"/>
    </row>
    <row r="91" spans="1:56">
      <c r="A91" s="555"/>
      <c r="B91" s="605" t="s">
        <v>43</v>
      </c>
      <c r="C91" s="607"/>
      <c r="D91" s="608"/>
      <c r="E91" s="608">
        <v>65</v>
      </c>
      <c r="F91" s="608"/>
      <c r="G91" s="609"/>
      <c r="H91" s="585"/>
      <c r="I91" s="562"/>
      <c r="J91" s="562">
        <v>65</v>
      </c>
      <c r="K91" s="562"/>
      <c r="L91" s="562"/>
      <c r="M91" s="562"/>
      <c r="N91" s="602" t="s">
        <v>241</v>
      </c>
      <c r="O91" s="562"/>
      <c r="P91" s="562"/>
      <c r="Q91" s="562"/>
      <c r="R91" s="562"/>
      <c r="S91" s="562"/>
      <c r="T91" s="562"/>
      <c r="U91" s="562"/>
      <c r="V91" s="562"/>
      <c r="W91" s="562"/>
      <c r="X91" s="562"/>
      <c r="Y91" s="562"/>
      <c r="Z91" s="562"/>
      <c r="AA91" s="562"/>
      <c r="AB91" s="562"/>
      <c r="AC91" s="563"/>
      <c r="AD91" s="629">
        <f t="shared" si="5"/>
        <v>65</v>
      </c>
      <c r="AE91" s="629">
        <f t="shared" si="6"/>
        <v>65</v>
      </c>
      <c r="AF91" s="628">
        <f t="shared" si="7"/>
        <v>0</v>
      </c>
      <c r="AG91" s="43"/>
    </row>
    <row r="92" spans="1:56">
      <c r="A92" s="555"/>
      <c r="B92" s="605" t="s">
        <v>174</v>
      </c>
      <c r="C92" s="607"/>
      <c r="D92" s="739">
        <v>5.5</v>
      </c>
      <c r="E92" s="608"/>
      <c r="F92" s="609"/>
      <c r="G92" s="609"/>
      <c r="H92" s="603"/>
      <c r="I92" s="562"/>
      <c r="J92" s="562"/>
      <c r="K92" s="562"/>
      <c r="L92" s="562"/>
      <c r="M92" s="562"/>
      <c r="N92" s="562"/>
      <c r="O92" s="562"/>
      <c r="P92" s="562"/>
      <c r="Q92" s="562"/>
      <c r="R92" s="562"/>
      <c r="S92" s="562"/>
      <c r="T92" s="562"/>
      <c r="U92" s="562"/>
      <c r="V92" s="740">
        <v>5.5</v>
      </c>
      <c r="W92" s="562"/>
      <c r="X92" s="562"/>
      <c r="Y92" s="562"/>
      <c r="Z92" s="562"/>
      <c r="AA92" s="562"/>
      <c r="AB92" s="562"/>
      <c r="AC92" s="563"/>
      <c r="AD92" s="629">
        <f t="shared" si="5"/>
        <v>5.5</v>
      </c>
      <c r="AE92" s="629">
        <f t="shared" si="6"/>
        <v>5.5</v>
      </c>
      <c r="AF92" s="628">
        <f t="shared" si="7"/>
        <v>0</v>
      </c>
      <c r="AG92" s="43"/>
    </row>
    <row r="93" spans="1:56">
      <c r="A93" s="555"/>
      <c r="B93" s="765" t="s">
        <v>503</v>
      </c>
      <c r="C93" s="607"/>
      <c r="D93" s="609">
        <v>4138.2</v>
      </c>
      <c r="E93" s="608"/>
      <c r="F93" s="609"/>
      <c r="G93" s="609"/>
      <c r="H93" s="603"/>
      <c r="I93" s="562"/>
      <c r="J93" s="562"/>
      <c r="K93" s="562"/>
      <c r="L93" s="562"/>
      <c r="M93" s="562"/>
      <c r="N93" s="562"/>
      <c r="O93" s="562"/>
      <c r="P93" s="562"/>
      <c r="Q93" s="562"/>
      <c r="R93" s="562"/>
      <c r="S93" s="562"/>
      <c r="T93" s="562"/>
      <c r="U93" s="562"/>
      <c r="V93" s="562"/>
      <c r="W93" s="562"/>
      <c r="X93" s="562"/>
      <c r="Y93" s="562">
        <v>4138.2</v>
      </c>
      <c r="Z93" s="562"/>
      <c r="AA93" s="562"/>
      <c r="AB93" s="562"/>
      <c r="AC93" s="563"/>
      <c r="AD93" s="629">
        <f t="shared" si="5"/>
        <v>4138.2</v>
      </c>
      <c r="AE93" s="629">
        <f t="shared" si="6"/>
        <v>4138.2</v>
      </c>
      <c r="AF93" s="628">
        <f t="shared" si="7"/>
        <v>0</v>
      </c>
      <c r="AG93" s="43"/>
    </row>
    <row r="94" spans="1:56">
      <c r="A94" s="555"/>
      <c r="B94" s="765"/>
      <c r="C94" s="607"/>
      <c r="D94" s="609"/>
      <c r="E94" s="608"/>
      <c r="F94" s="609"/>
      <c r="G94" s="609"/>
      <c r="H94" s="603"/>
      <c r="I94" s="562"/>
      <c r="J94" s="562"/>
      <c r="K94" s="562"/>
      <c r="L94" s="562"/>
      <c r="M94" s="608"/>
      <c r="N94" s="562"/>
      <c r="O94" s="562"/>
      <c r="P94" s="562"/>
      <c r="Q94" s="562"/>
      <c r="R94" s="562"/>
      <c r="S94" s="562"/>
      <c r="T94" s="562"/>
      <c r="U94" s="562"/>
      <c r="V94" s="562"/>
      <c r="W94" s="562"/>
      <c r="X94" s="562"/>
      <c r="Y94" s="562"/>
      <c r="Z94" s="562"/>
      <c r="AA94" s="562"/>
      <c r="AB94" s="562"/>
      <c r="AC94" s="563"/>
      <c r="AD94" s="629">
        <f t="shared" si="5"/>
        <v>0</v>
      </c>
      <c r="AE94" s="629">
        <f t="shared" si="6"/>
        <v>0</v>
      </c>
      <c r="AF94" s="628">
        <f t="shared" si="7"/>
        <v>0</v>
      </c>
      <c r="AG94" s="43"/>
    </row>
    <row r="95" spans="1:56">
      <c r="A95" s="555"/>
      <c r="B95" s="623"/>
      <c r="C95" s="607"/>
      <c r="D95" s="609"/>
      <c r="E95" s="608"/>
      <c r="F95" s="609"/>
      <c r="G95" s="609"/>
      <c r="H95" s="603"/>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5"/>
        <v>0</v>
      </c>
      <c r="AE95" s="629">
        <f t="shared" si="6"/>
        <v>0</v>
      </c>
      <c r="AF95" s="628">
        <f t="shared" si="7"/>
        <v>0</v>
      </c>
      <c r="AG95" s="43"/>
    </row>
    <row r="96" spans="1:56">
      <c r="A96" s="555"/>
      <c r="B96" s="623"/>
      <c r="C96" s="607"/>
      <c r="D96" s="609"/>
      <c r="E96" s="608"/>
      <c r="F96" s="609"/>
      <c r="G96" s="609"/>
      <c r="H96" s="603"/>
      <c r="I96" s="562"/>
      <c r="J96" s="562"/>
      <c r="K96" s="562"/>
      <c r="L96" s="562"/>
      <c r="M96" s="562"/>
      <c r="N96" s="562"/>
      <c r="O96" s="562"/>
      <c r="P96" s="562"/>
      <c r="Q96" s="562"/>
      <c r="R96" s="562"/>
      <c r="S96" s="562"/>
      <c r="T96" s="562"/>
      <c r="U96" s="562"/>
      <c r="V96" s="562"/>
      <c r="W96" s="562"/>
      <c r="X96" s="562"/>
      <c r="Y96" s="562"/>
      <c r="Z96" s="562"/>
      <c r="AA96" s="562"/>
      <c r="AB96" s="562"/>
      <c r="AC96" s="563"/>
      <c r="AD96" s="629">
        <f t="shared" si="5"/>
        <v>0</v>
      </c>
      <c r="AE96" s="629">
        <f t="shared" si="6"/>
        <v>0</v>
      </c>
      <c r="AF96" s="628">
        <f t="shared" si="7"/>
        <v>0</v>
      </c>
      <c r="AG96" s="43"/>
    </row>
    <row r="97" spans="1:33">
      <c r="A97" s="555"/>
      <c r="B97" s="623"/>
      <c r="C97" s="607"/>
      <c r="D97" s="609"/>
      <c r="E97" s="608"/>
      <c r="F97" s="609"/>
      <c r="G97" s="609"/>
      <c r="H97" s="603"/>
      <c r="I97" s="562"/>
      <c r="J97" s="562"/>
      <c r="K97" s="562"/>
      <c r="L97" s="562"/>
      <c r="M97" s="562"/>
      <c r="N97" s="562"/>
      <c r="O97" s="562"/>
      <c r="P97" s="562"/>
      <c r="Q97" s="562"/>
      <c r="R97" s="562"/>
      <c r="S97" s="562"/>
      <c r="T97" s="562"/>
      <c r="U97" s="562"/>
      <c r="V97" s="562"/>
      <c r="W97" s="562"/>
      <c r="X97" s="562"/>
      <c r="Y97" s="562"/>
      <c r="Z97" s="562"/>
      <c r="AA97" s="562"/>
      <c r="AB97" s="562"/>
      <c r="AC97" s="563"/>
      <c r="AD97" s="629">
        <f t="shared" si="5"/>
        <v>0</v>
      </c>
      <c r="AE97" s="629">
        <f t="shared" si="6"/>
        <v>0</v>
      </c>
      <c r="AF97" s="628">
        <f t="shared" si="7"/>
        <v>0</v>
      </c>
      <c r="AG97" s="43"/>
    </row>
    <row r="98" spans="1:33">
      <c r="A98" s="555"/>
      <c r="B98" s="623"/>
      <c r="C98" s="607"/>
      <c r="D98" s="609"/>
      <c r="E98" s="608"/>
      <c r="F98" s="609"/>
      <c r="G98" s="609"/>
      <c r="H98" s="603"/>
      <c r="I98" s="562"/>
      <c r="J98" s="562"/>
      <c r="K98" s="562"/>
      <c r="L98" s="562"/>
      <c r="M98" s="562"/>
      <c r="N98" s="562"/>
      <c r="O98" s="562"/>
      <c r="P98" s="562"/>
      <c r="Q98" s="562"/>
      <c r="R98" s="562"/>
      <c r="S98" s="562"/>
      <c r="T98" s="562"/>
      <c r="U98" s="562"/>
      <c r="V98" s="562"/>
      <c r="W98" s="562"/>
      <c r="X98" s="562"/>
      <c r="Y98" s="562"/>
      <c r="Z98" s="562"/>
      <c r="AA98" s="562"/>
      <c r="AB98" s="562"/>
      <c r="AC98" s="563"/>
      <c r="AD98" s="629">
        <f t="shared" si="5"/>
        <v>0</v>
      </c>
      <c r="AE98" s="629">
        <f t="shared" si="6"/>
        <v>0</v>
      </c>
      <c r="AF98" s="628">
        <f t="shared" si="7"/>
        <v>0</v>
      </c>
      <c r="AG98" s="43"/>
    </row>
    <row r="99" spans="1:33">
      <c r="A99" s="555"/>
      <c r="B99" s="623"/>
      <c r="C99" s="607"/>
      <c r="D99" s="609"/>
      <c r="E99" s="608"/>
      <c r="F99" s="609"/>
      <c r="G99" s="609"/>
      <c r="H99" s="603"/>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5"/>
        <v>0</v>
      </c>
      <c r="AE99" s="629">
        <f t="shared" si="6"/>
        <v>0</v>
      </c>
      <c r="AF99" s="628">
        <f t="shared" si="7"/>
        <v>0</v>
      </c>
      <c r="AG99" s="43"/>
    </row>
    <row r="100" spans="1:33">
      <c r="A100" s="555"/>
      <c r="B100" s="623"/>
      <c r="C100" s="607"/>
      <c r="D100" s="609"/>
      <c r="E100" s="608"/>
      <c r="F100" s="609"/>
      <c r="G100" s="609"/>
      <c r="H100" s="603"/>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5"/>
        <v>0</v>
      </c>
      <c r="AE100" s="629">
        <f t="shared" si="6"/>
        <v>0</v>
      </c>
      <c r="AF100" s="628">
        <f t="shared" si="7"/>
        <v>0</v>
      </c>
      <c r="AG100" s="43"/>
    </row>
    <row r="101" spans="1:33">
      <c r="A101" s="555"/>
      <c r="B101" s="623"/>
      <c r="C101" s="607"/>
      <c r="D101" s="609"/>
      <c r="E101" s="608"/>
      <c r="F101" s="609"/>
      <c r="G101" s="609"/>
      <c r="H101" s="603"/>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5"/>
        <v>0</v>
      </c>
      <c r="AE101" s="629">
        <f t="shared" si="6"/>
        <v>0</v>
      </c>
      <c r="AF101" s="628">
        <f t="shared" si="7"/>
        <v>0</v>
      </c>
      <c r="AG101" s="43"/>
    </row>
    <row r="102" spans="1:33">
      <c r="A102" s="555"/>
      <c r="B102" s="623"/>
      <c r="C102" s="607"/>
      <c r="D102" s="609"/>
      <c r="E102" s="608"/>
      <c r="F102" s="609"/>
      <c r="G102" s="609"/>
      <c r="H102" s="603"/>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5"/>
        <v>0</v>
      </c>
      <c r="AE102" s="629">
        <f t="shared" si="6"/>
        <v>0</v>
      </c>
      <c r="AF102" s="628">
        <f t="shared" si="7"/>
        <v>0</v>
      </c>
      <c r="AG102" s="43"/>
    </row>
    <row r="103" spans="1:33">
      <c r="A103" s="555"/>
      <c r="B103" s="623"/>
      <c r="C103" s="607"/>
      <c r="D103" s="609"/>
      <c r="E103" s="608"/>
      <c r="F103" s="609"/>
      <c r="G103" s="609"/>
      <c r="H103" s="603"/>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5"/>
        <v>0</v>
      </c>
      <c r="AE103" s="629">
        <f t="shared" si="6"/>
        <v>0</v>
      </c>
      <c r="AF103" s="628">
        <f t="shared" si="7"/>
        <v>0</v>
      </c>
      <c r="AG103" s="43"/>
    </row>
    <row r="104" spans="1:33">
      <c r="A104" s="555"/>
      <c r="B104" s="623"/>
      <c r="C104" s="607"/>
      <c r="D104" s="609"/>
      <c r="E104" s="608"/>
      <c r="F104" s="609"/>
      <c r="G104" s="609"/>
      <c r="H104" s="603"/>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5"/>
        <v>0</v>
      </c>
      <c r="AE104" s="629">
        <f t="shared" si="6"/>
        <v>0</v>
      </c>
      <c r="AF104" s="628">
        <f t="shared" si="7"/>
        <v>0</v>
      </c>
      <c r="AG104" s="43"/>
    </row>
    <row r="105" spans="1:33">
      <c r="A105" s="555"/>
      <c r="B105" s="623"/>
      <c r="C105" s="607"/>
      <c r="D105" s="609"/>
      <c r="E105" s="608"/>
      <c r="F105" s="609"/>
      <c r="G105" s="609"/>
      <c r="H105" s="603"/>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5"/>
        <v>0</v>
      </c>
      <c r="AE105" s="629">
        <f t="shared" si="6"/>
        <v>0</v>
      </c>
      <c r="AF105" s="628">
        <f t="shared" si="7"/>
        <v>0</v>
      </c>
      <c r="AG105" s="43"/>
    </row>
    <row r="106" spans="1:33">
      <c r="A106" s="555"/>
      <c r="B106" s="623"/>
      <c r="C106" s="607"/>
      <c r="D106" s="609"/>
      <c r="E106" s="608"/>
      <c r="F106" s="609"/>
      <c r="G106" s="609"/>
      <c r="H106" s="603"/>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5"/>
        <v>0</v>
      </c>
      <c r="AE106" s="629">
        <f t="shared" si="6"/>
        <v>0</v>
      </c>
      <c r="AF106" s="628">
        <f t="shared" si="7"/>
        <v>0</v>
      </c>
      <c r="AG106" s="43"/>
    </row>
    <row r="107" spans="1:33" ht="13.5" thickBot="1">
      <c r="A107" s="555"/>
      <c r="B107" s="623"/>
      <c r="C107" s="607"/>
      <c r="D107" s="609"/>
      <c r="E107" s="608"/>
      <c r="F107" s="609"/>
      <c r="G107" s="609"/>
      <c r="H107" s="603"/>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5"/>
        <v>0</v>
      </c>
      <c r="AE107" s="629">
        <f t="shared" si="6"/>
        <v>0</v>
      </c>
      <c r="AF107" s="628">
        <f t="shared" si="7"/>
        <v>0</v>
      </c>
      <c r="AG107" s="43"/>
    </row>
    <row r="108" spans="1:33" hidden="1">
      <c r="A108" s="555"/>
      <c r="B108" s="623"/>
      <c r="C108" s="607"/>
      <c r="D108" s="609"/>
      <c r="E108" s="608"/>
      <c r="F108" s="609"/>
      <c r="G108" s="609"/>
      <c r="H108" s="603"/>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5"/>
        <v>0</v>
      </c>
      <c r="AE108" s="629">
        <f t="shared" si="6"/>
        <v>0</v>
      </c>
      <c r="AF108" s="628">
        <f t="shared" si="7"/>
        <v>0</v>
      </c>
      <c r="AG108" s="43"/>
    </row>
    <row r="109" spans="1:33" hidden="1">
      <c r="A109" s="555"/>
      <c r="B109" s="623"/>
      <c r="C109" s="607"/>
      <c r="D109" s="609"/>
      <c r="E109" s="608"/>
      <c r="F109" s="609"/>
      <c r="G109" s="609"/>
      <c r="H109" s="603"/>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5"/>
        <v>0</v>
      </c>
      <c r="AE109" s="629">
        <f t="shared" si="6"/>
        <v>0</v>
      </c>
      <c r="AF109" s="628">
        <f t="shared" si="7"/>
        <v>0</v>
      </c>
      <c r="AG109" s="43"/>
    </row>
    <row r="110" spans="1:33" hidden="1">
      <c r="A110" s="555"/>
      <c r="B110" s="623"/>
      <c r="C110" s="607"/>
      <c r="D110" s="609"/>
      <c r="E110" s="608"/>
      <c r="F110" s="609"/>
      <c r="G110" s="609"/>
      <c r="H110" s="603"/>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5"/>
        <v>0</v>
      </c>
      <c r="AE110" s="629">
        <f t="shared" si="6"/>
        <v>0</v>
      </c>
      <c r="AF110" s="628">
        <f t="shared" si="7"/>
        <v>0</v>
      </c>
      <c r="AG110" s="43"/>
    </row>
    <row r="111" spans="1:33" hidden="1">
      <c r="A111" s="555"/>
      <c r="B111" s="623"/>
      <c r="C111" s="607"/>
      <c r="D111" s="609"/>
      <c r="E111" s="608"/>
      <c r="F111" s="609"/>
      <c r="G111" s="609"/>
      <c r="H111" s="603"/>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5"/>
        <v>0</v>
      </c>
      <c r="AE111" s="629">
        <f t="shared" si="6"/>
        <v>0</v>
      </c>
      <c r="AF111" s="628">
        <f t="shared" si="7"/>
        <v>0</v>
      </c>
      <c r="AG111" s="43"/>
    </row>
    <row r="112" spans="1:33" hidden="1">
      <c r="A112" s="555"/>
      <c r="B112" s="623"/>
      <c r="C112" s="607"/>
      <c r="D112" s="609"/>
      <c r="E112" s="608"/>
      <c r="F112" s="609"/>
      <c r="G112" s="609"/>
      <c r="H112" s="603"/>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5"/>
        <v>0</v>
      </c>
      <c r="AE112" s="629">
        <f t="shared" si="6"/>
        <v>0</v>
      </c>
      <c r="AF112" s="628">
        <f t="shared" si="7"/>
        <v>0</v>
      </c>
      <c r="AG112" s="43"/>
    </row>
    <row r="113" spans="1:33" hidden="1">
      <c r="A113" s="555"/>
      <c r="B113" s="623"/>
      <c r="C113" s="607"/>
      <c r="D113" s="609"/>
      <c r="E113" s="608"/>
      <c r="F113" s="609"/>
      <c r="G113" s="609"/>
      <c r="H113" s="603"/>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5"/>
        <v>0</v>
      </c>
      <c r="AE113" s="629">
        <f t="shared" si="6"/>
        <v>0</v>
      </c>
      <c r="AF113" s="628">
        <f t="shared" si="7"/>
        <v>0</v>
      </c>
      <c r="AG113" s="43"/>
    </row>
    <row r="114" spans="1:33" hidden="1">
      <c r="A114" s="555"/>
      <c r="B114" s="623"/>
      <c r="C114" s="607"/>
      <c r="D114" s="609"/>
      <c r="E114" s="608"/>
      <c r="F114" s="609"/>
      <c r="G114" s="609"/>
      <c r="H114" s="603"/>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5"/>
        <v>0</v>
      </c>
      <c r="AE114" s="629">
        <f t="shared" si="6"/>
        <v>0</v>
      </c>
      <c r="AF114" s="628">
        <f t="shared" si="7"/>
        <v>0</v>
      </c>
      <c r="AG114" s="43"/>
    </row>
    <row r="115" spans="1:33" hidden="1">
      <c r="A115" s="555"/>
      <c r="B115" s="623"/>
      <c r="C115" s="607"/>
      <c r="D115" s="609"/>
      <c r="E115" s="608"/>
      <c r="F115" s="609"/>
      <c r="G115" s="609"/>
      <c r="H115" s="603"/>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5"/>
        <v>0</v>
      </c>
      <c r="AE115" s="629">
        <f t="shared" si="6"/>
        <v>0</v>
      </c>
      <c r="AF115" s="628">
        <f t="shared" si="7"/>
        <v>0</v>
      </c>
      <c r="AG115" s="43"/>
    </row>
    <row r="116" spans="1:33" hidden="1">
      <c r="A116" s="555"/>
      <c r="B116" s="623"/>
      <c r="C116" s="607"/>
      <c r="D116" s="609"/>
      <c r="E116" s="608"/>
      <c r="F116" s="609"/>
      <c r="G116" s="609"/>
      <c r="H116" s="603"/>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5"/>
        <v>0</v>
      </c>
      <c r="AE116" s="629">
        <f t="shared" si="6"/>
        <v>0</v>
      </c>
      <c r="AF116" s="628">
        <f t="shared" si="7"/>
        <v>0</v>
      </c>
      <c r="AG116" s="43"/>
    </row>
    <row r="117" spans="1:33" hidden="1">
      <c r="A117" s="555"/>
      <c r="B117" s="623"/>
      <c r="C117" s="607"/>
      <c r="D117" s="609"/>
      <c r="E117" s="608"/>
      <c r="F117" s="609"/>
      <c r="G117" s="609"/>
      <c r="H117" s="603"/>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5"/>
        <v>0</v>
      </c>
      <c r="AE117" s="629">
        <f t="shared" si="6"/>
        <v>0</v>
      </c>
      <c r="AF117" s="628">
        <f t="shared" si="7"/>
        <v>0</v>
      </c>
      <c r="AG117" s="43"/>
    </row>
    <row r="118" spans="1:33" hidden="1">
      <c r="A118" s="555"/>
      <c r="B118" s="623"/>
      <c r="C118" s="607"/>
      <c r="D118" s="609"/>
      <c r="E118" s="608"/>
      <c r="F118" s="609"/>
      <c r="G118" s="609"/>
      <c r="H118" s="603"/>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5"/>
        <v>0</v>
      </c>
      <c r="AE118" s="629">
        <f t="shared" si="6"/>
        <v>0</v>
      </c>
      <c r="AF118" s="628">
        <f t="shared" si="7"/>
        <v>0</v>
      </c>
      <c r="AG118" s="43"/>
    </row>
    <row r="119" spans="1:33" hidden="1">
      <c r="A119" s="555"/>
      <c r="B119" s="623"/>
      <c r="C119" s="607"/>
      <c r="D119" s="609"/>
      <c r="E119" s="608"/>
      <c r="F119" s="609"/>
      <c r="G119" s="609"/>
      <c r="H119" s="603"/>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5"/>
        <v>0</v>
      </c>
      <c r="AE119" s="629">
        <f t="shared" si="6"/>
        <v>0</v>
      </c>
      <c r="AF119" s="628">
        <f t="shared" si="7"/>
        <v>0</v>
      </c>
      <c r="AG119" s="43"/>
    </row>
    <row r="120" spans="1:33" hidden="1">
      <c r="A120" s="555"/>
      <c r="B120" s="623"/>
      <c r="C120" s="607"/>
      <c r="D120" s="609"/>
      <c r="E120" s="608"/>
      <c r="F120" s="609"/>
      <c r="G120" s="609"/>
      <c r="H120" s="603"/>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5"/>
        <v>0</v>
      </c>
      <c r="AE120" s="629">
        <f t="shared" si="6"/>
        <v>0</v>
      </c>
      <c r="AF120" s="628">
        <f t="shared" si="7"/>
        <v>0</v>
      </c>
      <c r="AG120" s="43"/>
    </row>
    <row r="121" spans="1:33" hidden="1">
      <c r="A121" s="555"/>
      <c r="B121" s="623"/>
      <c r="C121" s="607"/>
      <c r="D121" s="609"/>
      <c r="E121" s="608"/>
      <c r="F121" s="609"/>
      <c r="G121" s="609"/>
      <c r="H121" s="603"/>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5"/>
        <v>0</v>
      </c>
      <c r="AE121" s="629">
        <f t="shared" si="6"/>
        <v>0</v>
      </c>
      <c r="AF121" s="628">
        <f t="shared" si="7"/>
        <v>0</v>
      </c>
      <c r="AG121" s="43"/>
    </row>
    <row r="122" spans="1:33" hidden="1">
      <c r="A122" s="555"/>
      <c r="B122" s="623"/>
      <c r="C122" s="607"/>
      <c r="D122" s="609"/>
      <c r="E122" s="608"/>
      <c r="F122" s="609"/>
      <c r="G122" s="609"/>
      <c r="H122" s="603"/>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5"/>
        <v>0</v>
      </c>
      <c r="AE122" s="629">
        <f t="shared" si="6"/>
        <v>0</v>
      </c>
      <c r="AF122" s="628">
        <f t="shared" si="7"/>
        <v>0</v>
      </c>
      <c r="AG122" s="43"/>
    </row>
    <row r="123" spans="1:33" hidden="1">
      <c r="A123" s="555"/>
      <c r="B123" s="623"/>
      <c r="C123" s="607"/>
      <c r="D123" s="609"/>
      <c r="E123" s="608"/>
      <c r="F123" s="609"/>
      <c r="G123" s="609"/>
      <c r="H123" s="603"/>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5"/>
        <v>0</v>
      </c>
      <c r="AE123" s="629">
        <f t="shared" si="6"/>
        <v>0</v>
      </c>
      <c r="AF123" s="628">
        <f t="shared" si="7"/>
        <v>0</v>
      </c>
      <c r="AG123" s="43"/>
    </row>
    <row r="124" spans="1:33" hidden="1">
      <c r="A124" s="555"/>
      <c r="B124" s="623"/>
      <c r="C124" s="607"/>
      <c r="D124" s="609"/>
      <c r="E124" s="608"/>
      <c r="F124" s="609"/>
      <c r="G124" s="609"/>
      <c r="H124" s="603"/>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5"/>
        <v>0</v>
      </c>
      <c r="AE124" s="629">
        <f t="shared" si="6"/>
        <v>0</v>
      </c>
      <c r="AF124" s="628">
        <f t="shared" si="7"/>
        <v>0</v>
      </c>
      <c r="AG124" s="43"/>
    </row>
    <row r="125" spans="1:33" hidden="1">
      <c r="A125" s="555"/>
      <c r="B125" s="623"/>
      <c r="C125" s="607"/>
      <c r="D125" s="609"/>
      <c r="E125" s="608"/>
      <c r="F125" s="609"/>
      <c r="G125" s="609"/>
      <c r="H125" s="603"/>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5"/>
        <v>0</v>
      </c>
      <c r="AE125" s="629">
        <f t="shared" si="6"/>
        <v>0</v>
      </c>
      <c r="AF125" s="628">
        <f t="shared" si="7"/>
        <v>0</v>
      </c>
      <c r="AG125" s="43"/>
    </row>
    <row r="126" spans="1:33" hidden="1">
      <c r="A126" s="555"/>
      <c r="B126" s="623"/>
      <c r="C126" s="607"/>
      <c r="D126" s="609"/>
      <c r="E126" s="608"/>
      <c r="F126" s="609"/>
      <c r="G126" s="609"/>
      <c r="H126" s="603"/>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5"/>
        <v>0</v>
      </c>
      <c r="AE126" s="629">
        <f t="shared" si="6"/>
        <v>0</v>
      </c>
      <c r="AF126" s="628">
        <f t="shared" si="7"/>
        <v>0</v>
      </c>
      <c r="AG126" s="43"/>
    </row>
    <row r="127" spans="1:33" hidden="1">
      <c r="A127" s="555"/>
      <c r="B127" s="623"/>
      <c r="C127" s="607"/>
      <c r="D127" s="609"/>
      <c r="E127" s="608"/>
      <c r="F127" s="609"/>
      <c r="G127" s="609"/>
      <c r="H127" s="603"/>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5"/>
        <v>0</v>
      </c>
      <c r="AE127" s="629">
        <f t="shared" si="6"/>
        <v>0</v>
      </c>
      <c r="AF127" s="628">
        <f t="shared" si="7"/>
        <v>0</v>
      </c>
      <c r="AG127" s="43"/>
    </row>
    <row r="128" spans="1:33" hidden="1">
      <c r="A128" s="555"/>
      <c r="B128" s="623"/>
      <c r="C128" s="607"/>
      <c r="D128" s="609"/>
      <c r="E128" s="608"/>
      <c r="F128" s="609"/>
      <c r="G128" s="609"/>
      <c r="H128" s="603"/>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5"/>
        <v>0</v>
      </c>
      <c r="AE128" s="629">
        <f t="shared" si="6"/>
        <v>0</v>
      </c>
      <c r="AF128" s="628">
        <f t="shared" si="7"/>
        <v>0</v>
      </c>
      <c r="AG128" s="43"/>
    </row>
    <row r="129" spans="1:33" hidden="1">
      <c r="A129" s="555"/>
      <c r="B129" s="623"/>
      <c r="C129" s="607"/>
      <c r="D129" s="609"/>
      <c r="E129" s="608"/>
      <c r="F129" s="609"/>
      <c r="G129" s="609"/>
      <c r="H129" s="603"/>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5"/>
        <v>0</v>
      </c>
      <c r="AE129" s="629">
        <f t="shared" si="6"/>
        <v>0</v>
      </c>
      <c r="AF129" s="628">
        <f t="shared" si="7"/>
        <v>0</v>
      </c>
      <c r="AG129" s="43"/>
    </row>
    <row r="130" spans="1:33" hidden="1">
      <c r="A130" s="555"/>
      <c r="B130" s="623"/>
      <c r="C130" s="607"/>
      <c r="D130" s="609"/>
      <c r="E130" s="608"/>
      <c r="F130" s="609"/>
      <c r="G130" s="609"/>
      <c r="H130" s="603"/>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5"/>
        <v>0</v>
      </c>
      <c r="AE130" s="629">
        <f t="shared" si="6"/>
        <v>0</v>
      </c>
      <c r="AF130" s="628">
        <f t="shared" si="7"/>
        <v>0</v>
      </c>
      <c r="AG130" s="43"/>
    </row>
    <row r="131" spans="1:33" hidden="1">
      <c r="A131" s="555"/>
      <c r="B131" s="623"/>
      <c r="C131" s="607"/>
      <c r="D131" s="609"/>
      <c r="E131" s="608"/>
      <c r="F131" s="609"/>
      <c r="G131" s="609"/>
      <c r="H131" s="603"/>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5"/>
        <v>0</v>
      </c>
      <c r="AE131" s="629">
        <f t="shared" si="6"/>
        <v>0</v>
      </c>
      <c r="AF131" s="628">
        <f t="shared" si="7"/>
        <v>0</v>
      </c>
      <c r="AG131" s="43"/>
    </row>
    <row r="132" spans="1:33" hidden="1">
      <c r="A132" s="555"/>
      <c r="B132" s="623"/>
      <c r="C132" s="607"/>
      <c r="D132" s="609"/>
      <c r="E132" s="608"/>
      <c r="F132" s="609"/>
      <c r="G132" s="609"/>
      <c r="H132" s="603"/>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5"/>
        <v>0</v>
      </c>
      <c r="AE132" s="629">
        <f t="shared" si="6"/>
        <v>0</v>
      </c>
      <c r="AF132" s="628">
        <f t="shared" si="7"/>
        <v>0</v>
      </c>
      <c r="AG132" s="43"/>
    </row>
    <row r="133" spans="1:33" hidden="1">
      <c r="A133" s="555"/>
      <c r="B133" s="623"/>
      <c r="C133" s="607"/>
      <c r="D133" s="609"/>
      <c r="E133" s="608"/>
      <c r="F133" s="609"/>
      <c r="G133" s="609"/>
      <c r="H133" s="603"/>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5"/>
        <v>0</v>
      </c>
      <c r="AE133" s="629">
        <f t="shared" si="6"/>
        <v>0</v>
      </c>
      <c r="AF133" s="628">
        <f t="shared" si="7"/>
        <v>0</v>
      </c>
      <c r="AG133" s="43"/>
    </row>
    <row r="134" spans="1:33" hidden="1">
      <c r="A134" s="555"/>
      <c r="B134" s="623"/>
      <c r="C134" s="607"/>
      <c r="D134" s="609"/>
      <c r="E134" s="608"/>
      <c r="F134" s="609"/>
      <c r="G134" s="609"/>
      <c r="H134" s="603"/>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5"/>
        <v>0</v>
      </c>
      <c r="AE134" s="629">
        <f t="shared" si="6"/>
        <v>0</v>
      </c>
      <c r="AF134" s="628">
        <f t="shared" si="7"/>
        <v>0</v>
      </c>
      <c r="AG134" s="43"/>
    </row>
    <row r="135" spans="1:33" hidden="1">
      <c r="A135" s="555"/>
      <c r="B135" s="623"/>
      <c r="C135" s="607"/>
      <c r="D135" s="609"/>
      <c r="E135" s="608"/>
      <c r="F135" s="609"/>
      <c r="G135" s="609"/>
      <c r="H135" s="603"/>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5"/>
        <v>0</v>
      </c>
      <c r="AE135" s="629">
        <f t="shared" si="6"/>
        <v>0</v>
      </c>
      <c r="AF135" s="628">
        <f t="shared" si="7"/>
        <v>0</v>
      </c>
      <c r="AG135" s="43"/>
    </row>
    <row r="136" spans="1:33" hidden="1">
      <c r="A136" s="555"/>
      <c r="B136" s="623"/>
      <c r="C136" s="607"/>
      <c r="D136" s="609"/>
      <c r="E136" s="608"/>
      <c r="F136" s="609"/>
      <c r="G136" s="609"/>
      <c r="H136" s="603"/>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5"/>
        <v>0</v>
      </c>
      <c r="AE136" s="629">
        <f t="shared" si="6"/>
        <v>0</v>
      </c>
      <c r="AF136" s="628">
        <f t="shared" si="7"/>
        <v>0</v>
      </c>
      <c r="AG136" s="43"/>
    </row>
    <row r="137" spans="1:33" hidden="1">
      <c r="A137" s="555"/>
      <c r="B137" s="623"/>
      <c r="C137" s="607"/>
      <c r="D137" s="609"/>
      <c r="E137" s="608"/>
      <c r="F137" s="609"/>
      <c r="G137" s="609"/>
      <c r="H137" s="603"/>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5"/>
        <v>0</v>
      </c>
      <c r="AE137" s="629">
        <f t="shared" si="6"/>
        <v>0</v>
      </c>
      <c r="AF137" s="628">
        <f t="shared" si="7"/>
        <v>0</v>
      </c>
      <c r="AG137" s="43"/>
    </row>
    <row r="138" spans="1:33" hidden="1">
      <c r="A138" s="555"/>
      <c r="B138" s="623"/>
      <c r="C138" s="607"/>
      <c r="D138" s="609"/>
      <c r="E138" s="608"/>
      <c r="F138" s="609"/>
      <c r="G138" s="609"/>
      <c r="H138" s="603"/>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5"/>
        <v>0</v>
      </c>
      <c r="AE138" s="629">
        <f t="shared" si="6"/>
        <v>0</v>
      </c>
      <c r="AF138" s="628">
        <f t="shared" si="7"/>
        <v>0</v>
      </c>
      <c r="AG138" s="43"/>
    </row>
    <row r="139" spans="1:33" hidden="1">
      <c r="A139" s="555"/>
      <c r="B139" s="623"/>
      <c r="C139" s="607"/>
      <c r="D139" s="609"/>
      <c r="E139" s="608"/>
      <c r="F139" s="609"/>
      <c r="G139" s="609"/>
      <c r="H139" s="603"/>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5"/>
        <v>0</v>
      </c>
      <c r="AE139" s="629">
        <f t="shared" si="6"/>
        <v>0</v>
      </c>
      <c r="AF139" s="628">
        <f t="shared" si="7"/>
        <v>0</v>
      </c>
      <c r="AG139" s="43"/>
    </row>
    <row r="140" spans="1:33" hidden="1">
      <c r="A140" s="555"/>
      <c r="B140" s="623"/>
      <c r="C140" s="607"/>
      <c r="D140" s="609"/>
      <c r="E140" s="608"/>
      <c r="F140" s="609"/>
      <c r="G140" s="609"/>
      <c r="H140" s="603"/>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5"/>
        <v>0</v>
      </c>
      <c r="AE140" s="629">
        <f t="shared" si="6"/>
        <v>0</v>
      </c>
      <c r="AF140" s="628">
        <f t="shared" si="7"/>
        <v>0</v>
      </c>
      <c r="AG140" s="43"/>
    </row>
    <row r="141" spans="1:33" hidden="1">
      <c r="A141" s="555"/>
      <c r="B141" s="623"/>
      <c r="C141" s="607"/>
      <c r="D141" s="609"/>
      <c r="E141" s="608"/>
      <c r="F141" s="609"/>
      <c r="G141" s="609"/>
      <c r="H141" s="603"/>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5"/>
        <v>0</v>
      </c>
      <c r="AE141" s="629">
        <f t="shared" si="6"/>
        <v>0</v>
      </c>
      <c r="AF141" s="628">
        <f t="shared" si="7"/>
        <v>0</v>
      </c>
      <c r="AG141" s="43"/>
    </row>
    <row r="142" spans="1:33" hidden="1">
      <c r="A142" s="555"/>
      <c r="B142" s="623"/>
      <c r="C142" s="607"/>
      <c r="D142" s="609"/>
      <c r="E142" s="608"/>
      <c r="F142" s="609"/>
      <c r="G142" s="609"/>
      <c r="H142" s="603"/>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5"/>
        <v>0</v>
      </c>
      <c r="AE142" s="629">
        <f t="shared" si="6"/>
        <v>0</v>
      </c>
      <c r="AF142" s="628">
        <f t="shared" si="7"/>
        <v>0</v>
      </c>
      <c r="AG142" s="43"/>
    </row>
    <row r="143" spans="1:33" hidden="1">
      <c r="A143" s="555"/>
      <c r="B143" s="623"/>
      <c r="C143" s="607"/>
      <c r="D143" s="609"/>
      <c r="E143" s="608"/>
      <c r="F143" s="609"/>
      <c r="G143" s="609"/>
      <c r="H143" s="603"/>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5"/>
        <v>0</v>
      </c>
      <c r="AE143" s="629">
        <f t="shared" si="6"/>
        <v>0</v>
      </c>
      <c r="AF143" s="628">
        <f t="shared" si="7"/>
        <v>0</v>
      </c>
      <c r="AG143" s="43"/>
    </row>
    <row r="144" spans="1:33" hidden="1">
      <c r="A144" s="555"/>
      <c r="B144" s="623"/>
      <c r="C144" s="607"/>
      <c r="D144" s="609"/>
      <c r="E144" s="608"/>
      <c r="F144" s="609"/>
      <c r="G144" s="609"/>
      <c r="H144" s="603"/>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si="5"/>
        <v>0</v>
      </c>
      <c r="AE144" s="629">
        <f t="shared" si="6"/>
        <v>0</v>
      </c>
      <c r="AF144" s="628">
        <f t="shared" si="7"/>
        <v>0</v>
      </c>
      <c r="AG144" s="43"/>
    </row>
    <row r="145" spans="1:33" hidden="1">
      <c r="A145" s="555"/>
      <c r="B145" s="623"/>
      <c r="C145" s="607"/>
      <c r="D145" s="609"/>
      <c r="E145" s="608"/>
      <c r="F145" s="609"/>
      <c r="G145" s="609"/>
      <c r="H145" s="603"/>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ref="AD145:AD196" si="8">SUM(G145:AC145)</f>
        <v>0</v>
      </c>
      <c r="AE145" s="629">
        <f t="shared" ref="AE145:AE196" si="9">SUM(D145:F145)</f>
        <v>0</v>
      </c>
      <c r="AF145" s="628">
        <f t="shared" ref="AF145:AF196" si="10">AD145-AE145</f>
        <v>0</v>
      </c>
      <c r="AG145" s="43"/>
    </row>
    <row r="146" spans="1:33" hidden="1">
      <c r="A146" s="555"/>
      <c r="B146" s="623"/>
      <c r="C146" s="607"/>
      <c r="D146" s="609"/>
      <c r="E146" s="608"/>
      <c r="F146" s="609"/>
      <c r="G146" s="609"/>
      <c r="H146" s="603"/>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8"/>
        <v>0</v>
      </c>
      <c r="AE146" s="629">
        <f t="shared" si="9"/>
        <v>0</v>
      </c>
      <c r="AF146" s="628">
        <f t="shared" si="10"/>
        <v>0</v>
      </c>
      <c r="AG146" s="43"/>
    </row>
    <row r="147" spans="1:33" hidden="1">
      <c r="A147" s="555"/>
      <c r="B147" s="623"/>
      <c r="C147" s="607"/>
      <c r="D147" s="609"/>
      <c r="E147" s="608"/>
      <c r="F147" s="609"/>
      <c r="G147" s="609"/>
      <c r="H147" s="603"/>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8"/>
        <v>0</v>
      </c>
      <c r="AE147" s="629">
        <f t="shared" si="9"/>
        <v>0</v>
      </c>
      <c r="AF147" s="628">
        <f t="shared" si="10"/>
        <v>0</v>
      </c>
      <c r="AG147" s="43"/>
    </row>
    <row r="148" spans="1:33" hidden="1">
      <c r="A148" s="555"/>
      <c r="B148" s="623"/>
      <c r="C148" s="607"/>
      <c r="D148" s="609"/>
      <c r="E148" s="608"/>
      <c r="F148" s="609"/>
      <c r="G148" s="609"/>
      <c r="H148" s="603"/>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8"/>
        <v>0</v>
      </c>
      <c r="AE148" s="629">
        <f t="shared" si="9"/>
        <v>0</v>
      </c>
      <c r="AF148" s="628">
        <f t="shared" si="10"/>
        <v>0</v>
      </c>
      <c r="AG148" s="43"/>
    </row>
    <row r="149" spans="1:33" hidden="1">
      <c r="A149" s="555"/>
      <c r="B149" s="623"/>
      <c r="C149" s="607"/>
      <c r="D149" s="609"/>
      <c r="E149" s="608"/>
      <c r="F149" s="609"/>
      <c r="G149" s="609"/>
      <c r="H149" s="603"/>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8"/>
        <v>0</v>
      </c>
      <c r="AE149" s="629">
        <f t="shared" si="9"/>
        <v>0</v>
      </c>
      <c r="AF149" s="628">
        <f t="shared" si="10"/>
        <v>0</v>
      </c>
      <c r="AG149" s="43"/>
    </row>
    <row r="150" spans="1:33" hidden="1">
      <c r="A150" s="555"/>
      <c r="B150" s="623"/>
      <c r="C150" s="607"/>
      <c r="D150" s="609"/>
      <c r="E150" s="608"/>
      <c r="F150" s="609"/>
      <c r="G150" s="609"/>
      <c r="H150" s="603"/>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8"/>
        <v>0</v>
      </c>
      <c r="AE150" s="629">
        <f t="shared" si="9"/>
        <v>0</v>
      </c>
      <c r="AF150" s="628">
        <f t="shared" si="10"/>
        <v>0</v>
      </c>
      <c r="AG150" s="43"/>
    </row>
    <row r="151" spans="1:33" hidden="1">
      <c r="A151" s="555"/>
      <c r="B151" s="623"/>
      <c r="C151" s="607"/>
      <c r="D151" s="609"/>
      <c r="E151" s="608"/>
      <c r="F151" s="609"/>
      <c r="G151" s="609"/>
      <c r="H151" s="603"/>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8"/>
        <v>0</v>
      </c>
      <c r="AE151" s="629">
        <f t="shared" si="9"/>
        <v>0</v>
      </c>
      <c r="AF151" s="628">
        <f t="shared" si="10"/>
        <v>0</v>
      </c>
      <c r="AG151" s="43"/>
    </row>
    <row r="152" spans="1:33" hidden="1">
      <c r="A152" s="555"/>
      <c r="B152" s="623"/>
      <c r="C152" s="607"/>
      <c r="D152" s="609"/>
      <c r="E152" s="608"/>
      <c r="F152" s="609"/>
      <c r="G152" s="609"/>
      <c r="H152" s="603"/>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8"/>
        <v>0</v>
      </c>
      <c r="AE152" s="629">
        <f t="shared" si="9"/>
        <v>0</v>
      </c>
      <c r="AF152" s="628">
        <f t="shared" si="10"/>
        <v>0</v>
      </c>
      <c r="AG152" s="43"/>
    </row>
    <row r="153" spans="1:33" hidden="1">
      <c r="A153" s="555"/>
      <c r="B153" s="623"/>
      <c r="C153" s="607"/>
      <c r="D153" s="609"/>
      <c r="E153" s="608"/>
      <c r="F153" s="609"/>
      <c r="G153" s="609"/>
      <c r="H153" s="603"/>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8"/>
        <v>0</v>
      </c>
      <c r="AE153" s="629">
        <f t="shared" si="9"/>
        <v>0</v>
      </c>
      <c r="AF153" s="628">
        <f t="shared" si="10"/>
        <v>0</v>
      </c>
      <c r="AG153" s="43"/>
    </row>
    <row r="154" spans="1:33" hidden="1">
      <c r="A154" s="555"/>
      <c r="B154" s="623"/>
      <c r="C154" s="607"/>
      <c r="D154" s="609"/>
      <c r="E154" s="608"/>
      <c r="F154" s="609"/>
      <c r="G154" s="609"/>
      <c r="H154" s="603"/>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8"/>
        <v>0</v>
      </c>
      <c r="AE154" s="629">
        <f t="shared" si="9"/>
        <v>0</v>
      </c>
      <c r="AF154" s="628">
        <f t="shared" si="10"/>
        <v>0</v>
      </c>
      <c r="AG154" s="43"/>
    </row>
    <row r="155" spans="1:33" hidden="1">
      <c r="A155" s="555"/>
      <c r="B155" s="623"/>
      <c r="C155" s="607"/>
      <c r="D155" s="609"/>
      <c r="E155" s="608"/>
      <c r="F155" s="609"/>
      <c r="G155" s="609"/>
      <c r="H155" s="603"/>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8"/>
        <v>0</v>
      </c>
      <c r="AE155" s="629">
        <f t="shared" si="9"/>
        <v>0</v>
      </c>
      <c r="AF155" s="628">
        <f t="shared" si="10"/>
        <v>0</v>
      </c>
      <c r="AG155" s="43"/>
    </row>
    <row r="156" spans="1:33" hidden="1">
      <c r="A156" s="555"/>
      <c r="B156" s="623"/>
      <c r="C156" s="607"/>
      <c r="D156" s="609"/>
      <c r="E156" s="608"/>
      <c r="F156" s="609"/>
      <c r="G156" s="609"/>
      <c r="H156" s="603"/>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8"/>
        <v>0</v>
      </c>
      <c r="AE156" s="629">
        <f t="shared" si="9"/>
        <v>0</v>
      </c>
      <c r="AF156" s="628">
        <f t="shared" si="10"/>
        <v>0</v>
      </c>
      <c r="AG156" s="43"/>
    </row>
    <row r="157" spans="1:33" hidden="1">
      <c r="A157" s="555"/>
      <c r="B157" s="623"/>
      <c r="C157" s="607"/>
      <c r="D157" s="609"/>
      <c r="E157" s="608"/>
      <c r="F157" s="609"/>
      <c r="G157" s="609"/>
      <c r="H157" s="603"/>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8"/>
        <v>0</v>
      </c>
      <c r="AE157" s="629">
        <f t="shared" si="9"/>
        <v>0</v>
      </c>
      <c r="AF157" s="628">
        <f t="shared" si="10"/>
        <v>0</v>
      </c>
      <c r="AG157" s="43"/>
    </row>
    <row r="158" spans="1:33" hidden="1">
      <c r="A158" s="555"/>
      <c r="B158" s="623"/>
      <c r="C158" s="607"/>
      <c r="D158" s="609"/>
      <c r="E158" s="608"/>
      <c r="F158" s="609"/>
      <c r="G158" s="609"/>
      <c r="H158" s="603"/>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8"/>
        <v>0</v>
      </c>
      <c r="AE158" s="629">
        <f t="shared" si="9"/>
        <v>0</v>
      </c>
      <c r="AF158" s="628">
        <f t="shared" si="10"/>
        <v>0</v>
      </c>
      <c r="AG158" s="43"/>
    </row>
    <row r="159" spans="1:33" hidden="1">
      <c r="A159" s="555"/>
      <c r="B159" s="623"/>
      <c r="C159" s="607"/>
      <c r="D159" s="609"/>
      <c r="E159" s="608"/>
      <c r="F159" s="609"/>
      <c r="G159" s="609"/>
      <c r="H159" s="603"/>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8"/>
        <v>0</v>
      </c>
      <c r="AE159" s="629">
        <f t="shared" si="9"/>
        <v>0</v>
      </c>
      <c r="AF159" s="628">
        <f t="shared" si="10"/>
        <v>0</v>
      </c>
      <c r="AG159" s="43"/>
    </row>
    <row r="160" spans="1:33" hidden="1">
      <c r="A160" s="555"/>
      <c r="B160" s="623"/>
      <c r="C160" s="607"/>
      <c r="D160" s="609"/>
      <c r="E160" s="608"/>
      <c r="F160" s="609"/>
      <c r="G160" s="609"/>
      <c r="H160" s="603"/>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8"/>
        <v>0</v>
      </c>
      <c r="AE160" s="629">
        <f t="shared" si="9"/>
        <v>0</v>
      </c>
      <c r="AF160" s="628">
        <f t="shared" si="10"/>
        <v>0</v>
      </c>
      <c r="AG160" s="43"/>
    </row>
    <row r="161" spans="1:57" hidden="1">
      <c r="A161" s="555"/>
      <c r="B161" s="623"/>
      <c r="C161" s="607"/>
      <c r="D161" s="609"/>
      <c r="E161" s="608"/>
      <c r="F161" s="609"/>
      <c r="G161" s="609"/>
      <c r="H161" s="603"/>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8"/>
        <v>0</v>
      </c>
      <c r="AE161" s="629">
        <f t="shared" si="9"/>
        <v>0</v>
      </c>
      <c r="AF161" s="628">
        <f t="shared" si="10"/>
        <v>0</v>
      </c>
      <c r="AG161" s="43"/>
    </row>
    <row r="162" spans="1:57" hidden="1">
      <c r="A162" s="555"/>
      <c r="B162" s="623"/>
      <c r="C162" s="607"/>
      <c r="D162" s="609"/>
      <c r="E162" s="608"/>
      <c r="F162" s="609"/>
      <c r="G162" s="609"/>
      <c r="H162" s="603"/>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8"/>
        <v>0</v>
      </c>
      <c r="AE162" s="629">
        <f t="shared" si="9"/>
        <v>0</v>
      </c>
      <c r="AF162" s="628">
        <f t="shared" si="10"/>
        <v>0</v>
      </c>
      <c r="AG162" s="43"/>
    </row>
    <row r="163" spans="1:57" hidden="1">
      <c r="A163" s="555"/>
      <c r="B163" s="623"/>
      <c r="C163" s="607"/>
      <c r="D163" s="609"/>
      <c r="E163" s="608"/>
      <c r="F163" s="609"/>
      <c r="G163" s="609"/>
      <c r="H163" s="603"/>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8"/>
        <v>0</v>
      </c>
      <c r="AE163" s="629">
        <f t="shared" si="9"/>
        <v>0</v>
      </c>
      <c r="AF163" s="628">
        <f t="shared" si="10"/>
        <v>0</v>
      </c>
      <c r="AG163" s="43"/>
    </row>
    <row r="164" spans="1:57" hidden="1">
      <c r="A164" s="555"/>
      <c r="B164" s="623"/>
      <c r="C164" s="607"/>
      <c r="D164" s="609"/>
      <c r="E164" s="608"/>
      <c r="F164" s="609"/>
      <c r="G164" s="609"/>
      <c r="H164" s="603"/>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8"/>
        <v>0</v>
      </c>
      <c r="AE164" s="629">
        <f t="shared" si="9"/>
        <v>0</v>
      </c>
      <c r="AF164" s="628">
        <f t="shared" si="10"/>
        <v>0</v>
      </c>
      <c r="AG164" s="43"/>
    </row>
    <row r="165" spans="1:57" hidden="1">
      <c r="A165" s="555"/>
      <c r="B165" s="623"/>
      <c r="C165" s="607"/>
      <c r="D165" s="609"/>
      <c r="E165" s="608"/>
      <c r="F165" s="609"/>
      <c r="G165" s="609"/>
      <c r="H165" s="603"/>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8"/>
        <v>0</v>
      </c>
      <c r="AE165" s="629">
        <f t="shared" si="9"/>
        <v>0</v>
      </c>
      <c r="AF165" s="628">
        <f t="shared" si="10"/>
        <v>0</v>
      </c>
      <c r="AG165" s="43"/>
    </row>
    <row r="166" spans="1:57" hidden="1">
      <c r="A166" s="555"/>
      <c r="B166" s="623"/>
      <c r="C166" s="607"/>
      <c r="D166" s="609"/>
      <c r="E166" s="608"/>
      <c r="F166" s="609"/>
      <c r="G166" s="609"/>
      <c r="H166" s="603"/>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8"/>
        <v>0</v>
      </c>
      <c r="AE166" s="629">
        <f t="shared" si="9"/>
        <v>0</v>
      </c>
      <c r="AF166" s="628">
        <f t="shared" si="10"/>
        <v>0</v>
      </c>
      <c r="AG166" s="43">
        <f>IF(AF166=0,0,"ERROR HERE - CHECK NUMBER IS CORRECTLY EXTENDED")</f>
        <v>0</v>
      </c>
      <c r="AH166" s="7">
        <f t="shared" ref="AH166:AH174" si="11">IF(OR(ISERROR(+H166/($D166+$E166-$G166)*$G166+H166),LEFT(F166,1)="x"),0,+H166/($D166+$E166-$G166)*$G166+H166)</f>
        <v>0</v>
      </c>
      <c r="AI166" s="7">
        <f t="shared" ref="AI166:AI174" si="12">IF(OR(ISERROR(+I166/($D166+$E166-$G166)*$G166+I166),LEFT(G166,1)="x"),0,+I166/($D166+$E166-$G166)*$G166+I166)</f>
        <v>0</v>
      </c>
      <c r="AJ166" s="7">
        <f t="shared" ref="AJ166:AJ174" si="13">IF(OR(ISERROR(+J166/($D166+$E166-$G166)*$G166+J166),LEFT(H166,1)="x"),0,+J166/($D166+$E166-$G166)*$G166+J166)</f>
        <v>0</v>
      </c>
      <c r="AK166" s="7">
        <f t="shared" ref="AK166:AK174" si="14">IF(OR(ISERROR(+K166/($D166+$E166-$G166)*$G166+K166),LEFT(I166,1)="x"),0,+K166/($D166+$E166-$G166)*$G166+K166)</f>
        <v>0</v>
      </c>
      <c r="AL166" s="7">
        <f t="shared" ref="AL166:AL174" si="15">IF(OR(ISERROR(+L166/($D166+$E166-$G166)*$G166+L166),LEFT(J166,1)="x"),0,+L166/($D166+$E166-$G166)*$G166+L166)</f>
        <v>0</v>
      </c>
      <c r="AM166" s="7">
        <f t="shared" ref="AM166:AM174" si="16">IF(OR(ISERROR(+M166/($D166+$E166-$G166)*$G166+M166),LEFT(K166,1)="x"),0,+M166/($D166+$E166-$G166)*$G166+M166)</f>
        <v>0</v>
      </c>
      <c r="AN166" s="7">
        <f t="shared" ref="AN166:AN174" si="17">IF(OR(ISERROR(+N166/($D166+$E166-$G166)*$G166+N166),LEFT(L166,1)="x"),0,+N166/($D166+$E166-$G166)*$G166+N166)</f>
        <v>0</v>
      </c>
      <c r="AO166" s="7">
        <f t="shared" ref="AO166:AO174" si="18">IF(OR(ISERROR(+O166/($D166+$E166-$G166)*$G166+O166),LEFT(M166,1)="x"),0,+O166/($D166+$E166-$G166)*$G166+O166)</f>
        <v>0</v>
      </c>
      <c r="AP166" s="7">
        <f t="shared" ref="AP166:AP174" si="19">IF(OR(ISERROR(+P166/($D166+$E166-$G166)*$G166+P166),LEFT(N166,1)="x"),0,+P166/($D166+$E166-$G166)*$G166+P166)</f>
        <v>0</v>
      </c>
      <c r="AQ166" s="7">
        <f t="shared" ref="AQ166:AQ174" si="20">IF(OR(ISERROR(+Q166/($D166+$E166-$G166)*$G166+Q166),LEFT(O166,1)="x"),0,+Q166/($D166+$E166-$G166)*$G166+Q166)</f>
        <v>0</v>
      </c>
      <c r="AR166" s="7">
        <f t="shared" ref="AR166:AR174" si="21">IF(OR(ISERROR(+R166/($D166+$E166-$G166)*$G166+R166),LEFT(P166,1)="x"),0,+R166/($D166+$E166-$G166)*$G166+R166)</f>
        <v>0</v>
      </c>
      <c r="AS166" s="7">
        <f t="shared" ref="AS166:AS174" si="22">IF(OR(ISERROR(+S166/($D166+$E166-$G166)*$G166+S166),LEFT(Q166,1)="x"),0,+S166/($D166+$E166-$G166)*$G166+S166)</f>
        <v>0</v>
      </c>
      <c r="AT166" s="7">
        <f t="shared" ref="AT166:AT174" si="23">IF(OR(ISERROR(+T166/($D166+$E166-$G166)*$G166+T166),LEFT(R166,1)="x"),0,+T166/($D166+$E166-$G166)*$G166+T166)</f>
        <v>0</v>
      </c>
      <c r="AU166" s="7">
        <f t="shared" ref="AU166:AU174" si="24">IF(OR(ISERROR(+U166/($D166+$E166-$G166)*$G166+U166),LEFT(S166,1)="x"),0,+U166/($D166+$E166-$G166)*$G166+U166)</f>
        <v>0</v>
      </c>
      <c r="AV166" s="7">
        <f t="shared" ref="AV166:AV174" si="25">IF(OR(ISERROR(+V166/($D166+$E166-$G166)*$G166+V166),LEFT(T166,1)="x"),0,+V166/($D166+$E166-$G166)*$G166+V166)</f>
        <v>0</v>
      </c>
      <c r="AW166" s="7">
        <f t="shared" ref="AW166:AW174" si="26">IF(OR(ISERROR(+W166/($D166+$E166-$G166)*$G166+W166),LEFT(U166,1)="x"),0,+W166/($D166+$E166-$G166)*$G166+W166)</f>
        <v>0</v>
      </c>
      <c r="AX166" s="7">
        <f t="shared" ref="AX166:AX174" si="27">IF(OR(ISERROR(+X166/($D166+$E166-$G166)*$G166+X166),LEFT(V166,1)="x"),0,+X166/($D166+$E166-$G166)*$G166+X166)</f>
        <v>0</v>
      </c>
      <c r="AY166" s="7">
        <f t="shared" ref="AY166:AY174" si="28">IF(OR(ISERROR(+Y166/($D166+$E166-$G166)*$G166+Y166),LEFT(W166,1)="x"),0,+Y166/($D166+$E166-$G166)*$G166+Y166)</f>
        <v>0</v>
      </c>
      <c r="AZ166" s="7">
        <f t="shared" ref="AZ166:AZ174" si="29">IF(OR(ISERROR(+Z166/($D166+$E166-$G166)*$G166+Z166),LEFT(X166,1)="x"),0,+Z166/($D166+$E166-$G166)*$G166+Z166)</f>
        <v>0</v>
      </c>
      <c r="BA166" s="7">
        <f t="shared" ref="BA166:BA174" si="30">IF(OR(ISERROR(+AA166/($D166+$E166-$G166)*$G166+AA166),LEFT(Y166,1)="x"),0,+AA166/($D166+$E166-$G166)*$G166+AA166)</f>
        <v>0</v>
      </c>
      <c r="BB166" s="7">
        <f t="shared" ref="BB166:BB174" si="31">IF(OR(ISERROR(+AB166/($D166+$E166-$G166)*$G166+AB166),LEFT(Z166,1)="x"),0,+AB166/($D166+$E166-$G166)*$G166+AB166)</f>
        <v>0</v>
      </c>
      <c r="BC166" s="7">
        <f>IF(OR(ISERROR(+#REF!/($D166+$E166-$G166)*$G166+#REF!),LEFT(AA166,1)="x"),0,+#REF!/($D166+$E166-$G166)*$G166+#REF!)</f>
        <v>0</v>
      </c>
      <c r="BD166" s="7">
        <f>IF(OR(ISERROR(+#REF!/($D166+$E166-$G166)*$G166+#REF!),LEFT(AB166,1)="x"),0,+#REF!/($D166+$E166-$G166)*$G166+#REF!)</f>
        <v>0</v>
      </c>
      <c r="BE166" s="7" t="e">
        <f>IF(OR(ISERROR(+AC166/($D166+$E166-$G166)*$G166+AC166),LEFT(#REF!,1)="x"),0,+AC166/($D166+$E166-$G166)*$G166+AC166)</f>
        <v>#REF!</v>
      </c>
    </row>
    <row r="167" spans="1:57" hidden="1">
      <c r="A167" s="555"/>
      <c r="B167" s="623"/>
      <c r="C167" s="607"/>
      <c r="D167" s="609"/>
      <c r="E167" s="608"/>
      <c r="F167" s="609"/>
      <c r="G167" s="609"/>
      <c r="H167" s="603"/>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8"/>
        <v>0</v>
      </c>
      <c r="AE167" s="629">
        <f t="shared" si="9"/>
        <v>0</v>
      </c>
      <c r="AF167" s="628">
        <f t="shared" si="10"/>
        <v>0</v>
      </c>
      <c r="AG167" s="43">
        <f t="shared" ref="AG167:AG196" si="32">IF(AF167=0,0,"ERROR HERE")</f>
        <v>0</v>
      </c>
      <c r="AH167" s="7">
        <f t="shared" si="11"/>
        <v>0</v>
      </c>
      <c r="AI167" s="7">
        <f t="shared" si="12"/>
        <v>0</v>
      </c>
      <c r="AJ167" s="7">
        <f t="shared" si="13"/>
        <v>0</v>
      </c>
      <c r="AK167" s="7">
        <f t="shared" si="14"/>
        <v>0</v>
      </c>
      <c r="AL167" s="7">
        <f t="shared" si="15"/>
        <v>0</v>
      </c>
      <c r="AM167" s="7">
        <f t="shared" si="16"/>
        <v>0</v>
      </c>
      <c r="AN167" s="7">
        <f t="shared" si="17"/>
        <v>0</v>
      </c>
      <c r="AO167" s="7">
        <f t="shared" si="18"/>
        <v>0</v>
      </c>
      <c r="AP167" s="7">
        <f t="shared" si="19"/>
        <v>0</v>
      </c>
      <c r="AQ167" s="7">
        <f t="shared" si="20"/>
        <v>0</v>
      </c>
      <c r="AR167" s="7">
        <f t="shared" si="21"/>
        <v>0</v>
      </c>
      <c r="AS167" s="7">
        <f t="shared" si="22"/>
        <v>0</v>
      </c>
      <c r="AT167" s="7">
        <f t="shared" si="23"/>
        <v>0</v>
      </c>
      <c r="AU167" s="7">
        <f t="shared" si="24"/>
        <v>0</v>
      </c>
      <c r="AV167" s="7">
        <f t="shared" si="25"/>
        <v>0</v>
      </c>
      <c r="AW167" s="7">
        <f t="shared" si="26"/>
        <v>0</v>
      </c>
      <c r="AX167" s="7">
        <f t="shared" si="27"/>
        <v>0</v>
      </c>
      <c r="AY167" s="7">
        <f t="shared" si="28"/>
        <v>0</v>
      </c>
      <c r="AZ167" s="7">
        <f t="shared" si="29"/>
        <v>0</v>
      </c>
      <c r="BA167" s="7">
        <f t="shared" si="30"/>
        <v>0</v>
      </c>
      <c r="BB167" s="7">
        <f t="shared" si="31"/>
        <v>0</v>
      </c>
      <c r="BC167" s="7">
        <f>IF(OR(ISERROR(+#REF!/($D167+$E167-$G167)*$G167+#REF!),LEFT(AA167,1)="x"),0,+#REF!/($D167+$E167-$G167)*$G167+#REF!)</f>
        <v>0</v>
      </c>
      <c r="BD167" s="7">
        <f>IF(OR(ISERROR(+#REF!/($D167+$E167-$G167)*$G167+#REF!),LEFT(AB167,1)="x"),0,+#REF!/($D167+$E167-$G167)*$G167+#REF!)</f>
        <v>0</v>
      </c>
      <c r="BE167" s="7" t="e">
        <f>IF(OR(ISERROR(+AC167/($D167+$E167-$G167)*$G167+AC167),LEFT(#REF!,1)="x"),0,+AC167/($D167+$E167-$G167)*$G167+AC167)</f>
        <v>#REF!</v>
      </c>
    </row>
    <row r="168" spans="1:57" hidden="1">
      <c r="A168" s="555"/>
      <c r="B168" s="623"/>
      <c r="C168" s="607"/>
      <c r="D168" s="609"/>
      <c r="E168" s="608"/>
      <c r="F168" s="609"/>
      <c r="G168" s="609"/>
      <c r="H168" s="603"/>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8"/>
        <v>0</v>
      </c>
      <c r="AE168" s="629">
        <f t="shared" si="9"/>
        <v>0</v>
      </c>
      <c r="AF168" s="628">
        <f t="shared" si="10"/>
        <v>0</v>
      </c>
      <c r="AG168" s="43">
        <f t="shared" si="32"/>
        <v>0</v>
      </c>
      <c r="AH168" s="7">
        <f t="shared" si="11"/>
        <v>0</v>
      </c>
      <c r="AI168" s="7">
        <f t="shared" si="12"/>
        <v>0</v>
      </c>
      <c r="AJ168" s="7">
        <f t="shared" si="13"/>
        <v>0</v>
      </c>
      <c r="AK168" s="7">
        <f t="shared" si="14"/>
        <v>0</v>
      </c>
      <c r="AL168" s="7">
        <f t="shared" si="15"/>
        <v>0</v>
      </c>
      <c r="AM168" s="7">
        <f t="shared" si="16"/>
        <v>0</v>
      </c>
      <c r="AN168" s="7">
        <f t="shared" si="17"/>
        <v>0</v>
      </c>
      <c r="AO168" s="7">
        <f t="shared" si="18"/>
        <v>0</v>
      </c>
      <c r="AP168" s="7">
        <f t="shared" si="19"/>
        <v>0</v>
      </c>
      <c r="AQ168" s="7">
        <f t="shared" si="20"/>
        <v>0</v>
      </c>
      <c r="AR168" s="7">
        <f t="shared" si="21"/>
        <v>0</v>
      </c>
      <c r="AS168" s="7">
        <f t="shared" si="22"/>
        <v>0</v>
      </c>
      <c r="AT168" s="7">
        <f t="shared" si="23"/>
        <v>0</v>
      </c>
      <c r="AU168" s="7">
        <f t="shared" si="24"/>
        <v>0</v>
      </c>
      <c r="AV168" s="7">
        <f t="shared" si="25"/>
        <v>0</v>
      </c>
      <c r="AW168" s="7">
        <f t="shared" si="26"/>
        <v>0</v>
      </c>
      <c r="AX168" s="7">
        <f t="shared" si="27"/>
        <v>0</v>
      </c>
      <c r="AY168" s="7">
        <f t="shared" si="28"/>
        <v>0</v>
      </c>
      <c r="AZ168" s="7">
        <f t="shared" si="29"/>
        <v>0</v>
      </c>
      <c r="BA168" s="7">
        <f t="shared" si="30"/>
        <v>0</v>
      </c>
      <c r="BB168" s="7">
        <f t="shared" si="31"/>
        <v>0</v>
      </c>
      <c r="BC168" s="7">
        <f>IF(OR(ISERROR(+#REF!/($D168+$E168-$G168)*$G168+#REF!),LEFT(AA168,1)="x"),0,+#REF!/($D168+$E168-$G168)*$G168+#REF!)</f>
        <v>0</v>
      </c>
      <c r="BD168" s="7">
        <f>IF(OR(ISERROR(+#REF!/($D168+$E168-$G168)*$G168+#REF!),LEFT(AB168,1)="x"),0,+#REF!/($D168+$E168-$G168)*$G168+#REF!)</f>
        <v>0</v>
      </c>
      <c r="BE168" s="7" t="e">
        <f>IF(OR(ISERROR(+AC168/($D168+$E168-$G168)*$G168+AC168),LEFT(#REF!,1)="x"),0,+AC168/($D168+$E168-$G168)*$G168+AC168)</f>
        <v>#REF!</v>
      </c>
    </row>
    <row r="169" spans="1:57" hidden="1">
      <c r="A169" s="555"/>
      <c r="B169" s="623"/>
      <c r="C169" s="607"/>
      <c r="D169" s="609"/>
      <c r="E169" s="608"/>
      <c r="F169" s="609"/>
      <c r="G169" s="609"/>
      <c r="H169" s="603"/>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8"/>
        <v>0</v>
      </c>
      <c r="AE169" s="629">
        <f t="shared" si="9"/>
        <v>0</v>
      </c>
      <c r="AF169" s="628">
        <f t="shared" si="10"/>
        <v>0</v>
      </c>
      <c r="AG169" s="43">
        <f t="shared" si="32"/>
        <v>0</v>
      </c>
      <c r="AH169" s="7">
        <f t="shared" si="11"/>
        <v>0</v>
      </c>
      <c r="AI169" s="7">
        <f t="shared" si="12"/>
        <v>0</v>
      </c>
      <c r="AJ169" s="7">
        <f t="shared" si="13"/>
        <v>0</v>
      </c>
      <c r="AK169" s="7">
        <f t="shared" si="14"/>
        <v>0</v>
      </c>
      <c r="AL169" s="7">
        <f t="shared" si="15"/>
        <v>0</v>
      </c>
      <c r="AM169" s="7">
        <f t="shared" si="16"/>
        <v>0</v>
      </c>
      <c r="AN169" s="7">
        <f t="shared" si="17"/>
        <v>0</v>
      </c>
      <c r="AO169" s="7">
        <f t="shared" si="18"/>
        <v>0</v>
      </c>
      <c r="AP169" s="7">
        <f t="shared" si="19"/>
        <v>0</v>
      </c>
      <c r="AQ169" s="7">
        <f t="shared" si="20"/>
        <v>0</v>
      </c>
      <c r="AR169" s="7">
        <f t="shared" si="21"/>
        <v>0</v>
      </c>
      <c r="AS169" s="7">
        <f t="shared" si="22"/>
        <v>0</v>
      </c>
      <c r="AT169" s="7">
        <f t="shared" si="23"/>
        <v>0</v>
      </c>
      <c r="AU169" s="7">
        <f t="shared" si="24"/>
        <v>0</v>
      </c>
      <c r="AV169" s="7">
        <f t="shared" si="25"/>
        <v>0</v>
      </c>
      <c r="AW169" s="7">
        <f t="shared" si="26"/>
        <v>0</v>
      </c>
      <c r="AX169" s="7">
        <f t="shared" si="27"/>
        <v>0</v>
      </c>
      <c r="AY169" s="7">
        <f t="shared" si="28"/>
        <v>0</v>
      </c>
      <c r="AZ169" s="7">
        <f t="shared" si="29"/>
        <v>0</v>
      </c>
      <c r="BA169" s="7">
        <f t="shared" si="30"/>
        <v>0</v>
      </c>
      <c r="BB169" s="7">
        <f t="shared" si="31"/>
        <v>0</v>
      </c>
      <c r="BC169" s="7">
        <f>IF(OR(ISERROR(+#REF!/($D169+$E169-$G169)*$G169+#REF!),LEFT(AA169,1)="x"),0,+#REF!/($D169+$E169-$G169)*$G169+#REF!)</f>
        <v>0</v>
      </c>
      <c r="BD169" s="7">
        <f>IF(OR(ISERROR(+#REF!/($D169+$E169-$G169)*$G169+#REF!),LEFT(AB169,1)="x"),0,+#REF!/($D169+$E169-$G169)*$G169+#REF!)</f>
        <v>0</v>
      </c>
      <c r="BE169" s="7" t="e">
        <f>IF(OR(ISERROR(+AC169/($D169+$E169-$G169)*$G169+AC169),LEFT(#REF!,1)="x"),0,+AC169/($D169+$E169-$G169)*$G169+AC169)</f>
        <v>#REF!</v>
      </c>
    </row>
    <row r="170" spans="1:57" hidden="1">
      <c r="A170" s="555"/>
      <c r="B170" s="623"/>
      <c r="C170" s="607"/>
      <c r="D170" s="609"/>
      <c r="E170" s="608"/>
      <c r="F170" s="609"/>
      <c r="G170" s="609"/>
      <c r="H170" s="603"/>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8"/>
        <v>0</v>
      </c>
      <c r="AE170" s="629">
        <f t="shared" si="9"/>
        <v>0</v>
      </c>
      <c r="AF170" s="628">
        <f t="shared" si="10"/>
        <v>0</v>
      </c>
      <c r="AG170" s="43">
        <f t="shared" si="32"/>
        <v>0</v>
      </c>
      <c r="AH170" s="7">
        <f t="shared" si="11"/>
        <v>0</v>
      </c>
      <c r="AI170" s="7">
        <f t="shared" si="12"/>
        <v>0</v>
      </c>
      <c r="AJ170" s="7">
        <f t="shared" si="13"/>
        <v>0</v>
      </c>
      <c r="AK170" s="7">
        <f t="shared" si="14"/>
        <v>0</v>
      </c>
      <c r="AL170" s="7">
        <f t="shared" si="15"/>
        <v>0</v>
      </c>
      <c r="AM170" s="7">
        <f t="shared" si="16"/>
        <v>0</v>
      </c>
      <c r="AN170" s="7">
        <f t="shared" si="17"/>
        <v>0</v>
      </c>
      <c r="AO170" s="7">
        <f t="shared" si="18"/>
        <v>0</v>
      </c>
      <c r="AP170" s="7">
        <f t="shared" si="19"/>
        <v>0</v>
      </c>
      <c r="AQ170" s="7">
        <f t="shared" si="20"/>
        <v>0</v>
      </c>
      <c r="AR170" s="7">
        <f t="shared" si="21"/>
        <v>0</v>
      </c>
      <c r="AS170" s="7">
        <f t="shared" si="22"/>
        <v>0</v>
      </c>
      <c r="AT170" s="7">
        <f t="shared" si="23"/>
        <v>0</v>
      </c>
      <c r="AU170" s="7">
        <f t="shared" si="24"/>
        <v>0</v>
      </c>
      <c r="AV170" s="7">
        <f t="shared" si="25"/>
        <v>0</v>
      </c>
      <c r="AW170" s="7">
        <f t="shared" si="26"/>
        <v>0</v>
      </c>
      <c r="AX170" s="7">
        <f t="shared" si="27"/>
        <v>0</v>
      </c>
      <c r="AY170" s="7">
        <f t="shared" si="28"/>
        <v>0</v>
      </c>
      <c r="AZ170" s="7">
        <f t="shared" si="29"/>
        <v>0</v>
      </c>
      <c r="BA170" s="7">
        <f t="shared" si="30"/>
        <v>0</v>
      </c>
      <c r="BB170" s="7">
        <f t="shared" si="31"/>
        <v>0</v>
      </c>
      <c r="BC170" s="7">
        <f>IF(OR(ISERROR(+#REF!/($D170+$E170-$G170)*$G170+#REF!),LEFT(AA170,1)="x"),0,+#REF!/($D170+$E170-$G170)*$G170+#REF!)</f>
        <v>0</v>
      </c>
      <c r="BD170" s="7">
        <f>IF(OR(ISERROR(+#REF!/($D170+$E170-$G170)*$G170+#REF!),LEFT(AB170,1)="x"),0,+#REF!/($D170+$E170-$G170)*$G170+#REF!)</f>
        <v>0</v>
      </c>
      <c r="BE170" s="7" t="e">
        <f>IF(OR(ISERROR(+AC170/($D170+$E170-$G170)*$G170+AC170),LEFT(#REF!,1)="x"),0,+AC170/($D170+$E170-$G170)*$G170+AC170)</f>
        <v>#REF!</v>
      </c>
    </row>
    <row r="171" spans="1:57" hidden="1">
      <c r="A171" s="555"/>
      <c r="B171" s="623"/>
      <c r="C171" s="607"/>
      <c r="D171" s="609"/>
      <c r="E171" s="608"/>
      <c r="F171" s="609"/>
      <c r="G171" s="609"/>
      <c r="H171" s="603"/>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8"/>
        <v>0</v>
      </c>
      <c r="AE171" s="629">
        <f t="shared" si="9"/>
        <v>0</v>
      </c>
      <c r="AF171" s="628">
        <f t="shared" si="10"/>
        <v>0</v>
      </c>
      <c r="AG171" s="43">
        <f t="shared" si="32"/>
        <v>0</v>
      </c>
      <c r="AH171" s="7">
        <f t="shared" si="11"/>
        <v>0</v>
      </c>
      <c r="AI171" s="7">
        <f t="shared" si="12"/>
        <v>0</v>
      </c>
      <c r="AJ171" s="7">
        <f t="shared" si="13"/>
        <v>0</v>
      </c>
      <c r="AK171" s="7">
        <f t="shared" si="14"/>
        <v>0</v>
      </c>
      <c r="AL171" s="7">
        <f t="shared" si="15"/>
        <v>0</v>
      </c>
      <c r="AM171" s="7">
        <f t="shared" si="16"/>
        <v>0</v>
      </c>
      <c r="AN171" s="7">
        <f t="shared" si="17"/>
        <v>0</v>
      </c>
      <c r="AO171" s="7">
        <f t="shared" si="18"/>
        <v>0</v>
      </c>
      <c r="AP171" s="7">
        <f t="shared" si="19"/>
        <v>0</v>
      </c>
      <c r="AQ171" s="7">
        <f t="shared" si="20"/>
        <v>0</v>
      </c>
      <c r="AR171" s="7">
        <f t="shared" si="21"/>
        <v>0</v>
      </c>
      <c r="AS171" s="7">
        <f t="shared" si="22"/>
        <v>0</v>
      </c>
      <c r="AT171" s="7">
        <f t="shared" si="23"/>
        <v>0</v>
      </c>
      <c r="AU171" s="7">
        <f t="shared" si="24"/>
        <v>0</v>
      </c>
      <c r="AV171" s="7">
        <f t="shared" si="25"/>
        <v>0</v>
      </c>
      <c r="AW171" s="7">
        <f t="shared" si="26"/>
        <v>0</v>
      </c>
      <c r="AX171" s="7">
        <f t="shared" si="27"/>
        <v>0</v>
      </c>
      <c r="AY171" s="7">
        <f t="shared" si="28"/>
        <v>0</v>
      </c>
      <c r="AZ171" s="7">
        <f t="shared" si="29"/>
        <v>0</v>
      </c>
      <c r="BA171" s="7">
        <f t="shared" si="30"/>
        <v>0</v>
      </c>
      <c r="BB171" s="7">
        <f t="shared" si="31"/>
        <v>0</v>
      </c>
      <c r="BC171" s="7">
        <f>IF(OR(ISERROR(+#REF!/($D171+$E171-$G171)*$G171+#REF!),LEFT(AA171,1)="x"),0,+#REF!/($D171+$E171-$G171)*$G171+#REF!)</f>
        <v>0</v>
      </c>
      <c r="BD171" s="7">
        <f>IF(OR(ISERROR(+#REF!/($D171+$E171-$G171)*$G171+#REF!),LEFT(AB171,1)="x"),0,+#REF!/($D171+$E171-$G171)*$G171+#REF!)</f>
        <v>0</v>
      </c>
      <c r="BE171" s="7" t="e">
        <f>IF(OR(ISERROR(+AC171/($D171+$E171-$G171)*$G171+AC171),LEFT(#REF!,1)="x"),0,+AC171/($D171+$E171-$G171)*$G171+AC171)</f>
        <v>#REF!</v>
      </c>
    </row>
    <row r="172" spans="1:57" hidden="1">
      <c r="A172" s="555"/>
      <c r="B172" s="623"/>
      <c r="C172" s="607"/>
      <c r="D172" s="609"/>
      <c r="E172" s="608"/>
      <c r="F172" s="609"/>
      <c r="G172" s="609"/>
      <c r="H172" s="603"/>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8"/>
        <v>0</v>
      </c>
      <c r="AE172" s="629">
        <f t="shared" si="9"/>
        <v>0</v>
      </c>
      <c r="AF172" s="628">
        <f t="shared" si="10"/>
        <v>0</v>
      </c>
      <c r="AG172" s="43">
        <f t="shared" si="32"/>
        <v>0</v>
      </c>
      <c r="AH172" s="7">
        <f t="shared" si="11"/>
        <v>0</v>
      </c>
      <c r="AI172" s="7">
        <f t="shared" si="12"/>
        <v>0</v>
      </c>
      <c r="AJ172" s="7">
        <f t="shared" si="13"/>
        <v>0</v>
      </c>
      <c r="AK172" s="7">
        <f t="shared" si="14"/>
        <v>0</v>
      </c>
      <c r="AL172" s="7">
        <f t="shared" si="15"/>
        <v>0</v>
      </c>
      <c r="AM172" s="7">
        <f t="shared" si="16"/>
        <v>0</v>
      </c>
      <c r="AN172" s="7">
        <f t="shared" si="17"/>
        <v>0</v>
      </c>
      <c r="AO172" s="7">
        <f t="shared" si="18"/>
        <v>0</v>
      </c>
      <c r="AP172" s="7">
        <f t="shared" si="19"/>
        <v>0</v>
      </c>
      <c r="AQ172" s="7">
        <f t="shared" si="20"/>
        <v>0</v>
      </c>
      <c r="AR172" s="7">
        <f t="shared" si="21"/>
        <v>0</v>
      </c>
      <c r="AS172" s="7">
        <f t="shared" si="22"/>
        <v>0</v>
      </c>
      <c r="AT172" s="7">
        <f t="shared" si="23"/>
        <v>0</v>
      </c>
      <c r="AU172" s="7">
        <f t="shared" si="24"/>
        <v>0</v>
      </c>
      <c r="AV172" s="7">
        <f t="shared" si="25"/>
        <v>0</v>
      </c>
      <c r="AW172" s="7">
        <f t="shared" si="26"/>
        <v>0</v>
      </c>
      <c r="AX172" s="7">
        <f t="shared" si="27"/>
        <v>0</v>
      </c>
      <c r="AY172" s="7">
        <f t="shared" si="28"/>
        <v>0</v>
      </c>
      <c r="AZ172" s="7">
        <f t="shared" si="29"/>
        <v>0</v>
      </c>
      <c r="BA172" s="7">
        <f t="shared" si="30"/>
        <v>0</v>
      </c>
      <c r="BB172" s="7">
        <f t="shared" si="31"/>
        <v>0</v>
      </c>
      <c r="BC172" s="7">
        <f>IF(OR(ISERROR(+#REF!/($D172+$E172-$G172)*$G172+#REF!),LEFT(AA172,1)="x"),0,+#REF!/($D172+$E172-$G172)*$G172+#REF!)</f>
        <v>0</v>
      </c>
      <c r="BD172" s="7">
        <f>IF(OR(ISERROR(+#REF!/($D172+$E172-$G172)*$G172+#REF!),LEFT(AB172,1)="x"),0,+#REF!/($D172+$E172-$G172)*$G172+#REF!)</f>
        <v>0</v>
      </c>
      <c r="BE172" s="7" t="e">
        <f>IF(OR(ISERROR(+AC172/($D172+$E172-$G172)*$G172+AC172),LEFT(#REF!,1)="x"),0,+AC172/($D172+$E172-$G172)*$G172+AC172)</f>
        <v>#REF!</v>
      </c>
    </row>
    <row r="173" spans="1:57" hidden="1">
      <c r="A173" s="555"/>
      <c r="B173" s="623"/>
      <c r="C173" s="607"/>
      <c r="D173" s="609"/>
      <c r="E173" s="608"/>
      <c r="F173" s="609"/>
      <c r="G173" s="609"/>
      <c r="H173" s="603"/>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8"/>
        <v>0</v>
      </c>
      <c r="AE173" s="629">
        <f t="shared" si="9"/>
        <v>0</v>
      </c>
      <c r="AF173" s="628">
        <f t="shared" si="10"/>
        <v>0</v>
      </c>
      <c r="AG173" s="43">
        <f t="shared" si="32"/>
        <v>0</v>
      </c>
      <c r="AH173" s="7">
        <f t="shared" si="11"/>
        <v>0</v>
      </c>
      <c r="AI173" s="7">
        <f t="shared" si="12"/>
        <v>0</v>
      </c>
      <c r="AJ173" s="7">
        <f t="shared" si="13"/>
        <v>0</v>
      </c>
      <c r="AK173" s="7">
        <f t="shared" si="14"/>
        <v>0</v>
      </c>
      <c r="AL173" s="7">
        <f t="shared" si="15"/>
        <v>0</v>
      </c>
      <c r="AM173" s="7">
        <f t="shared" si="16"/>
        <v>0</v>
      </c>
      <c r="AN173" s="7">
        <f t="shared" si="17"/>
        <v>0</v>
      </c>
      <c r="AO173" s="7">
        <f t="shared" si="18"/>
        <v>0</v>
      </c>
      <c r="AP173" s="7">
        <f t="shared" si="19"/>
        <v>0</v>
      </c>
      <c r="AQ173" s="7">
        <f t="shared" si="20"/>
        <v>0</v>
      </c>
      <c r="AR173" s="7">
        <f t="shared" si="21"/>
        <v>0</v>
      </c>
      <c r="AS173" s="7">
        <f t="shared" si="22"/>
        <v>0</v>
      </c>
      <c r="AT173" s="7">
        <f t="shared" si="23"/>
        <v>0</v>
      </c>
      <c r="AU173" s="7">
        <f t="shared" si="24"/>
        <v>0</v>
      </c>
      <c r="AV173" s="7">
        <f t="shared" si="25"/>
        <v>0</v>
      </c>
      <c r="AW173" s="7">
        <f t="shared" si="26"/>
        <v>0</v>
      </c>
      <c r="AX173" s="7">
        <f t="shared" si="27"/>
        <v>0</v>
      </c>
      <c r="AY173" s="7">
        <f t="shared" si="28"/>
        <v>0</v>
      </c>
      <c r="AZ173" s="7">
        <f t="shared" si="29"/>
        <v>0</v>
      </c>
      <c r="BA173" s="7">
        <f t="shared" si="30"/>
        <v>0</v>
      </c>
      <c r="BB173" s="7">
        <f t="shared" si="31"/>
        <v>0</v>
      </c>
      <c r="BC173" s="7">
        <f>IF(OR(ISERROR(+#REF!/($D173+$E173-$G173)*$G173+#REF!),LEFT(AA173,1)="x"),0,+#REF!/($D173+$E173-$G173)*$G173+#REF!)</f>
        <v>0</v>
      </c>
      <c r="BD173" s="7">
        <f>IF(OR(ISERROR(+#REF!/($D173+$E173-$G173)*$G173+#REF!),LEFT(AB173,1)="x"),0,+#REF!/($D173+$E173-$G173)*$G173+#REF!)</f>
        <v>0</v>
      </c>
      <c r="BE173" s="7" t="e">
        <f>IF(OR(ISERROR(+AC173/($D173+$E173-$G173)*$G173+AC173),LEFT(#REF!,1)="x"),0,+AC173/($D173+$E173-$G173)*$G173+AC173)</f>
        <v>#REF!</v>
      </c>
    </row>
    <row r="174" spans="1:57" hidden="1">
      <c r="A174" s="555"/>
      <c r="B174" s="623"/>
      <c r="C174" s="607"/>
      <c r="D174" s="609"/>
      <c r="E174" s="608"/>
      <c r="F174" s="609"/>
      <c r="G174" s="609"/>
      <c r="H174" s="603"/>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8"/>
        <v>0</v>
      </c>
      <c r="AE174" s="629">
        <f t="shared" si="9"/>
        <v>0</v>
      </c>
      <c r="AF174" s="628">
        <f t="shared" si="10"/>
        <v>0</v>
      </c>
      <c r="AG174" s="43">
        <f t="shared" si="32"/>
        <v>0</v>
      </c>
      <c r="AH174" s="7">
        <f t="shared" si="11"/>
        <v>0</v>
      </c>
      <c r="AI174" s="7">
        <f t="shared" si="12"/>
        <v>0</v>
      </c>
      <c r="AJ174" s="7">
        <f t="shared" si="13"/>
        <v>0</v>
      </c>
      <c r="AK174" s="7">
        <f t="shared" si="14"/>
        <v>0</v>
      </c>
      <c r="AL174" s="7">
        <f t="shared" si="15"/>
        <v>0</v>
      </c>
      <c r="AM174" s="7">
        <f t="shared" si="16"/>
        <v>0</v>
      </c>
      <c r="AN174" s="7">
        <f t="shared" si="17"/>
        <v>0</v>
      </c>
      <c r="AO174" s="7">
        <f t="shared" si="18"/>
        <v>0</v>
      </c>
      <c r="AP174" s="7">
        <f t="shared" si="19"/>
        <v>0</v>
      </c>
      <c r="AQ174" s="7">
        <f t="shared" si="20"/>
        <v>0</v>
      </c>
      <c r="AR174" s="7">
        <f t="shared" si="21"/>
        <v>0</v>
      </c>
      <c r="AS174" s="7">
        <f t="shared" si="22"/>
        <v>0</v>
      </c>
      <c r="AT174" s="7">
        <f t="shared" si="23"/>
        <v>0</v>
      </c>
      <c r="AU174" s="7">
        <f t="shared" si="24"/>
        <v>0</v>
      </c>
      <c r="AV174" s="7">
        <f t="shared" si="25"/>
        <v>0</v>
      </c>
      <c r="AW174" s="7">
        <f t="shared" si="26"/>
        <v>0</v>
      </c>
      <c r="AX174" s="7">
        <f t="shared" si="27"/>
        <v>0</v>
      </c>
      <c r="AY174" s="7">
        <f t="shared" si="28"/>
        <v>0</v>
      </c>
      <c r="AZ174" s="7">
        <f t="shared" si="29"/>
        <v>0</v>
      </c>
      <c r="BA174" s="7">
        <f t="shared" si="30"/>
        <v>0</v>
      </c>
      <c r="BB174" s="7">
        <f t="shared" si="31"/>
        <v>0</v>
      </c>
      <c r="BC174" s="7">
        <f>IF(OR(ISERROR(+#REF!/($D174+$E174-$G174)*$G174+#REF!),LEFT(AA174,1)="x"),0,+#REF!/($D174+$E174-$G174)*$G174+#REF!)</f>
        <v>0</v>
      </c>
      <c r="BD174" s="7">
        <f>IF(OR(ISERROR(+#REF!/($D174+$E174-$G174)*$G174+#REF!),LEFT(AB174,1)="x"),0,+#REF!/($D174+$E174-$G174)*$G174+#REF!)</f>
        <v>0</v>
      </c>
      <c r="BE174" s="7" t="e">
        <f>IF(OR(ISERROR(+AC174/($D174+$E174-$G174)*$G174+AC174),LEFT(#REF!,1)="x"),0,+AC174/($D174+$E174-$G174)*$G174+AC174)</f>
        <v>#REF!</v>
      </c>
    </row>
    <row r="175" spans="1:57" hidden="1">
      <c r="A175" s="555"/>
      <c r="B175" s="623"/>
      <c r="C175" s="607"/>
      <c r="D175" s="609"/>
      <c r="E175" s="608"/>
      <c r="F175" s="609"/>
      <c r="G175" s="609"/>
      <c r="H175" s="603"/>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8"/>
        <v>0</v>
      </c>
      <c r="AE175" s="629">
        <f t="shared" si="9"/>
        <v>0</v>
      </c>
      <c r="AF175" s="628">
        <f t="shared" si="10"/>
        <v>0</v>
      </c>
      <c r="AG175" s="43"/>
    </row>
    <row r="176" spans="1:57" hidden="1">
      <c r="A176" s="555"/>
      <c r="B176" s="623"/>
      <c r="C176" s="607"/>
      <c r="D176" s="609"/>
      <c r="E176" s="608"/>
      <c r="F176" s="609"/>
      <c r="G176" s="609"/>
      <c r="H176" s="603"/>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8"/>
        <v>0</v>
      </c>
      <c r="AE176" s="629">
        <f t="shared" si="9"/>
        <v>0</v>
      </c>
      <c r="AF176" s="628">
        <f t="shared" si="10"/>
        <v>0</v>
      </c>
      <c r="AG176" s="43"/>
    </row>
    <row r="177" spans="1:57" hidden="1">
      <c r="A177" s="555"/>
      <c r="B177" s="623"/>
      <c r="C177" s="607"/>
      <c r="D177" s="609"/>
      <c r="E177" s="608"/>
      <c r="F177" s="609"/>
      <c r="G177" s="609"/>
      <c r="H177" s="603"/>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8"/>
        <v>0</v>
      </c>
      <c r="AE177" s="629">
        <f t="shared" si="9"/>
        <v>0</v>
      </c>
      <c r="AF177" s="628">
        <f t="shared" si="10"/>
        <v>0</v>
      </c>
      <c r="AG177" s="43"/>
    </row>
    <row r="178" spans="1:57" hidden="1">
      <c r="A178" s="555"/>
      <c r="B178" s="623"/>
      <c r="C178" s="607"/>
      <c r="D178" s="609"/>
      <c r="E178" s="608"/>
      <c r="F178" s="609"/>
      <c r="G178" s="609"/>
      <c r="H178" s="603"/>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8"/>
        <v>0</v>
      </c>
      <c r="AE178" s="629">
        <f t="shared" si="9"/>
        <v>0</v>
      </c>
      <c r="AF178" s="628">
        <f t="shared" si="10"/>
        <v>0</v>
      </c>
      <c r="AG178" s="43"/>
    </row>
    <row r="179" spans="1:57" hidden="1">
      <c r="A179" s="555"/>
      <c r="B179" s="623"/>
      <c r="C179" s="607"/>
      <c r="D179" s="609"/>
      <c r="E179" s="608"/>
      <c r="F179" s="609"/>
      <c r="G179" s="609"/>
      <c r="H179" s="603"/>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8"/>
        <v>0</v>
      </c>
      <c r="AE179" s="629">
        <f t="shared" si="9"/>
        <v>0</v>
      </c>
      <c r="AF179" s="628">
        <f t="shared" si="10"/>
        <v>0</v>
      </c>
      <c r="AG179" s="43"/>
    </row>
    <row r="180" spans="1:57" hidden="1">
      <c r="A180" s="555"/>
      <c r="B180" s="623"/>
      <c r="C180" s="607"/>
      <c r="D180" s="609"/>
      <c r="E180" s="608"/>
      <c r="F180" s="609"/>
      <c r="G180" s="609"/>
      <c r="H180" s="603"/>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8"/>
        <v>0</v>
      </c>
      <c r="AE180" s="629">
        <f t="shared" si="9"/>
        <v>0</v>
      </c>
      <c r="AF180" s="628">
        <f t="shared" si="10"/>
        <v>0</v>
      </c>
      <c r="AG180" s="43"/>
    </row>
    <row r="181" spans="1:57" hidden="1">
      <c r="A181" s="555"/>
      <c r="B181" s="623"/>
      <c r="C181" s="607"/>
      <c r="D181" s="609"/>
      <c r="E181" s="608"/>
      <c r="F181" s="609"/>
      <c r="G181" s="609"/>
      <c r="H181" s="603"/>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8"/>
        <v>0</v>
      </c>
      <c r="AE181" s="629">
        <f t="shared" si="9"/>
        <v>0</v>
      </c>
      <c r="AF181" s="628">
        <f t="shared" si="10"/>
        <v>0</v>
      </c>
      <c r="AG181" s="43"/>
    </row>
    <row r="182" spans="1:57" hidden="1">
      <c r="A182" s="555"/>
      <c r="B182" s="623"/>
      <c r="C182" s="607"/>
      <c r="D182" s="609"/>
      <c r="E182" s="608"/>
      <c r="F182" s="609"/>
      <c r="G182" s="609"/>
      <c r="H182" s="603"/>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8"/>
        <v>0</v>
      </c>
      <c r="AE182" s="629">
        <f t="shared" si="9"/>
        <v>0</v>
      </c>
      <c r="AF182" s="628">
        <f t="shared" si="10"/>
        <v>0</v>
      </c>
      <c r="AG182" s="43"/>
    </row>
    <row r="183" spans="1:57" hidden="1">
      <c r="A183" s="555"/>
      <c r="B183" s="623"/>
      <c r="C183" s="607"/>
      <c r="D183" s="609"/>
      <c r="E183" s="608"/>
      <c r="F183" s="609"/>
      <c r="G183" s="609"/>
      <c r="H183" s="603"/>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8"/>
        <v>0</v>
      </c>
      <c r="AE183" s="629">
        <f t="shared" si="9"/>
        <v>0</v>
      </c>
      <c r="AF183" s="628">
        <f t="shared" si="10"/>
        <v>0</v>
      </c>
      <c r="AG183" s="43"/>
    </row>
    <row r="184" spans="1:57" hidden="1">
      <c r="A184" s="555"/>
      <c r="B184" s="623"/>
      <c r="C184" s="607"/>
      <c r="D184" s="609"/>
      <c r="E184" s="608"/>
      <c r="F184" s="609"/>
      <c r="G184" s="609"/>
      <c r="H184" s="603"/>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8"/>
        <v>0</v>
      </c>
      <c r="AE184" s="629">
        <f t="shared" si="9"/>
        <v>0</v>
      </c>
      <c r="AF184" s="628">
        <f t="shared" si="10"/>
        <v>0</v>
      </c>
      <c r="AG184" s="43"/>
    </row>
    <row r="185" spans="1:57" hidden="1">
      <c r="A185" s="555"/>
      <c r="B185" s="623"/>
      <c r="C185" s="607"/>
      <c r="D185" s="609"/>
      <c r="E185" s="608"/>
      <c r="F185" s="609"/>
      <c r="G185" s="609"/>
      <c r="H185" s="603"/>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8"/>
        <v>0</v>
      </c>
      <c r="AE185" s="629">
        <f t="shared" si="9"/>
        <v>0</v>
      </c>
      <c r="AF185" s="628">
        <f t="shared" si="10"/>
        <v>0</v>
      </c>
      <c r="AG185" s="43"/>
    </row>
    <row r="186" spans="1:57" hidden="1">
      <c r="A186" s="555"/>
      <c r="B186" s="623"/>
      <c r="C186" s="607"/>
      <c r="D186" s="609"/>
      <c r="E186" s="608"/>
      <c r="F186" s="609"/>
      <c r="G186" s="609"/>
      <c r="H186" s="603"/>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8"/>
        <v>0</v>
      </c>
      <c r="AE186" s="629">
        <f t="shared" si="9"/>
        <v>0</v>
      </c>
      <c r="AF186" s="628">
        <f t="shared" si="10"/>
        <v>0</v>
      </c>
      <c r="AG186" s="43"/>
    </row>
    <row r="187" spans="1:57" hidden="1">
      <c r="A187" s="555"/>
      <c r="B187" s="623"/>
      <c r="C187" s="607"/>
      <c r="D187" s="609"/>
      <c r="E187" s="608"/>
      <c r="F187" s="609"/>
      <c r="G187" s="609"/>
      <c r="H187" s="603"/>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8"/>
        <v>0</v>
      </c>
      <c r="AE187" s="629">
        <f t="shared" si="9"/>
        <v>0</v>
      </c>
      <c r="AF187" s="628">
        <f t="shared" si="10"/>
        <v>0</v>
      </c>
      <c r="AG187" s="43"/>
    </row>
    <row r="188" spans="1:57" hidden="1">
      <c r="A188" s="555"/>
      <c r="B188" s="623"/>
      <c r="C188" s="607"/>
      <c r="D188" s="609"/>
      <c r="E188" s="608"/>
      <c r="F188" s="609"/>
      <c r="G188" s="609"/>
      <c r="H188" s="603"/>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8"/>
        <v>0</v>
      </c>
      <c r="AE188" s="629">
        <f t="shared" si="9"/>
        <v>0</v>
      </c>
      <c r="AF188" s="628">
        <f t="shared" si="10"/>
        <v>0</v>
      </c>
      <c r="AG188" s="43"/>
    </row>
    <row r="189" spans="1:57" hidden="1">
      <c r="A189" s="555"/>
      <c r="B189" s="623"/>
      <c r="C189" s="607"/>
      <c r="D189" s="609"/>
      <c r="E189" s="608"/>
      <c r="F189" s="609"/>
      <c r="G189" s="609"/>
      <c r="H189" s="603"/>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8"/>
        <v>0</v>
      </c>
      <c r="AE189" s="629">
        <f t="shared" si="9"/>
        <v>0</v>
      </c>
      <c r="AF189" s="628">
        <f t="shared" si="10"/>
        <v>0</v>
      </c>
      <c r="AG189" s="43"/>
    </row>
    <row r="190" spans="1:57" hidden="1">
      <c r="A190" s="555"/>
      <c r="B190" s="623"/>
      <c r="C190" s="607"/>
      <c r="D190" s="609"/>
      <c r="E190" s="608"/>
      <c r="F190" s="609"/>
      <c r="G190" s="609"/>
      <c r="H190" s="603"/>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8"/>
        <v>0</v>
      </c>
      <c r="AE190" s="629">
        <f t="shared" si="9"/>
        <v>0</v>
      </c>
      <c r="AF190" s="628">
        <f t="shared" si="10"/>
        <v>0</v>
      </c>
      <c r="AG190" s="43">
        <f t="shared" si="32"/>
        <v>0</v>
      </c>
      <c r="AH190" s="7">
        <f t="shared" ref="AH190:AQ192" si="33">IF(OR(ISERROR(+H190/($D190+$E190-$G190)*$G190+H190),LEFT(F190,1)="x"),0,+H190/($D190+$E190-$G190)*$G190+H190)</f>
        <v>0</v>
      </c>
      <c r="AI190" s="7">
        <f t="shared" si="33"/>
        <v>0</v>
      </c>
      <c r="AJ190" s="7">
        <f t="shared" si="33"/>
        <v>0</v>
      </c>
      <c r="AK190" s="7">
        <f t="shared" si="33"/>
        <v>0</v>
      </c>
      <c r="AL190" s="7">
        <f t="shared" si="33"/>
        <v>0</v>
      </c>
      <c r="AM190" s="7">
        <f t="shared" si="33"/>
        <v>0</v>
      </c>
      <c r="AN190" s="7">
        <f t="shared" si="33"/>
        <v>0</v>
      </c>
      <c r="AO190" s="7">
        <f t="shared" si="33"/>
        <v>0</v>
      </c>
      <c r="AP190" s="7">
        <f t="shared" si="33"/>
        <v>0</v>
      </c>
      <c r="AQ190" s="7">
        <f t="shared" si="33"/>
        <v>0</v>
      </c>
      <c r="AR190" s="7">
        <f t="shared" ref="AR190:BA192" si="34">IF(OR(ISERROR(+R190/($D190+$E190-$G190)*$G190+R190),LEFT(P190,1)="x"),0,+R190/($D190+$E190-$G190)*$G190+R190)</f>
        <v>0</v>
      </c>
      <c r="AS190" s="7">
        <f t="shared" si="34"/>
        <v>0</v>
      </c>
      <c r="AT190" s="7">
        <f t="shared" si="34"/>
        <v>0</v>
      </c>
      <c r="AU190" s="7">
        <f t="shared" si="34"/>
        <v>0</v>
      </c>
      <c r="AV190" s="7">
        <f t="shared" si="34"/>
        <v>0</v>
      </c>
      <c r="AW190" s="7">
        <f t="shared" si="34"/>
        <v>0</v>
      </c>
      <c r="AX190" s="7">
        <f t="shared" si="34"/>
        <v>0</v>
      </c>
      <c r="AY190" s="7">
        <f t="shared" si="34"/>
        <v>0</v>
      </c>
      <c r="AZ190" s="7">
        <f t="shared" si="34"/>
        <v>0</v>
      </c>
      <c r="BA190" s="7">
        <f t="shared" si="34"/>
        <v>0</v>
      </c>
      <c r="BB190" s="7">
        <f>IF(OR(ISERROR(+AB190/($D190+$E190-$G190)*$G190+AB190),LEFT(Z190,1)="x"),0,+AB190/($D190+$E190-$G190)*$G190+AB190)</f>
        <v>0</v>
      </c>
      <c r="BC190" s="7">
        <f>IF(OR(ISERROR(+#REF!/($D190+$E190-$G190)*$G190+#REF!),LEFT(AA190,1)="x"),0,+#REF!/($D190+$E190-$G190)*$G190+#REF!)</f>
        <v>0</v>
      </c>
      <c r="BD190" s="7">
        <f>IF(OR(ISERROR(+#REF!/($D190+$E190-$G190)*$G190+#REF!),LEFT(AB190,1)="x"),0,+#REF!/($D190+$E190-$G190)*$G190+#REF!)</f>
        <v>0</v>
      </c>
      <c r="BE190" s="7" t="e">
        <f>IF(OR(ISERROR(+AC190/($D190+$E190-$G190)*$G190+AC190),LEFT(#REF!,1)="x"),0,+AC190/($D190+$E190-$G190)*$G190+AC190)</f>
        <v>#REF!</v>
      </c>
    </row>
    <row r="191" spans="1:57" hidden="1">
      <c r="A191" s="555"/>
      <c r="B191" s="623"/>
      <c r="C191" s="607"/>
      <c r="D191" s="609"/>
      <c r="E191" s="608"/>
      <c r="F191" s="609"/>
      <c r="G191" s="609"/>
      <c r="H191" s="603"/>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8"/>
        <v>0</v>
      </c>
      <c r="AE191" s="629">
        <f t="shared" si="9"/>
        <v>0</v>
      </c>
      <c r="AF191" s="628">
        <f t="shared" si="10"/>
        <v>0</v>
      </c>
      <c r="AG191" s="43">
        <f t="shared" si="32"/>
        <v>0</v>
      </c>
      <c r="AH191" s="7">
        <f t="shared" si="33"/>
        <v>0</v>
      </c>
      <c r="AI191" s="7">
        <f t="shared" si="33"/>
        <v>0</v>
      </c>
      <c r="AJ191" s="7">
        <f t="shared" si="33"/>
        <v>0</v>
      </c>
      <c r="AK191" s="7">
        <f t="shared" si="33"/>
        <v>0</v>
      </c>
      <c r="AL191" s="7">
        <f t="shared" si="33"/>
        <v>0</v>
      </c>
      <c r="AM191" s="7">
        <f t="shared" si="33"/>
        <v>0</v>
      </c>
      <c r="AN191" s="7">
        <f t="shared" si="33"/>
        <v>0</v>
      </c>
      <c r="AO191" s="7">
        <f t="shared" si="33"/>
        <v>0</v>
      </c>
      <c r="AP191" s="7">
        <f t="shared" si="33"/>
        <v>0</v>
      </c>
      <c r="AQ191" s="7">
        <f t="shared" si="33"/>
        <v>0</v>
      </c>
      <c r="AR191" s="7">
        <f t="shared" si="34"/>
        <v>0</v>
      </c>
      <c r="AS191" s="7">
        <f t="shared" si="34"/>
        <v>0</v>
      </c>
      <c r="AT191" s="7">
        <f t="shared" si="34"/>
        <v>0</v>
      </c>
      <c r="AU191" s="7">
        <f t="shared" si="34"/>
        <v>0</v>
      </c>
      <c r="AV191" s="7">
        <f t="shared" si="34"/>
        <v>0</v>
      </c>
      <c r="AW191" s="7">
        <f t="shared" si="34"/>
        <v>0</v>
      </c>
      <c r="AX191" s="7">
        <f t="shared" si="34"/>
        <v>0</v>
      </c>
      <c r="AY191" s="7">
        <f t="shared" si="34"/>
        <v>0</v>
      </c>
      <c r="AZ191" s="7">
        <f t="shared" si="34"/>
        <v>0</v>
      </c>
      <c r="BA191" s="7">
        <f t="shared" si="34"/>
        <v>0</v>
      </c>
      <c r="BB191" s="7">
        <f>IF(OR(ISERROR(+AB191/($D191+$E191-$G191)*$G191+AB191),LEFT(Z191,1)="x"),0,+AB191/($D191+$E191-$G191)*$G191+AB191)</f>
        <v>0</v>
      </c>
      <c r="BC191" s="7">
        <f>IF(OR(ISERROR(+#REF!/($D191+$E191-$G191)*$G191+#REF!),LEFT(AA191,1)="x"),0,+#REF!/($D191+$E191-$G191)*$G191+#REF!)</f>
        <v>0</v>
      </c>
      <c r="BD191" s="7">
        <f>IF(OR(ISERROR(+#REF!/($D191+$E191-$G191)*$G191+#REF!),LEFT(AB191,1)="x"),0,+#REF!/($D191+$E191-$G191)*$G191+#REF!)</f>
        <v>0</v>
      </c>
      <c r="BE191" s="7" t="e">
        <f>IF(OR(ISERROR(+AC191/($D191+$E191-$G191)*$G191+AC191),LEFT(#REF!,1)="x"),0,+AC191/($D191+$E191-$G191)*$G191+AC191)</f>
        <v>#REF!</v>
      </c>
    </row>
    <row r="192" spans="1:57" hidden="1">
      <c r="A192" s="555"/>
      <c r="B192" s="623"/>
      <c r="C192" s="607"/>
      <c r="D192" s="609"/>
      <c r="E192" s="608"/>
      <c r="F192" s="609"/>
      <c r="G192" s="609"/>
      <c r="H192" s="603"/>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8"/>
        <v>0</v>
      </c>
      <c r="AE192" s="629">
        <f t="shared" si="9"/>
        <v>0</v>
      </c>
      <c r="AF192" s="628">
        <f t="shared" si="10"/>
        <v>0</v>
      </c>
      <c r="AG192" s="43">
        <f t="shared" si="32"/>
        <v>0</v>
      </c>
      <c r="AH192" s="7">
        <f t="shared" si="33"/>
        <v>0</v>
      </c>
      <c r="AI192" s="7">
        <f t="shared" si="33"/>
        <v>0</v>
      </c>
      <c r="AJ192" s="7">
        <f t="shared" si="33"/>
        <v>0</v>
      </c>
      <c r="AK192" s="7">
        <f t="shared" si="33"/>
        <v>0</v>
      </c>
      <c r="AL192" s="7">
        <f t="shared" si="33"/>
        <v>0</v>
      </c>
      <c r="AM192" s="7">
        <f t="shared" si="33"/>
        <v>0</v>
      </c>
      <c r="AN192" s="7">
        <f t="shared" si="33"/>
        <v>0</v>
      </c>
      <c r="AO192" s="7">
        <f t="shared" si="33"/>
        <v>0</v>
      </c>
      <c r="AP192" s="7">
        <f t="shared" si="33"/>
        <v>0</v>
      </c>
      <c r="AQ192" s="7">
        <f t="shared" si="33"/>
        <v>0</v>
      </c>
      <c r="AR192" s="7">
        <f t="shared" si="34"/>
        <v>0</v>
      </c>
      <c r="AS192" s="7">
        <f t="shared" si="34"/>
        <v>0</v>
      </c>
      <c r="AT192" s="7">
        <f t="shared" si="34"/>
        <v>0</v>
      </c>
      <c r="AU192" s="7">
        <f t="shared" si="34"/>
        <v>0</v>
      </c>
      <c r="AV192" s="7">
        <f t="shared" si="34"/>
        <v>0</v>
      </c>
      <c r="AW192" s="7">
        <f t="shared" si="34"/>
        <v>0</v>
      </c>
      <c r="AX192" s="7">
        <f t="shared" si="34"/>
        <v>0</v>
      </c>
      <c r="AY192" s="7">
        <f t="shared" si="34"/>
        <v>0</v>
      </c>
      <c r="AZ192" s="7">
        <f t="shared" si="34"/>
        <v>0</v>
      </c>
      <c r="BA192" s="7">
        <f t="shared" si="34"/>
        <v>0</v>
      </c>
      <c r="BB192" s="7">
        <f>IF(OR(ISERROR(+AB192/($D192+$E192-$G192)*$G192+AB192),LEFT(Z192,1)="x"),0,+AB192/($D192+$E192-$G192)*$G192+AB192)</f>
        <v>0</v>
      </c>
      <c r="BC192" s="7">
        <f>IF(OR(ISERROR(+#REF!/($D192+$E192-$G192)*$G192+#REF!),LEFT(AA192,1)="x"),0,+#REF!/($D192+$E192-$G192)*$G192+#REF!)</f>
        <v>0</v>
      </c>
      <c r="BD192" s="7">
        <f>IF(OR(ISERROR(+#REF!/($D192+$E192-$G192)*$G192+#REF!),LEFT(AB192,1)="x"),0,+#REF!/($D192+$E192-$G192)*$G192+#REF!)</f>
        <v>0</v>
      </c>
      <c r="BE192" s="7" t="e">
        <f>IF(OR(ISERROR(+AC192/($D192+$E192-$G192)*$G192+AC192),LEFT(#REF!,1)="x"),0,+AC192/($D192+$E192-$G192)*$G192+AC192)</f>
        <v>#REF!</v>
      </c>
    </row>
    <row r="193" spans="1:57" hidden="1">
      <c r="A193" s="555"/>
      <c r="B193" s="623"/>
      <c r="C193" s="607"/>
      <c r="D193" s="609"/>
      <c r="E193" s="608"/>
      <c r="F193" s="609"/>
      <c r="G193" s="60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8"/>
        <v>0</v>
      </c>
      <c r="AE193" s="629">
        <f t="shared" si="9"/>
        <v>0</v>
      </c>
      <c r="AF193" s="628">
        <f t="shared" si="10"/>
        <v>0</v>
      </c>
      <c r="AG193" s="43">
        <f t="shared" si="32"/>
        <v>0</v>
      </c>
      <c r="AH193" s="7">
        <f t="shared" ref="AH193:AV193" si="35">IF(OR(ISERROR(+H193/($D193+$E193-$G193)*$G193+H193),LEFT(F193,1)="x"),0,+H193/($D193+$E193-$G193)*$G193+H193)</f>
        <v>0</v>
      </c>
      <c r="AI193" s="7">
        <f t="shared" si="35"/>
        <v>0</v>
      </c>
      <c r="AJ193" s="7">
        <f t="shared" si="35"/>
        <v>0</v>
      </c>
      <c r="AK193" s="7">
        <f t="shared" si="35"/>
        <v>0</v>
      </c>
      <c r="AL193" s="7">
        <f t="shared" si="35"/>
        <v>0</v>
      </c>
      <c r="AM193" s="7">
        <f t="shared" si="35"/>
        <v>0</v>
      </c>
      <c r="AN193" s="7">
        <f t="shared" si="35"/>
        <v>0</v>
      </c>
      <c r="AO193" s="7">
        <f t="shared" si="35"/>
        <v>0</v>
      </c>
      <c r="AP193" s="7">
        <f t="shared" si="35"/>
        <v>0</v>
      </c>
      <c r="AQ193" s="7">
        <f t="shared" si="35"/>
        <v>0</v>
      </c>
      <c r="AR193" s="7">
        <f t="shared" si="35"/>
        <v>0</v>
      </c>
      <c r="AS193" s="7">
        <f t="shared" si="35"/>
        <v>0</v>
      </c>
      <c r="AT193" s="7">
        <f t="shared" si="35"/>
        <v>0</v>
      </c>
      <c r="AU193" s="7">
        <f t="shared" si="35"/>
        <v>0</v>
      </c>
      <c r="AV193" s="7">
        <f t="shared" si="35"/>
        <v>0</v>
      </c>
      <c r="AW193" s="7">
        <f t="shared" ref="AW193:AW201" si="36">IF(OR(ISERROR(+W193/($D193+$E193-$G193)*$G193+W193),LEFT(U193,1)="x"),0,+W193/($D193+$E193-$G193)*$G193+W193)</f>
        <v>0</v>
      </c>
      <c r="AX193" s="7">
        <f t="shared" ref="AX193:AX201" si="37">IF(OR(ISERROR(+X193/($D193+$E193-$G193)*$G193+X193),LEFT(V193,1)="x"),0,+X193/($D193+$E193-$G193)*$G193+X193)</f>
        <v>0</v>
      </c>
      <c r="AY193" s="7">
        <f t="shared" ref="AY193:AY201" si="38">IF(OR(ISERROR(+Y193/($D193+$E193-$G193)*$G193+Y193),LEFT(W193,1)="x"),0,+Y193/($D193+$E193-$G193)*$G193+Y193)</f>
        <v>0</v>
      </c>
      <c r="AZ193" s="7">
        <f t="shared" ref="AZ193:AZ201" si="39">IF(OR(ISERROR(+Z193/($D193+$E193-$G193)*$G193+Z193),LEFT(X193,1)="x"),0,+Z193/($D193+$E193-$G193)*$G193+Z193)</f>
        <v>0</v>
      </c>
      <c r="BA193" s="7">
        <f t="shared" ref="BA193:BA201" si="40">IF(OR(ISERROR(+AA193/($D193+$E193-$G193)*$G193+AA193),LEFT(Y193,1)="x"),0,+AA193/($D193+$E193-$G193)*$G193+AA193)</f>
        <v>0</v>
      </c>
      <c r="BB193" s="7">
        <f t="shared" ref="BB193:BB201" si="41">IF(OR(ISERROR(+AB193/($D193+$E193-$G193)*$G193+AB193),LEFT(Z193,1)="x"),0,+AB193/($D193+$E193-$G193)*$G193+AB193)</f>
        <v>0</v>
      </c>
      <c r="BC193" s="7">
        <f>IF(OR(ISERROR(+#REF!/($D193+$E193-$G193)*$G193+#REF!),LEFT(AA193,1)="x"),0,+#REF!/($D193+$E193-$G193)*$G193+#REF!)</f>
        <v>0</v>
      </c>
      <c r="BD193" s="7">
        <f>IF(OR(ISERROR(+#REF!/($D193+$E193-$G193)*$G193+#REF!),LEFT(AB193,1)="x"),0,+#REF!/($D193+$E193-$G193)*$G193+#REF!)</f>
        <v>0</v>
      </c>
      <c r="BE193" s="7" t="e">
        <f>IF(OR(ISERROR(+AC193/($D193+$E193-$G193)*$G193+AC193),LEFT(#REF!,1)="x"),0,+AC193/($D193+$E193-$G193)*$G193+AC193)</f>
        <v>#REF!</v>
      </c>
    </row>
    <row r="194" spans="1:57" hidden="1">
      <c r="A194" s="555"/>
      <c r="B194" s="623"/>
      <c r="C194" s="607"/>
      <c r="D194" s="609"/>
      <c r="E194" s="608"/>
      <c r="F194" s="609"/>
      <c r="G194" s="60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8"/>
        <v>0</v>
      </c>
      <c r="AE194" s="629">
        <f t="shared" si="9"/>
        <v>0</v>
      </c>
      <c r="AF194" s="628">
        <f t="shared" si="10"/>
        <v>0</v>
      </c>
      <c r="AG194" s="43">
        <f t="shared" si="32"/>
        <v>0</v>
      </c>
      <c r="AH194" s="7">
        <f t="shared" ref="AH194:AV197" si="42">IF(OR(ISERROR(+H194/($D194+$E194-$G194)*$G194+H194),LEFT(F194,1)="x"),0,+H194/($D194+$E194-$G194)*$G194+H194)</f>
        <v>0</v>
      </c>
      <c r="AI194" s="7">
        <f t="shared" si="42"/>
        <v>0</v>
      </c>
      <c r="AJ194" s="7">
        <f t="shared" si="42"/>
        <v>0</v>
      </c>
      <c r="AK194" s="7">
        <f t="shared" si="42"/>
        <v>0</v>
      </c>
      <c r="AL194" s="7">
        <f t="shared" si="42"/>
        <v>0</v>
      </c>
      <c r="AM194" s="7">
        <f t="shared" si="42"/>
        <v>0</v>
      </c>
      <c r="AN194" s="7">
        <f t="shared" si="42"/>
        <v>0</v>
      </c>
      <c r="AO194" s="7">
        <f t="shared" si="42"/>
        <v>0</v>
      </c>
      <c r="AP194" s="7">
        <f t="shared" si="42"/>
        <v>0</v>
      </c>
      <c r="AQ194" s="7">
        <f t="shared" si="42"/>
        <v>0</v>
      </c>
      <c r="AR194" s="7">
        <f t="shared" si="42"/>
        <v>0</v>
      </c>
      <c r="AS194" s="7">
        <f t="shared" si="42"/>
        <v>0</v>
      </c>
      <c r="AT194" s="7">
        <f t="shared" si="42"/>
        <v>0</v>
      </c>
      <c r="AU194" s="7">
        <f t="shared" si="42"/>
        <v>0</v>
      </c>
      <c r="AV194" s="7">
        <f t="shared" si="42"/>
        <v>0</v>
      </c>
      <c r="AW194" s="7">
        <f t="shared" si="36"/>
        <v>0</v>
      </c>
      <c r="AX194" s="7">
        <f t="shared" si="37"/>
        <v>0</v>
      </c>
      <c r="AY194" s="7">
        <f t="shared" si="38"/>
        <v>0</v>
      </c>
      <c r="AZ194" s="7">
        <f t="shared" si="39"/>
        <v>0</v>
      </c>
      <c r="BA194" s="7">
        <f t="shared" si="40"/>
        <v>0</v>
      </c>
      <c r="BB194" s="7">
        <f t="shared" si="41"/>
        <v>0</v>
      </c>
      <c r="BC194" s="7">
        <f>IF(OR(ISERROR(+#REF!/($D194+$E194-$G194)*$G194+#REF!),LEFT(AA194,1)="x"),0,+#REF!/($D194+$E194-$G194)*$G194+#REF!)</f>
        <v>0</v>
      </c>
      <c r="BD194" s="7">
        <f>IF(OR(ISERROR(+#REF!/($D194+$E194-$G194)*$G194+#REF!),LEFT(AB194,1)="x"),0,+#REF!/($D194+$E194-$G194)*$G194+#REF!)</f>
        <v>0</v>
      </c>
      <c r="BE194" s="7" t="e">
        <f>IF(OR(ISERROR(+AC194/($D194+$E194-$G194)*$G194+AC194),LEFT(#REF!,1)="x"),0,+AC194/($D194+$E194-$G194)*$G194+AC194)</f>
        <v>#REF!</v>
      </c>
    </row>
    <row r="195" spans="1:57" hidden="1">
      <c r="A195" s="555"/>
      <c r="B195" s="623"/>
      <c r="C195" s="607"/>
      <c r="D195" s="609"/>
      <c r="E195" s="608"/>
      <c r="F195" s="609"/>
      <c r="G195" s="60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8"/>
        <v>0</v>
      </c>
      <c r="AE195" s="629">
        <f t="shared" si="9"/>
        <v>0</v>
      </c>
      <c r="AF195" s="628">
        <f t="shared" si="10"/>
        <v>0</v>
      </c>
      <c r="AG195" s="43">
        <f t="shared" si="32"/>
        <v>0</v>
      </c>
      <c r="AH195" s="7">
        <f t="shared" si="42"/>
        <v>0</v>
      </c>
      <c r="AI195" s="7">
        <f t="shared" si="42"/>
        <v>0</v>
      </c>
      <c r="AJ195" s="7">
        <f t="shared" si="42"/>
        <v>0</v>
      </c>
      <c r="AK195" s="7">
        <f t="shared" si="42"/>
        <v>0</v>
      </c>
      <c r="AL195" s="7">
        <f t="shared" si="42"/>
        <v>0</v>
      </c>
      <c r="AM195" s="7">
        <f t="shared" si="42"/>
        <v>0</v>
      </c>
      <c r="AN195" s="7">
        <f t="shared" si="42"/>
        <v>0</v>
      </c>
      <c r="AO195" s="7">
        <f t="shared" si="42"/>
        <v>0</v>
      </c>
      <c r="AP195" s="7">
        <f t="shared" si="42"/>
        <v>0</v>
      </c>
      <c r="AQ195" s="7">
        <f t="shared" si="42"/>
        <v>0</v>
      </c>
      <c r="AR195" s="7">
        <f t="shared" si="42"/>
        <v>0</v>
      </c>
      <c r="AS195" s="7">
        <f t="shared" si="42"/>
        <v>0</v>
      </c>
      <c r="AT195" s="7">
        <f t="shared" si="42"/>
        <v>0</v>
      </c>
      <c r="AU195" s="7">
        <f t="shared" si="42"/>
        <v>0</v>
      </c>
      <c r="AV195" s="7">
        <f t="shared" si="42"/>
        <v>0</v>
      </c>
      <c r="AW195" s="7">
        <f t="shared" si="36"/>
        <v>0</v>
      </c>
      <c r="AX195" s="7">
        <f t="shared" si="37"/>
        <v>0</v>
      </c>
      <c r="AY195" s="7">
        <f t="shared" si="38"/>
        <v>0</v>
      </c>
      <c r="AZ195" s="7">
        <f t="shared" si="39"/>
        <v>0</v>
      </c>
      <c r="BA195" s="7">
        <f t="shared" si="40"/>
        <v>0</v>
      </c>
      <c r="BB195" s="7">
        <f t="shared" si="41"/>
        <v>0</v>
      </c>
      <c r="BC195" s="7">
        <f>IF(OR(ISERROR(+#REF!/($D195+$E195-$G195)*$G195+#REF!),LEFT(AA195,1)="x"),0,+#REF!/($D195+$E195-$G195)*$G195+#REF!)</f>
        <v>0</v>
      </c>
      <c r="BD195" s="7">
        <f>IF(OR(ISERROR(+#REF!/($D195+$E195-$G195)*$G195+#REF!),LEFT(AB195,1)="x"),0,+#REF!/($D195+$E195-$G195)*$G195+#REF!)</f>
        <v>0</v>
      </c>
      <c r="BE195" s="7" t="e">
        <f>IF(OR(ISERROR(+AC195/($D195+$E195-$G195)*$G195+AC195),LEFT(#REF!,1)="x"),0,+AC195/($D195+$E195-$G195)*$G195+AC195)</f>
        <v>#REF!</v>
      </c>
    </row>
    <row r="196" spans="1:57" ht="13.5" hidden="1" thickBot="1">
      <c r="A196" s="556"/>
      <c r="B196" s="624"/>
      <c r="C196" s="611"/>
      <c r="D196" s="610"/>
      <c r="E196" s="612"/>
      <c r="F196" s="610"/>
      <c r="G196" s="610"/>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8"/>
        <v>0</v>
      </c>
      <c r="AE196" s="629">
        <f t="shared" si="9"/>
        <v>0</v>
      </c>
      <c r="AF196" s="628">
        <f t="shared" si="10"/>
        <v>0</v>
      </c>
      <c r="AG196" s="43">
        <f t="shared" si="32"/>
        <v>0</v>
      </c>
      <c r="AH196" s="7">
        <f t="shared" si="42"/>
        <v>0</v>
      </c>
      <c r="AI196" s="7">
        <f t="shared" si="42"/>
        <v>0</v>
      </c>
      <c r="AJ196" s="7">
        <f t="shared" si="42"/>
        <v>0</v>
      </c>
      <c r="AK196" s="7">
        <f t="shared" si="42"/>
        <v>0</v>
      </c>
      <c r="AL196" s="7">
        <f t="shared" si="42"/>
        <v>0</v>
      </c>
      <c r="AM196" s="7">
        <f t="shared" si="42"/>
        <v>0</v>
      </c>
      <c r="AN196" s="7">
        <f t="shared" si="42"/>
        <v>0</v>
      </c>
      <c r="AO196" s="7">
        <f t="shared" si="42"/>
        <v>0</v>
      </c>
      <c r="AP196" s="7">
        <f t="shared" si="42"/>
        <v>0</v>
      </c>
      <c r="AQ196" s="7">
        <f t="shared" si="42"/>
        <v>0</v>
      </c>
      <c r="AR196" s="7">
        <f t="shared" si="42"/>
        <v>0</v>
      </c>
      <c r="AS196" s="7">
        <f t="shared" si="42"/>
        <v>0</v>
      </c>
      <c r="AT196" s="7">
        <f t="shared" si="42"/>
        <v>0</v>
      </c>
      <c r="AU196" s="7">
        <f t="shared" si="42"/>
        <v>0</v>
      </c>
      <c r="AV196" s="7">
        <f t="shared" si="42"/>
        <v>0</v>
      </c>
      <c r="AW196" s="7">
        <f t="shared" si="36"/>
        <v>0</v>
      </c>
      <c r="AX196" s="7">
        <f t="shared" si="37"/>
        <v>0</v>
      </c>
      <c r="AY196" s="7">
        <f t="shared" si="38"/>
        <v>0</v>
      </c>
      <c r="AZ196" s="7">
        <f t="shared" si="39"/>
        <v>0</v>
      </c>
      <c r="BA196" s="7">
        <f t="shared" si="40"/>
        <v>0</v>
      </c>
      <c r="BB196" s="7">
        <f t="shared" si="41"/>
        <v>0</v>
      </c>
      <c r="BC196" s="7">
        <f>IF(OR(ISERROR(+#REF!/($D196+$E196-$G196)*$G196+#REF!),LEFT(AA196,1)="x"),0,+#REF!/($D196+$E196-$G196)*$G196+#REF!)</f>
        <v>0</v>
      </c>
      <c r="BD196" s="7">
        <f>IF(OR(ISERROR(+#REF!/($D196+$E196-$G196)*$G196+#REF!),LEFT(AB196,1)="x"),0,+#REF!/($D196+$E196-$G196)*$G196+#REF!)</f>
        <v>0</v>
      </c>
      <c r="BE196" s="7" t="e">
        <f>IF(OR(ISERROR(+AC196/($D196+$E196-$G196)*$G196+AC196),LEFT(#REF!,1)="x"),0,+AC196/($D196+$E196-$G196)*$G196+AC196)</f>
        <v>#REF!</v>
      </c>
    </row>
    <row r="197" spans="1:57" ht="14.25">
      <c r="A197" s="99" t="s">
        <v>20</v>
      </c>
      <c r="B197" s="100"/>
      <c r="C197" s="97" t="s">
        <v>26</v>
      </c>
      <c r="D197" s="92">
        <f t="shared" ref="D197:AC197" si="43">SUM(D80:D196)</f>
        <v>5893.7</v>
      </c>
      <c r="E197" s="92">
        <f t="shared" si="43"/>
        <v>645</v>
      </c>
      <c r="F197" s="208">
        <f t="shared" si="43"/>
        <v>0</v>
      </c>
      <c r="G197" s="92">
        <f t="shared" si="43"/>
        <v>0</v>
      </c>
      <c r="H197" s="92">
        <f t="shared" si="43"/>
        <v>125</v>
      </c>
      <c r="I197" s="92">
        <f t="shared" si="43"/>
        <v>164</v>
      </c>
      <c r="J197" s="92">
        <f t="shared" si="43"/>
        <v>65</v>
      </c>
      <c r="K197" s="92">
        <f t="shared" si="43"/>
        <v>0</v>
      </c>
      <c r="L197" s="92">
        <f t="shared" si="43"/>
        <v>1612</v>
      </c>
      <c r="M197" s="92">
        <f t="shared" si="43"/>
        <v>0</v>
      </c>
      <c r="N197" s="92">
        <f t="shared" si="43"/>
        <v>0</v>
      </c>
      <c r="O197" s="92">
        <f t="shared" si="43"/>
        <v>0</v>
      </c>
      <c r="P197" s="92">
        <f t="shared" si="43"/>
        <v>10</v>
      </c>
      <c r="Q197" s="92">
        <f t="shared" si="43"/>
        <v>0</v>
      </c>
      <c r="R197" s="92">
        <f t="shared" si="43"/>
        <v>65</v>
      </c>
      <c r="S197" s="92">
        <f t="shared" si="43"/>
        <v>86</v>
      </c>
      <c r="T197" s="92">
        <f t="shared" si="43"/>
        <v>85</v>
      </c>
      <c r="U197" s="92">
        <f t="shared" si="43"/>
        <v>138</v>
      </c>
      <c r="V197" s="92">
        <f t="shared" si="43"/>
        <v>5.5</v>
      </c>
      <c r="W197" s="92">
        <f t="shared" si="43"/>
        <v>45</v>
      </c>
      <c r="X197" s="92">
        <f t="shared" si="43"/>
        <v>0</v>
      </c>
      <c r="Y197" s="92">
        <f t="shared" si="43"/>
        <v>4138.2</v>
      </c>
      <c r="Z197" s="92">
        <f t="shared" si="43"/>
        <v>0</v>
      </c>
      <c r="AA197" s="92">
        <f t="shared" si="43"/>
        <v>0</v>
      </c>
      <c r="AB197" s="92">
        <f t="shared" si="43"/>
        <v>0</v>
      </c>
      <c r="AC197" s="208">
        <f t="shared" si="43"/>
        <v>0</v>
      </c>
      <c r="AF197" s="628"/>
      <c r="AH197" s="7">
        <f t="shared" si="42"/>
        <v>125</v>
      </c>
      <c r="AI197" s="7">
        <f t="shared" si="42"/>
        <v>164</v>
      </c>
      <c r="AJ197" s="7">
        <f t="shared" si="42"/>
        <v>65</v>
      </c>
      <c r="AK197" s="7">
        <f t="shared" si="42"/>
        <v>0</v>
      </c>
      <c r="AL197" s="7">
        <f t="shared" si="42"/>
        <v>1612</v>
      </c>
      <c r="AM197" s="7">
        <f t="shared" si="42"/>
        <v>0</v>
      </c>
      <c r="AN197" s="7">
        <f t="shared" si="42"/>
        <v>0</v>
      </c>
      <c r="AO197" s="7">
        <f t="shared" si="42"/>
        <v>0</v>
      </c>
      <c r="AP197" s="7">
        <f t="shared" si="42"/>
        <v>10</v>
      </c>
      <c r="AQ197" s="7">
        <f t="shared" si="42"/>
        <v>0</v>
      </c>
      <c r="AR197" s="7">
        <f t="shared" si="42"/>
        <v>65</v>
      </c>
      <c r="AS197" s="7">
        <f t="shared" si="42"/>
        <v>86</v>
      </c>
      <c r="AT197" s="7">
        <f t="shared" si="42"/>
        <v>85</v>
      </c>
      <c r="AU197" s="7">
        <f t="shared" si="42"/>
        <v>138</v>
      </c>
      <c r="AV197" s="7">
        <f t="shared" si="42"/>
        <v>5.5</v>
      </c>
      <c r="AW197" s="7">
        <f t="shared" si="36"/>
        <v>45</v>
      </c>
      <c r="AX197" s="7">
        <f t="shared" si="37"/>
        <v>0</v>
      </c>
      <c r="AY197" s="7">
        <f t="shared" si="38"/>
        <v>4138.2</v>
      </c>
      <c r="AZ197" s="7">
        <f t="shared" si="39"/>
        <v>0</v>
      </c>
      <c r="BA197" s="7">
        <f t="shared" si="40"/>
        <v>0</v>
      </c>
      <c r="BB197" s="7">
        <f t="shared" si="41"/>
        <v>0</v>
      </c>
      <c r="BC197" s="7">
        <f>IF(OR(ISERROR(+#REF!/($D197+$E197-$G197)*$G197+#REF!),LEFT(AA197,1)="x"),0,+#REF!/($D197+$E197-$G197)*$G197+#REF!)</f>
        <v>0</v>
      </c>
      <c r="BD197" s="7">
        <f>IF(OR(ISERROR(+AC197/($D197+$E197-$G197)*$G197+AC197),LEFT(Z197,1)="x"),0,+AC197/($D197+$E197-$G197)*$G197+AC197)</f>
        <v>0</v>
      </c>
    </row>
    <row r="198" spans="1:57" ht="13.5" thickBot="1">
      <c r="A198" s="50"/>
      <c r="B198" s="51"/>
      <c r="C198" s="39" t="s">
        <v>27</v>
      </c>
      <c r="D198" s="643">
        <f t="shared" ref="D198:AC198" si="44">SUM(D79:D196)</f>
        <v>225667.30000000005</v>
      </c>
      <c r="E198" s="643">
        <f t="shared" si="44"/>
        <v>531</v>
      </c>
      <c r="F198" s="644">
        <f t="shared" si="44"/>
        <v>0</v>
      </c>
      <c r="G198" s="643">
        <f t="shared" si="44"/>
        <v>0</v>
      </c>
      <c r="H198" s="643">
        <f t="shared" si="44"/>
        <v>2355</v>
      </c>
      <c r="I198" s="643">
        <f t="shared" si="44"/>
        <v>1816</v>
      </c>
      <c r="J198" s="643">
        <f t="shared" si="44"/>
        <v>565</v>
      </c>
      <c r="K198" s="643">
        <f t="shared" si="44"/>
        <v>0</v>
      </c>
      <c r="L198" s="643">
        <f t="shared" si="44"/>
        <v>20828</v>
      </c>
      <c r="M198" s="643">
        <f t="shared" si="44"/>
        <v>264.02999999999997</v>
      </c>
      <c r="N198" s="643">
        <f t="shared" si="44"/>
        <v>50000</v>
      </c>
      <c r="O198" s="643">
        <f t="shared" si="44"/>
        <v>0</v>
      </c>
      <c r="P198" s="643">
        <f t="shared" si="44"/>
        <v>190</v>
      </c>
      <c r="Q198" s="643">
        <f t="shared" si="44"/>
        <v>0</v>
      </c>
      <c r="R198" s="643">
        <f t="shared" si="44"/>
        <v>715</v>
      </c>
      <c r="S198" s="643">
        <f t="shared" si="44"/>
        <v>636</v>
      </c>
      <c r="T198" s="643">
        <f t="shared" si="44"/>
        <v>935</v>
      </c>
      <c r="U198" s="643">
        <f t="shared" si="44"/>
        <v>1518</v>
      </c>
      <c r="V198" s="643">
        <f t="shared" si="44"/>
        <v>65.8</v>
      </c>
      <c r="W198" s="643">
        <f t="shared" si="44"/>
        <v>995</v>
      </c>
      <c r="X198" s="643">
        <f t="shared" si="44"/>
        <v>101239.34</v>
      </c>
      <c r="Y198" s="643">
        <f t="shared" si="44"/>
        <v>21997.8</v>
      </c>
      <c r="Z198" s="643">
        <f t="shared" si="44"/>
        <v>21280.33</v>
      </c>
      <c r="AA198" s="643">
        <f t="shared" si="44"/>
        <v>0</v>
      </c>
      <c r="AB198" s="643">
        <f t="shared" si="44"/>
        <v>785</v>
      </c>
      <c r="AC198" s="645">
        <f t="shared" si="44"/>
        <v>13</v>
      </c>
      <c r="AF198" s="628"/>
      <c r="AG198" s="57"/>
      <c r="AH198" s="7">
        <f t="shared" ref="AH198:AV201" si="45">IF(OR(ISERROR(+H198/($D198+$E198-$G198)*$G198+H198),LEFT(F198,1)="x"),0,+H198/($D198+$E198-$G198)*$G198+H198)</f>
        <v>2355</v>
      </c>
      <c r="AI198" s="7">
        <f t="shared" si="45"/>
        <v>1816</v>
      </c>
      <c r="AJ198" s="7">
        <f t="shared" si="45"/>
        <v>565</v>
      </c>
      <c r="AK198" s="7">
        <f t="shared" si="45"/>
        <v>0</v>
      </c>
      <c r="AL198" s="7">
        <f t="shared" si="45"/>
        <v>20828</v>
      </c>
      <c r="AM198" s="7">
        <f t="shared" si="45"/>
        <v>264.02999999999997</v>
      </c>
      <c r="AN198" s="7">
        <f t="shared" si="45"/>
        <v>50000</v>
      </c>
      <c r="AO198" s="7">
        <f t="shared" si="45"/>
        <v>0</v>
      </c>
      <c r="AP198" s="7">
        <f t="shared" si="45"/>
        <v>190</v>
      </c>
      <c r="AQ198" s="7">
        <f t="shared" si="45"/>
        <v>0</v>
      </c>
      <c r="AR198" s="7">
        <f t="shared" si="45"/>
        <v>715</v>
      </c>
      <c r="AS198" s="7">
        <f t="shared" si="45"/>
        <v>636</v>
      </c>
      <c r="AT198" s="7">
        <f t="shared" si="45"/>
        <v>935</v>
      </c>
      <c r="AU198" s="7">
        <f t="shared" si="45"/>
        <v>1518</v>
      </c>
      <c r="AV198" s="7">
        <f t="shared" si="45"/>
        <v>65.8</v>
      </c>
      <c r="AW198" s="7">
        <f t="shared" si="36"/>
        <v>995</v>
      </c>
      <c r="AX198" s="7">
        <f t="shared" si="37"/>
        <v>101239.34</v>
      </c>
      <c r="AY198" s="7">
        <f t="shared" si="38"/>
        <v>21997.8</v>
      </c>
      <c r="AZ198" s="7">
        <f t="shared" si="39"/>
        <v>21280.33</v>
      </c>
      <c r="BA198" s="7">
        <f t="shared" si="40"/>
        <v>0</v>
      </c>
      <c r="BB198" s="7">
        <f t="shared" si="41"/>
        <v>785</v>
      </c>
      <c r="BC198" s="7">
        <f>IF(OR(ISERROR(+#REF!/($D198+$E198-$G198)*$G198+#REF!),LEFT(AA198,1)="x"),0,+#REF!/($D198+$E198-$G198)*$G198+#REF!)</f>
        <v>0</v>
      </c>
      <c r="BD198" s="7">
        <f>IF(OR(ISERROR(+AC198/($D198+$E198-$G198)*$G198+AC198),LEFT(Z198,1)="x"),0,+AC198/($D198+$E198-$G198)*$G198+AC198)</f>
        <v>13</v>
      </c>
    </row>
    <row r="199" spans="1:5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H199" s="7">
        <f t="shared" si="45"/>
        <v>0</v>
      </c>
      <c r="AI199" s="7">
        <f t="shared" si="45"/>
        <v>0</v>
      </c>
      <c r="AJ199" s="7">
        <f t="shared" si="45"/>
        <v>0</v>
      </c>
      <c r="AK199" s="7">
        <f t="shared" si="45"/>
        <v>0</v>
      </c>
      <c r="AL199" s="7">
        <f t="shared" si="45"/>
        <v>0</v>
      </c>
      <c r="AM199" s="7">
        <f t="shared" si="45"/>
        <v>0</v>
      </c>
      <c r="AN199" s="7">
        <f t="shared" si="45"/>
        <v>0</v>
      </c>
      <c r="AO199" s="7">
        <f t="shared" si="45"/>
        <v>0</v>
      </c>
      <c r="AP199" s="7">
        <f t="shared" si="45"/>
        <v>0</v>
      </c>
      <c r="AQ199" s="7">
        <f t="shared" si="45"/>
        <v>0</v>
      </c>
      <c r="AR199" s="7">
        <f t="shared" si="45"/>
        <v>0</v>
      </c>
      <c r="AS199" s="7">
        <f t="shared" si="45"/>
        <v>0</v>
      </c>
      <c r="AT199" s="7">
        <f t="shared" si="45"/>
        <v>0</v>
      </c>
      <c r="AU199" s="7">
        <f t="shared" si="45"/>
        <v>0</v>
      </c>
      <c r="AV199" s="7">
        <f t="shared" si="45"/>
        <v>0</v>
      </c>
      <c r="AW199" s="7">
        <f t="shared" si="36"/>
        <v>0</v>
      </c>
      <c r="AX199" s="7">
        <f t="shared" si="37"/>
        <v>0</v>
      </c>
      <c r="AY199" s="7">
        <f t="shared" si="38"/>
        <v>0</v>
      </c>
      <c r="AZ199" s="7">
        <f t="shared" si="39"/>
        <v>0</v>
      </c>
      <c r="BA199" s="7">
        <f t="shared" si="40"/>
        <v>0</v>
      </c>
      <c r="BB199" s="7">
        <f t="shared" si="41"/>
        <v>0</v>
      </c>
      <c r="BC199" s="7">
        <f>IF(OR(ISERROR(+#REF!/($D199+$E199-$G199)*$G199+#REF!),LEFT(AA199,1)="x"),0,+#REF!/($D199+$E199-$G199)*$G199+#REF!)</f>
        <v>0</v>
      </c>
      <c r="BD199" s="7">
        <f>IF(OR(ISERROR(+AC199/($D199+$E199-$G199)*$G199+AC199),LEFT(Z199,1)="x"),0,+AC199/($D199+$E199-$G199)*$G199+AC199)</f>
        <v>0</v>
      </c>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H200" s="7">
        <f t="shared" si="45"/>
        <v>0</v>
      </c>
      <c r="AI200" s="7">
        <f t="shared" si="45"/>
        <v>0</v>
      </c>
      <c r="AJ200" s="7">
        <f t="shared" si="45"/>
        <v>0</v>
      </c>
      <c r="AK200" s="7">
        <f t="shared" si="45"/>
        <v>0</v>
      </c>
      <c r="AL200" s="7">
        <f t="shared" si="45"/>
        <v>0</v>
      </c>
      <c r="AM200" s="7">
        <f t="shared" si="45"/>
        <v>0</v>
      </c>
      <c r="AN200" s="7">
        <f t="shared" si="45"/>
        <v>0</v>
      </c>
      <c r="AO200" s="7">
        <f t="shared" si="45"/>
        <v>0</v>
      </c>
      <c r="AP200" s="7">
        <f t="shared" si="45"/>
        <v>0</v>
      </c>
      <c r="AQ200" s="7">
        <f t="shared" si="45"/>
        <v>0</v>
      </c>
      <c r="AR200" s="7">
        <f t="shared" si="45"/>
        <v>0</v>
      </c>
      <c r="AS200" s="7">
        <f t="shared" si="45"/>
        <v>0</v>
      </c>
      <c r="AT200" s="7">
        <f t="shared" si="45"/>
        <v>0</v>
      </c>
      <c r="AU200" s="7">
        <f t="shared" si="45"/>
        <v>0</v>
      </c>
      <c r="AV200" s="7">
        <f t="shared" si="45"/>
        <v>0</v>
      </c>
      <c r="AW200" s="7">
        <f t="shared" si="36"/>
        <v>0</v>
      </c>
      <c r="AX200" s="7">
        <f t="shared" si="37"/>
        <v>0</v>
      </c>
      <c r="AY200" s="7">
        <f t="shared" si="38"/>
        <v>0</v>
      </c>
      <c r="AZ200" s="7">
        <f t="shared" si="39"/>
        <v>0</v>
      </c>
      <c r="BA200" s="7">
        <f t="shared" si="40"/>
        <v>0</v>
      </c>
      <c r="BB200" s="7">
        <f t="shared" si="41"/>
        <v>0</v>
      </c>
      <c r="BC200" s="7">
        <f>IF(OR(ISERROR(+#REF!/($D200+$E200-$G200)*$G200+#REF!),LEFT(AA200,1)="x"),0,+#REF!/($D200+$E200-$G200)*$G200+#REF!)</f>
        <v>0</v>
      </c>
      <c r="BD200" s="7">
        <f>IF(OR(ISERROR(+AC200/($D200+$E200-$G200)*$G200+AC200),LEFT(Z200,1)="x"),0,+AC200/($D200+$E200-$G200)*$G200+AC200)</f>
        <v>0</v>
      </c>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H201" s="7">
        <f t="shared" si="45"/>
        <v>0</v>
      </c>
      <c r="AI201" s="7">
        <f t="shared" si="45"/>
        <v>0</v>
      </c>
      <c r="AJ201" s="7">
        <f t="shared" si="45"/>
        <v>0</v>
      </c>
      <c r="AK201" s="7">
        <f t="shared" si="45"/>
        <v>0</v>
      </c>
      <c r="AL201" s="7">
        <f t="shared" si="45"/>
        <v>0</v>
      </c>
      <c r="AM201" s="7">
        <f t="shared" si="45"/>
        <v>0</v>
      </c>
      <c r="AN201" s="7">
        <f t="shared" si="45"/>
        <v>0</v>
      </c>
      <c r="AO201" s="7">
        <f t="shared" si="45"/>
        <v>0</v>
      </c>
      <c r="AP201" s="7">
        <f t="shared" si="45"/>
        <v>0</v>
      </c>
      <c r="AQ201" s="7">
        <f t="shared" si="45"/>
        <v>0</v>
      </c>
      <c r="AR201" s="7">
        <f t="shared" si="45"/>
        <v>0</v>
      </c>
      <c r="AS201" s="7">
        <f t="shared" si="45"/>
        <v>0</v>
      </c>
      <c r="AT201" s="7">
        <f t="shared" si="45"/>
        <v>0</v>
      </c>
      <c r="AU201" s="7">
        <f t="shared" si="45"/>
        <v>0</v>
      </c>
      <c r="AV201" s="7">
        <f t="shared" si="45"/>
        <v>0</v>
      </c>
      <c r="AW201" s="7">
        <f t="shared" si="36"/>
        <v>0</v>
      </c>
      <c r="AX201" s="7">
        <f t="shared" si="37"/>
        <v>0</v>
      </c>
      <c r="AY201" s="7">
        <f t="shared" si="38"/>
        <v>0</v>
      </c>
      <c r="AZ201" s="7">
        <f t="shared" si="39"/>
        <v>0</v>
      </c>
      <c r="BA201" s="7">
        <f t="shared" si="40"/>
        <v>0</v>
      </c>
      <c r="BB201" s="7">
        <f t="shared" si="41"/>
        <v>0</v>
      </c>
      <c r="BC201" s="7">
        <f>IF(OR(ISERROR(+#REF!/($D201+$E201-$G201)*$G201+#REF!),LEFT(AA201,1)="x"),0,+#REF!/($D201+$E201-$G201)*$G201+#REF!)</f>
        <v>0</v>
      </c>
      <c r="BD201" s="7">
        <f>IF(OR(ISERROR(+AC201/($D201+$E201-$G201)*$G201+AC201),LEFT(Z201,1)="x"),0,+AC201/($D201+$E201-$G201)*$G201+AC201)</f>
        <v>0</v>
      </c>
    </row>
    <row r="202" spans="1:57" ht="15.75">
      <c r="A202" s="52" t="s">
        <v>226</v>
      </c>
      <c r="B202" s="52"/>
      <c r="C202" s="52"/>
      <c r="D202" s="19">
        <f>E202-H202</f>
        <v>0</v>
      </c>
      <c r="E202" s="53">
        <f>D197+E197+F197</f>
        <v>6538.7</v>
      </c>
      <c r="F202" s="53" t="s">
        <v>20</v>
      </c>
      <c r="G202" s="17"/>
      <c r="H202" s="53">
        <f>SUM(G197:AC197)</f>
        <v>6538.7</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
      <c r="A203" s="17"/>
      <c r="B203" s="17"/>
      <c r="C203" s="17"/>
      <c r="D203" s="54">
        <f>IF(D202=0,0,"Error - check totals do not balance, please see column AF - at the right side of the expenditure table for corrections to be made")</f>
        <v>0</v>
      </c>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ht="15">
      <c r="A205" s="17"/>
      <c r="B205" s="17"/>
      <c r="C205" s="17"/>
      <c r="D205" s="54"/>
      <c r="E205" s="5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32">
      <c r="A209" s="161" t="s">
        <v>166</v>
      </c>
      <c r="B209" s="17"/>
      <c r="C209" s="17"/>
      <c r="D209" s="17"/>
      <c r="E209" s="639">
        <f>'Nov 17'!K10+L54+M54+N54+O54-D198</f>
        <v>41727.349999999977</v>
      </c>
      <c r="F209" s="639">
        <f>'Nov 17'!K11+P54+X198-O54</f>
        <v>87037.489999999991</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32">
      <c r="A210" s="161"/>
      <c r="B210" s="17"/>
      <c r="C210" s="73"/>
      <c r="D210" s="73"/>
      <c r="E210" s="637"/>
      <c r="F210" s="6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32">
      <c r="A211" s="161" t="s">
        <v>63</v>
      </c>
      <c r="B211" s="17"/>
      <c r="C211" s="642"/>
      <c r="D211" s="642"/>
      <c r="E211" s="637" t="s">
        <v>20</v>
      </c>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32">
      <c r="B212" s="162" t="s">
        <v>187</v>
      </c>
      <c r="C212" s="642"/>
      <c r="D212" s="642"/>
      <c r="E212" s="637" t="s">
        <v>20</v>
      </c>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32">
      <c r="A213" s="17"/>
      <c r="B213" s="162" t="s">
        <v>164</v>
      </c>
      <c r="C213" s="642"/>
      <c r="D213" s="642"/>
      <c r="E213" s="637" t="s">
        <v>20</v>
      </c>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32">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32">
      <c r="A215" s="17"/>
      <c r="B215" s="17"/>
      <c r="C215" s="642"/>
      <c r="D215" s="642"/>
      <c r="E215" s="637"/>
      <c r="F215" s="6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32" ht="13.5" thickBot="1">
      <c r="A216" s="56" t="s">
        <v>165</v>
      </c>
      <c r="B216" s="56"/>
      <c r="C216" s="17"/>
      <c r="D216" s="17"/>
      <c r="E216" s="641">
        <f>E209+SUM(E211:E215)</f>
        <v>41727.349999999977</v>
      </c>
      <c r="F216" s="641">
        <f>F209+SUM(F211:F215)</f>
        <v>87037.489999999991</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32" ht="13.5" thickTop="1">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32" s="17" customFormat="1">
      <c r="A218" s="56"/>
      <c r="E218" s="53"/>
      <c r="AD218" s="346"/>
      <c r="AE218" s="346"/>
      <c r="AF218" s="346"/>
    </row>
    <row r="219" spans="1:3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32" hidden="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32" hidden="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32" hidden="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32"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32"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5" hidden="1">
      <c r="B246" s="213"/>
      <c r="C246" s="18"/>
      <c r="D246" s="18"/>
      <c r="E246" s="18"/>
      <c r="F246" s="215"/>
      <c r="G246" s="18"/>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2.6" hidden="1" customHeight="1">
      <c r="B247" s="213" t="s">
        <v>196</v>
      </c>
      <c r="C247" s="214"/>
      <c r="D247" s="214">
        <f>$C$58+$C$59-D249</f>
        <v>0</v>
      </c>
      <c r="E247" s="18"/>
      <c r="F247" s="215" t="s">
        <v>197</v>
      </c>
      <c r="G247" s="18"/>
      <c r="H247" s="18"/>
      <c r="I247" s="18"/>
      <c r="J247" s="18"/>
      <c r="K247" s="18"/>
      <c r="L247" s="18"/>
      <c r="M247" s="18"/>
      <c r="N247" s="17"/>
      <c r="O247" s="17"/>
      <c r="P247" s="17"/>
      <c r="Q247" s="17"/>
      <c r="R247" s="17"/>
      <c r="S247" s="17"/>
      <c r="T247" s="17"/>
      <c r="U247" s="17"/>
      <c r="V247" s="17"/>
      <c r="W247" s="17"/>
      <c r="X247" s="17"/>
      <c r="Y247" s="17"/>
      <c r="Z247" s="17"/>
      <c r="AA247" s="17"/>
      <c r="AB247" s="17"/>
      <c r="AC247" s="17"/>
    </row>
    <row r="248" spans="1:29" ht="14.25" hidden="1" customHeight="1">
      <c r="B248" s="216" t="s">
        <v>64</v>
      </c>
      <c r="C248" s="18">
        <f>($C$58+$C$59-663)/113.8*13.8</f>
        <v>-80.398945518453431</v>
      </c>
      <c r="D248" s="18"/>
      <c r="E248" s="7"/>
      <c r="F248" s="393" t="s">
        <v>397</v>
      </c>
      <c r="G248" s="18"/>
      <c r="H248" s="18"/>
      <c r="I248" s="18"/>
      <c r="J248" s="18"/>
      <c r="K248" s="18"/>
      <c r="L248" s="18"/>
      <c r="M248" s="18"/>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8"/>
      <c r="I249" s="18"/>
      <c r="J249" s="18"/>
      <c r="K249" s="18"/>
      <c r="L249" s="18"/>
      <c r="M249" s="18"/>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8"/>
      <c r="I250" s="18"/>
      <c r="J250" s="18"/>
      <c r="K250" s="18"/>
      <c r="L250" s="18"/>
      <c r="M250" s="18"/>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8"/>
      <c r="I251" s="18"/>
      <c r="J251" s="18"/>
      <c r="K251" s="18"/>
      <c r="L251" s="18"/>
      <c r="M251" s="18"/>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8"/>
      <c r="I252" s="18"/>
      <c r="J252" s="18"/>
      <c r="K252" s="18"/>
      <c r="L252" s="18"/>
      <c r="M252" s="18"/>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8"/>
      <c r="I253" s="18"/>
      <c r="J253" s="18"/>
      <c r="K253" s="18"/>
      <c r="L253" s="18"/>
      <c r="M253" s="18"/>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8"/>
      <c r="I254" s="18"/>
      <c r="J254" s="18"/>
      <c r="K254" s="18"/>
      <c r="L254" s="18"/>
      <c r="M254" s="18"/>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8"/>
      <c r="I255" s="18"/>
      <c r="J255" s="18"/>
      <c r="K255" s="18"/>
      <c r="L255" s="18"/>
      <c r="M255" s="18"/>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8"/>
      <c r="I256" s="18"/>
      <c r="J256" s="18"/>
      <c r="K256" s="18"/>
      <c r="L256" s="18"/>
      <c r="M256" s="18"/>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8"/>
      <c r="I257" s="18"/>
      <c r="J257" s="18"/>
      <c r="K257" s="18"/>
      <c r="L257" s="18"/>
      <c r="M257" s="18"/>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8"/>
      <c r="I258" s="18"/>
      <c r="J258" s="18"/>
      <c r="K258" s="18"/>
      <c r="L258" s="18"/>
      <c r="M258" s="18"/>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8"/>
      <c r="I259" s="18"/>
      <c r="J259" s="18"/>
      <c r="K259" s="18"/>
      <c r="L259" s="18"/>
      <c r="M259" s="18"/>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8"/>
      <c r="I260" s="18"/>
      <c r="J260" s="18"/>
      <c r="K260" s="18"/>
      <c r="L260" s="18"/>
      <c r="M260" s="18"/>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c r="H261" s="18"/>
      <c r="I261" s="18"/>
      <c r="J261" s="18"/>
      <c r="K261" s="18"/>
      <c r="L261" s="18"/>
      <c r="M261" s="18"/>
      <c r="N261" s="17"/>
      <c r="O261" s="17"/>
      <c r="P261" s="17"/>
      <c r="Q261" s="17"/>
      <c r="R261" s="17"/>
      <c r="S261" s="17"/>
      <c r="T261" s="17"/>
      <c r="U261" s="17"/>
      <c r="V261" s="17"/>
      <c r="W261" s="17"/>
      <c r="X261" s="17"/>
      <c r="Y261" s="17"/>
      <c r="Z261" s="17"/>
      <c r="AA261" s="17"/>
      <c r="AB261" s="17"/>
      <c r="AC261" s="17"/>
    </row>
    <row r="262" spans="1:29" ht="15" hidden="1">
      <c r="B262" s="216"/>
      <c r="C262" s="214">
        <v>0</v>
      </c>
      <c r="D262" s="214">
        <f>MAX(C261:C262)</f>
        <v>0</v>
      </c>
      <c r="E262" s="220"/>
      <c r="H262" s="18"/>
      <c r="I262" s="18"/>
      <c r="J262" s="18"/>
      <c r="K262" s="18"/>
      <c r="L262" s="18"/>
      <c r="M262" s="18"/>
      <c r="N262" s="17"/>
      <c r="O262" s="17"/>
      <c r="P262" s="17"/>
      <c r="Q262" s="17"/>
      <c r="R262" s="17"/>
      <c r="S262" s="17"/>
      <c r="T262" s="17"/>
      <c r="U262" s="17"/>
      <c r="V262" s="17"/>
      <c r="W262" s="17"/>
      <c r="X262" s="17"/>
      <c r="Y262" s="17"/>
      <c r="Z262" s="17"/>
      <c r="AA262" s="17"/>
      <c r="AB262" s="17"/>
      <c r="AC262" s="17"/>
    </row>
    <row r="263" spans="1:29" ht="15" hidden="1">
      <c r="B263" s="216" t="s">
        <v>203</v>
      </c>
      <c r="C263" s="329">
        <v>0</v>
      </c>
      <c r="D263" s="329">
        <v>0</v>
      </c>
      <c r="E263" s="220"/>
    </row>
    <row r="264" spans="1:29" ht="15" hidden="1">
      <c r="B264" s="330" t="s">
        <v>204</v>
      </c>
      <c r="C264" s="20"/>
      <c r="E264" s="219">
        <f>D263+D262+D260+D258+D256</f>
        <v>0</v>
      </c>
    </row>
    <row r="265" spans="1:29" ht="15.75" hidden="1" thickBot="1">
      <c r="B265" s="330" t="s">
        <v>69</v>
      </c>
      <c r="C265" s="20"/>
      <c r="E265" s="331">
        <f>E254+E264</f>
        <v>0</v>
      </c>
    </row>
    <row r="266" spans="1:29" ht="13.5" hidden="1" thickTop="1"/>
    <row r="267" spans="1:29" hidden="1"/>
    <row r="268" spans="1:29" ht="15" hidden="1">
      <c r="A268" s="211" t="s">
        <v>318</v>
      </c>
      <c r="B268" s="17"/>
      <c r="D268" s="212"/>
      <c r="E268" s="17"/>
      <c r="F268" s="17"/>
    </row>
    <row r="269" spans="1:29" hidden="1">
      <c r="B269" s="18"/>
      <c r="C269" s="18"/>
      <c r="D269" s="18"/>
      <c r="E269" s="18"/>
      <c r="F269" s="18"/>
    </row>
    <row r="270" spans="1:29" ht="15" hidden="1">
      <c r="B270" s="213" t="s">
        <v>196</v>
      </c>
      <c r="C270" s="214"/>
      <c r="D270" s="214">
        <f>$C$58+$C$59-D272</f>
        <v>0</v>
      </c>
      <c r="E270" s="18"/>
      <c r="F270" s="215" t="s">
        <v>197</v>
      </c>
    </row>
    <row r="271" spans="1:29" hidden="1">
      <c r="B271" s="216" t="s">
        <v>64</v>
      </c>
      <c r="C271" s="18">
        <f>($C$58+$C$59-641)/113.8*13.8</f>
        <v>-77.7311072056239</v>
      </c>
      <c r="D271" s="18"/>
      <c r="E271" s="7"/>
      <c r="F271" s="393" t="s">
        <v>324</v>
      </c>
    </row>
    <row r="272" spans="1:29" hidden="1">
      <c r="B272" s="216"/>
      <c r="C272" s="214">
        <v>0</v>
      </c>
      <c r="D272" s="214">
        <f>MAX(C271:C272)</f>
        <v>0</v>
      </c>
      <c r="E272" s="7"/>
      <c r="F272" s="216"/>
    </row>
    <row r="273" spans="2:6" hidden="1">
      <c r="B273" s="216" t="s">
        <v>65</v>
      </c>
      <c r="C273" s="18">
        <f>IF((D248&lt;3454.17), ((D248-645)*0.12),((3539.58-645)*0.12))</f>
        <v>-77.399999999999991</v>
      </c>
      <c r="D273" s="18"/>
      <c r="E273" s="7"/>
      <c r="F273" s="393" t="s">
        <v>323</v>
      </c>
    </row>
    <row r="274" spans="2:6" hidden="1">
      <c r="B274" s="216"/>
      <c r="C274" s="214">
        <v>0</v>
      </c>
      <c r="D274" s="214">
        <f>MAX(C273:C274)</f>
        <v>0</v>
      </c>
      <c r="E274" s="7"/>
      <c r="F274" s="216"/>
    </row>
    <row r="275" spans="2:6" hidden="1">
      <c r="B275" s="216" t="s">
        <v>120</v>
      </c>
      <c r="C275" s="18">
        <f>(D248-3454.17)*0.02</f>
        <v>-69.083399999999997</v>
      </c>
      <c r="D275" s="18"/>
      <c r="E275" s="7"/>
      <c r="F275" s="393" t="s">
        <v>322</v>
      </c>
    </row>
    <row r="276" spans="2:6" hidden="1">
      <c r="B276" s="217"/>
      <c r="C276" s="214">
        <v>0</v>
      </c>
      <c r="D276" s="214">
        <f>MAX(C275:C276)</f>
        <v>0</v>
      </c>
      <c r="E276" s="7"/>
      <c r="F276" s="216"/>
    </row>
    <row r="277" spans="2:6" ht="15" hidden="1">
      <c r="B277" s="218" t="s">
        <v>198</v>
      </c>
      <c r="C277" s="71"/>
      <c r="D277" s="71"/>
      <c r="E277" s="219">
        <f>D276+D274+D272</f>
        <v>0</v>
      </c>
      <c r="F277" s="216"/>
    </row>
    <row r="278" spans="2:6" ht="15" hidden="1">
      <c r="D278" s="18"/>
      <c r="E278" s="220"/>
      <c r="F278" s="327" t="s">
        <v>210</v>
      </c>
    </row>
    <row r="279" spans="2:6" ht="15" hidden="1">
      <c r="B279" s="217" t="s">
        <v>199</v>
      </c>
      <c r="C279" s="328">
        <f>IF((D248&lt;12500),0,((D248-12500)*0.45))</f>
        <v>0</v>
      </c>
      <c r="D279" s="214">
        <f>C279</f>
        <v>0</v>
      </c>
      <c r="E279" s="220"/>
      <c r="F279" s="216"/>
    </row>
    <row r="280" spans="2:6" ht="15" hidden="1">
      <c r="B280" s="217" t="s">
        <v>200</v>
      </c>
      <c r="C280" s="20">
        <f>IF((D248&lt;12500),(((D248-8333.33)*0.4)+(786.67*0.4)),(((12500-8333.33)*0.4)+(786.67*0.4)))</f>
        <v>-3018.6640000000002</v>
      </c>
      <c r="D280" s="18"/>
      <c r="E280" s="220"/>
      <c r="F280" s="327" t="s">
        <v>209</v>
      </c>
    </row>
    <row r="281" spans="2:6" ht="15" hidden="1">
      <c r="B281" s="217"/>
      <c r="C281" s="214">
        <v>0</v>
      </c>
      <c r="D281" s="214">
        <f>MAX(C280:C281)</f>
        <v>0</v>
      </c>
      <c r="E281" s="220"/>
      <c r="F281" s="217"/>
    </row>
    <row r="282" spans="2:6" ht="15" hidden="1">
      <c r="B282" s="216" t="s">
        <v>201</v>
      </c>
      <c r="C282" s="20">
        <f>IF((D248&lt;8333.33),((D248-3454.17)*0.4),((8333.33-3454.17)*0.4))</f>
        <v>-1381.6680000000001</v>
      </c>
      <c r="D282" s="18"/>
      <c r="E282" s="220"/>
      <c r="F282" s="393" t="s">
        <v>321</v>
      </c>
    </row>
    <row r="283" spans="2:6" ht="15" hidden="1">
      <c r="B283" s="216"/>
      <c r="C283" s="214">
        <v>0</v>
      </c>
      <c r="D283" s="214">
        <f>MAX(C282:C283)</f>
        <v>0</v>
      </c>
      <c r="E283" s="220"/>
      <c r="F283" s="393" t="s">
        <v>320</v>
      </c>
    </row>
    <row r="284" spans="2:6" ht="15" hidden="1">
      <c r="B284" s="216" t="s">
        <v>202</v>
      </c>
      <c r="C284" s="20">
        <f>IF((D248&lt;3454.17),((D248-786.67)*0.2),(2667.5*0.2))</f>
        <v>-157.334</v>
      </c>
      <c r="D284" s="18"/>
      <c r="E284" s="221"/>
      <c r="F284" s="393" t="s">
        <v>319</v>
      </c>
    </row>
    <row r="285" spans="2:6" ht="15" hidden="1">
      <c r="B285" s="216"/>
      <c r="C285" s="214">
        <v>0</v>
      </c>
      <c r="D285" s="214">
        <f>MAX(C284:C285)</f>
        <v>0</v>
      </c>
      <c r="E285" s="220"/>
    </row>
    <row r="286" spans="2:6" ht="15" hidden="1">
      <c r="B286" s="216" t="s">
        <v>203</v>
      </c>
      <c r="C286" s="329">
        <v>0</v>
      </c>
      <c r="D286" s="329">
        <v>0</v>
      </c>
      <c r="E286" s="220"/>
    </row>
    <row r="287" spans="2:6" ht="15" hidden="1">
      <c r="B287" s="330" t="s">
        <v>204</v>
      </c>
      <c r="C287" s="20"/>
      <c r="E287" s="219">
        <f>D286+D285+D283+D281+D279</f>
        <v>0</v>
      </c>
    </row>
    <row r="288" spans="2:6"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sheetData>
  <sheetProtection password="CE8E" sheet="1" objects="1" scenarios="1"/>
  <phoneticPr fontId="0" type="noConversion"/>
  <conditionalFormatting sqref="G79 G93:G196">
    <cfRule type="expression" dxfId="80" priority="38" stopIfTrue="1">
      <formula>$E$12&gt;0</formula>
    </cfRule>
  </conditionalFormatting>
  <conditionalFormatting sqref="G79 G93:G196">
    <cfRule type="expression" dxfId="79" priority="39" stopIfTrue="1">
      <formula>$E$12&gt;0</formula>
    </cfRule>
    <cfRule type="expression" priority="40" stopIfTrue="1">
      <formula>$E$12 &gt;0</formula>
    </cfRule>
  </conditionalFormatting>
  <conditionalFormatting sqref="G79 G93:G196">
    <cfRule type="expression" dxfId="78" priority="37" stopIfTrue="1">
      <formula>"e12&gt;0"</formula>
    </cfRule>
  </conditionalFormatting>
  <conditionalFormatting sqref="G91">
    <cfRule type="expression" dxfId="77" priority="35" stopIfTrue="1">
      <formula>$E$12&gt;0</formula>
    </cfRule>
    <cfRule type="expression" priority="36" stopIfTrue="1">
      <formula>$E$12 &gt;0</formula>
    </cfRule>
  </conditionalFormatting>
  <conditionalFormatting sqref="G91">
    <cfRule type="expression" dxfId="76" priority="34" stopIfTrue="1">
      <formula>$E$12&gt;0</formula>
    </cfRule>
  </conditionalFormatting>
  <conditionalFormatting sqref="G91">
    <cfRule type="expression" dxfId="75" priority="33" stopIfTrue="1">
      <formula>"e12&gt;0"</formula>
    </cfRule>
  </conditionalFormatting>
  <conditionalFormatting sqref="G90">
    <cfRule type="expression" dxfId="74" priority="31" stopIfTrue="1">
      <formula>$E$12&gt;0</formula>
    </cfRule>
    <cfRule type="expression" priority="32" stopIfTrue="1">
      <formula>$E$12 &gt;0</formula>
    </cfRule>
  </conditionalFormatting>
  <conditionalFormatting sqref="G90">
    <cfRule type="expression" dxfId="73" priority="30" stopIfTrue="1">
      <formula>$E$12&gt;0</formula>
    </cfRule>
  </conditionalFormatting>
  <conditionalFormatting sqref="G90">
    <cfRule type="expression" dxfId="72" priority="29" stopIfTrue="1">
      <formula>"e12&gt;0"</formula>
    </cfRule>
  </conditionalFormatting>
  <conditionalFormatting sqref="G82 G87:G88">
    <cfRule type="expression" dxfId="71" priority="22">
      <formula>$E$12&gt;0</formula>
    </cfRule>
  </conditionalFormatting>
  <conditionalFormatting sqref="G82 G87:G88">
    <cfRule type="expression" dxfId="70" priority="23">
      <formula>$E$12&gt;0</formula>
    </cfRule>
  </conditionalFormatting>
  <conditionalFormatting sqref="G82 G87:G88">
    <cfRule type="expression" dxfId="69" priority="24">
      <formula>"e12&gt;0"</formula>
    </cfRule>
  </conditionalFormatting>
  <conditionalFormatting sqref="G82 G87:G88">
    <cfRule type="expression" dxfId="68" priority="25">
      <formula>$E$12&gt;0</formula>
    </cfRule>
  </conditionalFormatting>
  <conditionalFormatting sqref="G82 G87:G88">
    <cfRule type="expression" dxfId="67" priority="26">
      <formula>$E$12</formula>
    </cfRule>
  </conditionalFormatting>
  <conditionalFormatting sqref="G82 G87:G88">
    <cfRule type="expression" dxfId="66" priority="27">
      <formula>$E$12</formula>
    </cfRule>
  </conditionalFormatting>
  <conditionalFormatting sqref="G82 G87:G88">
    <cfRule type="expression" dxfId="65" priority="28">
      <formula>"e12&gt;0"</formula>
    </cfRule>
  </conditionalFormatting>
  <conditionalFormatting sqref="G89">
    <cfRule type="expression" dxfId="64" priority="19">
      <formula>$E$12&gt;0</formula>
    </cfRule>
  </conditionalFormatting>
  <conditionalFormatting sqref="G89">
    <cfRule type="expression" dxfId="63" priority="20">
      <formula>$E$12&gt;0</formula>
    </cfRule>
  </conditionalFormatting>
  <conditionalFormatting sqref="G89">
    <cfRule type="expression" dxfId="62" priority="21">
      <formula>"e12&gt;0"</formula>
    </cfRule>
  </conditionalFormatting>
  <conditionalFormatting sqref="G83:G86">
    <cfRule type="expression" dxfId="61" priority="12">
      <formula>$E$12&gt;0</formula>
    </cfRule>
  </conditionalFormatting>
  <conditionalFormatting sqref="G83:G86">
    <cfRule type="expression" dxfId="60" priority="13">
      <formula>$E$12&gt;0</formula>
    </cfRule>
  </conditionalFormatting>
  <conditionalFormatting sqref="G83:G86">
    <cfRule type="expression" dxfId="59" priority="14">
      <formula>"e12&gt;0"</formula>
    </cfRule>
  </conditionalFormatting>
  <conditionalFormatting sqref="G83:G86">
    <cfRule type="expression" dxfId="58" priority="15">
      <formula>$E$12&gt;0</formula>
    </cfRule>
  </conditionalFormatting>
  <conditionalFormatting sqref="G83:G86">
    <cfRule type="expression" dxfId="57" priority="16">
      <formula>$E$12</formula>
    </cfRule>
  </conditionalFormatting>
  <conditionalFormatting sqref="G83:G86">
    <cfRule type="expression" dxfId="56" priority="17">
      <formula>$E$12</formula>
    </cfRule>
  </conditionalFormatting>
  <conditionalFormatting sqref="G83:G86">
    <cfRule type="expression" dxfId="55" priority="18">
      <formula>"e12&gt;0"</formula>
    </cfRule>
  </conditionalFormatting>
  <conditionalFormatting sqref="G92">
    <cfRule type="expression" dxfId="54" priority="9" stopIfTrue="1">
      <formula>$E$12&gt;0</formula>
    </cfRule>
  </conditionalFormatting>
  <conditionalFormatting sqref="G92">
    <cfRule type="expression" dxfId="53" priority="10" stopIfTrue="1">
      <formula>$E$12&gt;0</formula>
    </cfRule>
    <cfRule type="expression" priority="11" stopIfTrue="1">
      <formula>$E$12 &gt;0</formula>
    </cfRule>
  </conditionalFormatting>
  <conditionalFormatting sqref="G92">
    <cfRule type="expression" dxfId="52" priority="8" stopIfTrue="1">
      <formula>"e12&gt;0"</formula>
    </cfRule>
  </conditionalFormatting>
  <conditionalFormatting sqref="G80:G81">
    <cfRule type="expression" dxfId="51" priority="1">
      <formula>$E$12&gt;0</formula>
    </cfRule>
  </conditionalFormatting>
  <conditionalFormatting sqref="G80:G81">
    <cfRule type="expression" dxfId="50" priority="2">
      <formula>$E$12&gt;0</formula>
    </cfRule>
  </conditionalFormatting>
  <conditionalFormatting sqref="G80:G81">
    <cfRule type="expression" dxfId="49" priority="3">
      <formula>"e12&gt;0"</formula>
    </cfRule>
  </conditionalFormatting>
  <conditionalFormatting sqref="G80:G81">
    <cfRule type="expression" dxfId="48" priority="4">
      <formula>$E$12&gt;0</formula>
    </cfRule>
  </conditionalFormatting>
  <conditionalFormatting sqref="G80:G81">
    <cfRule type="expression" dxfId="47" priority="5">
      <formula>$E$12</formula>
    </cfRule>
  </conditionalFormatting>
  <conditionalFormatting sqref="G80:G81">
    <cfRule type="expression" dxfId="46" priority="6">
      <formula>$E$12</formula>
    </cfRule>
  </conditionalFormatting>
  <conditionalFormatting sqref="G80:G81">
    <cfRule type="expression" dxfId="45" priority="7">
      <formula>"e12&gt;0"</formula>
    </cfRule>
  </conditionalFormatting>
  <pageMargins left="0.74803149606299213" right="0.74803149606299213" top="0.98425196850393704" bottom="0.98425196850393704" header="0.51181102362204722" footer="0.51181102362204722"/>
  <pageSetup paperSize="9" scale="47" fitToHeight="4" orientation="landscape" horizontalDpi="300" verticalDpi="300" r:id="rId1"/>
  <headerFooter alignWithMargins="0">
    <oddFooter>&amp;C&amp;"Bodoni Bd BT,Bold Italic"&amp;9Page &amp;P of &amp;N</oddFooter>
  </headerFooter>
  <ignoredErrors>
    <ignoredError sqref="E216:F216 D41:E52 B41 E9 E11:E1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7188" r:id="rId4" name="Check Box 20">
              <controlPr defaultSize="0" autoFill="0" autoLine="0" autoPict="0">
                <anchor moveWithCells="1">
                  <from>
                    <xdr:col>6</xdr:col>
                    <xdr:colOff>66675</xdr:colOff>
                    <xdr:row>214</xdr:row>
                    <xdr:rowOff>123825</xdr:rowOff>
                  </from>
                  <to>
                    <xdr:col>7</xdr:col>
                    <xdr:colOff>561975</xdr:colOff>
                    <xdr:row>216</xdr:row>
                    <xdr:rowOff>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BE294"/>
  <sheetViews>
    <sheetView showZeros="0" topLeftCell="A34" zoomScale="85" zoomScaleNormal="85" workbookViewId="0">
      <pane xSplit="7" topLeftCell="H1" activePane="topRight" state="frozen"/>
      <selection activeCell="L49" sqref="L49"/>
      <selection pane="topRight" activeCell="L81" sqref="L81"/>
    </sheetView>
  </sheetViews>
  <sheetFormatPr defaultColWidth="0" defaultRowHeight="12.75"/>
  <cols>
    <col min="1" max="1" width="10.7109375" style="7" customWidth="1"/>
    <col min="2" max="2" width="25.7109375" style="7" customWidth="1"/>
    <col min="3" max="3" width="17.7109375" style="7" customWidth="1"/>
    <col min="4" max="5" width="13.7109375" style="20" customWidth="1"/>
    <col min="6" max="6" width="17.5703125" style="20" customWidth="1"/>
    <col min="7" max="7" width="13.7109375" style="20" customWidth="1"/>
    <col min="8" max="8" width="14.7109375" style="20" customWidth="1"/>
    <col min="9" max="9" width="15.7109375" style="20" customWidth="1"/>
    <col min="10" max="10" width="20.7109375" style="20" customWidth="1"/>
    <col min="11" max="11" width="17.7109375" style="20" customWidth="1"/>
    <col min="12" max="13" width="14.7109375" style="20" customWidth="1"/>
    <col min="14" max="16" width="14.7109375" style="7" customWidth="1"/>
    <col min="17" max="29" width="12.7109375" style="7" customWidth="1"/>
    <col min="30" max="31" width="9.140625" style="629" hidden="1" customWidth="1"/>
    <col min="32" max="32" width="12.7109375" style="634" customWidth="1"/>
    <col min="33" max="33" width="17.140625" style="7" hidden="1" customWidth="1"/>
    <col min="34" max="16384" width="0" style="7" hidden="1"/>
  </cols>
  <sheetData>
    <row r="1" spans="1:29" ht="13.5" thickBot="1">
      <c r="A1" s="7">
        <v>0</v>
      </c>
    </row>
    <row r="2" spans="1:29" ht="29.45" customHeight="1" thickBot="1">
      <c r="A2" s="81" t="str">
        <f>'Nov 17'!A2</f>
        <v>Design-spectrum Limited</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3"/>
    </row>
    <row r="3" spans="1:29" ht="13.5" thickBot="1"/>
    <row r="4" spans="1:29" ht="16.5" thickBot="1">
      <c r="A4" s="86" t="s">
        <v>84</v>
      </c>
      <c r="B4" s="87"/>
      <c r="C4" s="85">
        <f>'Sep 18'!C4+31</f>
        <v>43381</v>
      </c>
      <c r="F4" s="21"/>
      <c r="G4" s="21"/>
      <c r="H4" s="21"/>
      <c r="I4" s="21"/>
      <c r="J4" s="21"/>
      <c r="K4" s="21"/>
      <c r="L4" s="21"/>
      <c r="M4" s="21"/>
      <c r="N4" s="21"/>
      <c r="O4" s="21"/>
      <c r="P4" s="21"/>
      <c r="Q4" s="22"/>
      <c r="R4" s="22"/>
      <c r="S4" s="22"/>
      <c r="T4" s="22"/>
      <c r="U4" s="22"/>
      <c r="V4" s="22"/>
      <c r="W4" s="22"/>
      <c r="X4" s="22"/>
      <c r="Y4" s="22"/>
      <c r="Z4" s="22"/>
      <c r="AA4" s="22"/>
      <c r="AB4" s="22"/>
      <c r="AC4" s="22"/>
    </row>
    <row r="6" spans="1:29" ht="13.5" thickBot="1"/>
    <row r="7" spans="1:29" ht="21" thickBot="1">
      <c r="A7" s="101" t="s">
        <v>0</v>
      </c>
      <c r="B7" s="102"/>
      <c r="C7" s="102"/>
      <c r="D7" s="102"/>
      <c r="E7" s="102"/>
      <c r="F7" s="102"/>
      <c r="G7" s="103"/>
      <c r="H7" s="23"/>
      <c r="I7" s="101" t="s">
        <v>211</v>
      </c>
      <c r="J7" s="102"/>
      <c r="K7" s="102"/>
      <c r="L7" s="103"/>
      <c r="M7" s="7"/>
    </row>
    <row r="8" spans="1:29" ht="13.5" thickBot="1">
      <c r="A8" s="24"/>
      <c r="B8" s="24"/>
      <c r="C8" s="24"/>
      <c r="D8" s="5"/>
      <c r="E8" s="5"/>
      <c r="F8" s="5"/>
      <c r="G8" s="5"/>
      <c r="H8" s="5"/>
      <c r="I8" s="5"/>
      <c r="J8" s="5"/>
      <c r="K8" s="5"/>
      <c r="L8" s="5"/>
      <c r="M8" s="5"/>
    </row>
    <row r="9" spans="1:29" ht="15.75" thickBot="1">
      <c r="A9" s="25" t="s">
        <v>2</v>
      </c>
      <c r="B9" s="24"/>
      <c r="C9" s="24"/>
      <c r="D9" s="26"/>
      <c r="E9" s="334" t="str">
        <f>'Sep 18'!E9</f>
        <v>n</v>
      </c>
      <c r="F9" s="5">
        <f>IF(E9="Both","enter sales invoices manually at row 30 onwards",0)</f>
        <v>0</v>
      </c>
      <c r="G9" s="5"/>
      <c r="H9" s="5"/>
      <c r="I9" s="5"/>
      <c r="J9" s="5"/>
      <c r="K9" s="5"/>
      <c r="L9" s="5"/>
      <c r="M9" s="5"/>
    </row>
    <row r="10" spans="1:29" ht="15.75" thickBot="1">
      <c r="A10" s="24"/>
      <c r="B10" s="24"/>
      <c r="C10" s="24"/>
      <c r="E10" s="27"/>
      <c r="F10" s="5"/>
      <c r="G10" s="5"/>
      <c r="H10" s="5"/>
      <c r="I10" s="5"/>
      <c r="J10" s="5"/>
      <c r="K10" s="5"/>
      <c r="L10" s="5"/>
      <c r="M10" s="5"/>
    </row>
    <row r="11" spans="1:29" ht="15.75" thickBot="1">
      <c r="A11" s="25" t="s">
        <v>4</v>
      </c>
      <c r="B11" s="24"/>
      <c r="C11" s="24"/>
      <c r="E11" s="334" t="str">
        <f>'Sep 18'!E11</f>
        <v>y</v>
      </c>
      <c r="F11" s="5"/>
      <c r="G11" s="5"/>
      <c r="H11" s="5"/>
      <c r="I11" s="5"/>
      <c r="J11" s="5"/>
      <c r="K11" s="65" t="s">
        <v>20</v>
      </c>
      <c r="L11" s="65"/>
      <c r="M11" s="5"/>
      <c r="N11" s="5"/>
      <c r="O11" s="14" t="s">
        <v>20</v>
      </c>
    </row>
    <row r="12" spans="1:29" ht="15.75" thickBot="1">
      <c r="A12" s="25" t="s">
        <v>306</v>
      </c>
      <c r="B12" s="24"/>
      <c r="C12" s="24"/>
      <c r="E12" s="335"/>
      <c r="F12" s="5"/>
      <c r="G12" s="5"/>
      <c r="H12" s="5"/>
      <c r="I12" s="5"/>
      <c r="J12" s="5"/>
      <c r="K12" s="5"/>
      <c r="L12" s="5"/>
      <c r="M12" s="5"/>
      <c r="N12" s="5"/>
    </row>
    <row r="13" spans="1:29">
      <c r="A13" s="310" t="s">
        <v>307</v>
      </c>
      <c r="B13" s="24"/>
      <c r="C13" s="24"/>
      <c r="E13" s="28"/>
      <c r="F13" s="5"/>
      <c r="G13" s="5"/>
      <c r="H13" s="5"/>
      <c r="I13" s="28"/>
      <c r="J13" s="28"/>
      <c r="K13" s="28"/>
      <c r="L13" s="28"/>
      <c r="M13" s="573" t="s">
        <v>6</v>
      </c>
      <c r="N13" s="28"/>
      <c r="O13" s="574" t="s">
        <v>300</v>
      </c>
      <c r="P13" s="58" t="s">
        <v>6</v>
      </c>
    </row>
    <row r="14" spans="1:29">
      <c r="A14" s="24"/>
      <c r="B14" s="24" t="s">
        <v>20</v>
      </c>
      <c r="D14" s="5"/>
      <c r="E14" s="5"/>
      <c r="F14" s="5"/>
      <c r="G14" s="5"/>
      <c r="H14" s="5"/>
      <c r="I14" s="28"/>
      <c r="J14" s="28"/>
      <c r="K14" s="28"/>
      <c r="L14" s="575" t="s">
        <v>290</v>
      </c>
      <c r="M14" s="573" t="s">
        <v>10</v>
      </c>
      <c r="N14" s="28"/>
      <c r="O14" s="574" t="s">
        <v>301</v>
      </c>
      <c r="P14" s="58" t="s">
        <v>10</v>
      </c>
    </row>
    <row r="15" spans="1:29" ht="13.5" thickBot="1">
      <c r="A15" s="569" t="s">
        <v>11</v>
      </c>
      <c r="B15" s="570" t="s">
        <v>13</v>
      </c>
      <c r="C15" s="571" t="s">
        <v>289</v>
      </c>
      <c r="D15" s="572" t="s">
        <v>14</v>
      </c>
      <c r="E15" s="572" t="s">
        <v>15</v>
      </c>
      <c r="F15" s="572" t="s">
        <v>16</v>
      </c>
      <c r="G15" s="572" t="s">
        <v>17</v>
      </c>
      <c r="H15" s="5"/>
      <c r="I15" s="572" t="s">
        <v>11</v>
      </c>
      <c r="J15" s="572" t="s">
        <v>13</v>
      </c>
      <c r="K15" s="576" t="s">
        <v>144</v>
      </c>
      <c r="L15" s="577" t="s">
        <v>291</v>
      </c>
      <c r="M15" s="578" t="s">
        <v>71</v>
      </c>
      <c r="N15" s="572" t="s">
        <v>130</v>
      </c>
      <c r="O15" s="579" t="s">
        <v>302</v>
      </c>
      <c r="P15" s="580" t="s">
        <v>19</v>
      </c>
    </row>
    <row r="16" spans="1:29">
      <c r="A16" s="554" t="s">
        <v>20</v>
      </c>
      <c r="B16" s="32"/>
      <c r="C16" s="33" t="s">
        <v>77</v>
      </c>
      <c r="D16" s="346">
        <f>'Sep 18'!D54</f>
        <v>0</v>
      </c>
      <c r="E16" s="346">
        <f>'Sep 18'!E54</f>
        <v>108350</v>
      </c>
      <c r="F16" s="346">
        <f>'Sep 18'!F54</f>
        <v>130020</v>
      </c>
      <c r="G16" s="259">
        <f>'Sep 18'!G54</f>
        <v>21670</v>
      </c>
      <c r="H16" s="34"/>
      <c r="I16" s="153" t="s">
        <v>20</v>
      </c>
      <c r="J16" s="152" t="s">
        <v>77</v>
      </c>
      <c r="K16" s="154"/>
      <c r="L16" s="486">
        <f>'Sep 18'!L54</f>
        <v>137280</v>
      </c>
      <c r="M16" s="263">
        <f>'Sep 18'!M54</f>
        <v>195.09</v>
      </c>
      <c r="N16" s="263">
        <f>'Sep 18'!N54</f>
        <v>0</v>
      </c>
      <c r="O16" s="263">
        <f>'Sep 18'!O54</f>
        <v>101044.25</v>
      </c>
      <c r="P16" s="257">
        <f>'Sep 18'!P54</f>
        <v>-169.29</v>
      </c>
      <c r="Q16" s="17"/>
    </row>
    <row r="17" spans="1:16">
      <c r="A17" s="555"/>
      <c r="B17" s="548" t="s">
        <v>501</v>
      </c>
      <c r="C17" s="2"/>
      <c r="D17" s="346">
        <f>IF(E$9="y",F17-G17,0)</f>
        <v>0</v>
      </c>
      <c r="E17" s="346">
        <f>IF(E$9="n",F17-G17,0)</f>
        <v>19250</v>
      </c>
      <c r="F17" s="558">
        <v>23100</v>
      </c>
      <c r="G17" s="551">
        <f>IF(($E$11="n"),0,IF((LEFT(C17,1)="v"),F17,IF((LEFT(C17,1)="z"),0,F17*1/6)))</f>
        <v>3850</v>
      </c>
      <c r="H17" s="34"/>
      <c r="I17" s="560"/>
      <c r="J17" s="743" t="s">
        <v>477</v>
      </c>
      <c r="K17" s="567"/>
      <c r="L17" s="585">
        <v>15840</v>
      </c>
      <c r="M17" s="562"/>
      <c r="N17" s="562"/>
      <c r="O17" s="562"/>
      <c r="P17" s="563"/>
    </row>
    <row r="18" spans="1:16">
      <c r="A18" s="555"/>
      <c r="B18" s="1"/>
      <c r="C18" s="2"/>
      <c r="D18" s="346">
        <f t="shared" ref="D18:D52" si="0">IF(E$9="y",F18-G18,0)</f>
        <v>0</v>
      </c>
      <c r="E18" s="346">
        <f t="shared" ref="E18:E52" si="1">IF(E$9="n",F18-G18,0)</f>
        <v>0</v>
      </c>
      <c r="F18" s="558"/>
      <c r="G18" s="551">
        <f t="shared" ref="G18:G52" si="2">IF(($E$11="n"),0,IF((LEFT(C18,1)="v"),F18,IF((LEFT(C18,1)="z"),0,F18*1/6)))</f>
        <v>0</v>
      </c>
      <c r="H18" s="34"/>
      <c r="I18" s="560"/>
      <c r="J18" s="565"/>
      <c r="K18" s="567"/>
      <c r="L18" s="585"/>
      <c r="M18" s="562"/>
      <c r="N18" s="562"/>
      <c r="O18" s="562"/>
      <c r="P18" s="563">
        <v>6.91</v>
      </c>
    </row>
    <row r="19" spans="1:16">
      <c r="A19" s="555"/>
      <c r="B19" s="1"/>
      <c r="C19" s="2"/>
      <c r="D19" s="346">
        <f t="shared" si="0"/>
        <v>0</v>
      </c>
      <c r="E19" s="346">
        <f t="shared" si="1"/>
        <v>0</v>
      </c>
      <c r="F19" s="558"/>
      <c r="G19" s="551">
        <f t="shared" si="2"/>
        <v>0</v>
      </c>
      <c r="H19" s="34"/>
      <c r="I19" s="560"/>
      <c r="J19" s="565"/>
      <c r="K19" s="567"/>
      <c r="L19" s="585"/>
      <c r="M19" s="562"/>
      <c r="N19" s="562"/>
      <c r="O19" s="562"/>
      <c r="P19" s="563"/>
    </row>
    <row r="20" spans="1:16">
      <c r="A20" s="555"/>
      <c r="B20" s="1"/>
      <c r="C20" s="2"/>
      <c r="D20" s="346">
        <f t="shared" si="0"/>
        <v>0</v>
      </c>
      <c r="E20" s="346">
        <f t="shared" si="1"/>
        <v>0</v>
      </c>
      <c r="F20" s="558"/>
      <c r="G20" s="551">
        <f t="shared" si="2"/>
        <v>0</v>
      </c>
      <c r="H20" s="34"/>
      <c r="I20" s="560"/>
      <c r="J20" s="565"/>
      <c r="K20" s="567"/>
      <c r="L20" s="585"/>
      <c r="M20" s="562"/>
      <c r="N20" s="562"/>
      <c r="O20" s="562"/>
      <c r="P20" s="563"/>
    </row>
    <row r="21" spans="1:16">
      <c r="A21" s="555"/>
      <c r="B21" s="1"/>
      <c r="C21" s="2"/>
      <c r="D21" s="346">
        <f t="shared" si="0"/>
        <v>0</v>
      </c>
      <c r="E21" s="346">
        <f t="shared" si="1"/>
        <v>0</v>
      </c>
      <c r="F21" s="558"/>
      <c r="G21" s="551">
        <f t="shared" si="2"/>
        <v>0</v>
      </c>
      <c r="H21" s="34"/>
      <c r="I21" s="560"/>
      <c r="J21" s="565"/>
      <c r="K21" s="567"/>
      <c r="L21" s="585"/>
      <c r="M21" s="562"/>
      <c r="N21" s="562"/>
      <c r="O21" s="562"/>
      <c r="P21" s="563"/>
    </row>
    <row r="22" spans="1:16">
      <c r="A22" s="555"/>
      <c r="B22" s="1"/>
      <c r="C22" s="2"/>
      <c r="D22" s="346">
        <f t="shared" si="0"/>
        <v>0</v>
      </c>
      <c r="E22" s="346">
        <f t="shared" si="1"/>
        <v>0</v>
      </c>
      <c r="F22" s="558"/>
      <c r="G22" s="551">
        <f t="shared" si="2"/>
        <v>0</v>
      </c>
      <c r="H22" s="34"/>
      <c r="I22" s="560"/>
      <c r="J22" s="565"/>
      <c r="K22" s="567"/>
      <c r="L22" s="585"/>
      <c r="M22" s="562"/>
      <c r="N22" s="562"/>
      <c r="O22" s="562"/>
      <c r="P22" s="563"/>
    </row>
    <row r="23" spans="1:16">
      <c r="A23" s="555"/>
      <c r="B23" s="1"/>
      <c r="C23" s="2"/>
      <c r="D23" s="346">
        <f t="shared" si="0"/>
        <v>0</v>
      </c>
      <c r="E23" s="346">
        <f t="shared" si="1"/>
        <v>0</v>
      </c>
      <c r="F23" s="558"/>
      <c r="G23" s="551">
        <f t="shared" si="2"/>
        <v>0</v>
      </c>
      <c r="H23" s="34"/>
      <c r="I23" s="560"/>
      <c r="J23" s="565"/>
      <c r="K23" s="567"/>
      <c r="L23" s="585"/>
      <c r="M23" s="562"/>
      <c r="N23" s="562"/>
      <c r="O23" s="562"/>
      <c r="P23" s="563"/>
    </row>
    <row r="24" spans="1:16">
      <c r="A24" s="555"/>
      <c r="B24" s="1"/>
      <c r="C24" s="2"/>
      <c r="D24" s="346">
        <f t="shared" si="0"/>
        <v>0</v>
      </c>
      <c r="E24" s="346">
        <f t="shared" si="1"/>
        <v>0</v>
      </c>
      <c r="F24" s="558"/>
      <c r="G24" s="551">
        <f t="shared" si="2"/>
        <v>0</v>
      </c>
      <c r="H24" s="34"/>
      <c r="I24" s="560"/>
      <c r="J24" s="565"/>
      <c r="K24" s="567"/>
      <c r="L24" s="585"/>
      <c r="M24" s="562"/>
      <c r="N24" s="562"/>
      <c r="O24" s="562"/>
      <c r="P24" s="563"/>
    </row>
    <row r="25" spans="1:16">
      <c r="A25" s="555"/>
      <c r="B25" s="1"/>
      <c r="C25" s="2"/>
      <c r="D25" s="346">
        <f t="shared" si="0"/>
        <v>0</v>
      </c>
      <c r="E25" s="346">
        <f t="shared" si="1"/>
        <v>0</v>
      </c>
      <c r="F25" s="558"/>
      <c r="G25" s="551">
        <f t="shared" si="2"/>
        <v>0</v>
      </c>
      <c r="H25" s="34"/>
      <c r="I25" s="560"/>
      <c r="J25" s="565"/>
      <c r="K25" s="567"/>
      <c r="L25" s="585"/>
      <c r="M25" s="562"/>
      <c r="N25" s="562"/>
      <c r="O25" s="562"/>
      <c r="P25" s="563"/>
    </row>
    <row r="26" spans="1:16">
      <c r="A26" s="555"/>
      <c r="B26" s="1"/>
      <c r="C26" s="2"/>
      <c r="D26" s="346">
        <f t="shared" si="0"/>
        <v>0</v>
      </c>
      <c r="E26" s="346">
        <f t="shared" si="1"/>
        <v>0</v>
      </c>
      <c r="F26" s="558"/>
      <c r="G26" s="551">
        <f t="shared" si="2"/>
        <v>0</v>
      </c>
      <c r="H26" s="34"/>
      <c r="I26" s="560"/>
      <c r="J26" s="565"/>
      <c r="K26" s="567"/>
      <c r="L26" s="585"/>
      <c r="M26" s="562"/>
      <c r="N26" s="562"/>
      <c r="O26" s="562"/>
      <c r="P26" s="563"/>
    </row>
    <row r="27" spans="1:16">
      <c r="A27" s="555"/>
      <c r="B27" s="1"/>
      <c r="C27" s="2"/>
      <c r="D27" s="346">
        <f t="shared" si="0"/>
        <v>0</v>
      </c>
      <c r="E27" s="346">
        <f t="shared" si="1"/>
        <v>0</v>
      </c>
      <c r="F27" s="558"/>
      <c r="G27" s="551">
        <f t="shared" si="2"/>
        <v>0</v>
      </c>
      <c r="H27" s="34"/>
      <c r="I27" s="560"/>
      <c r="J27" s="565"/>
      <c r="K27" s="567"/>
      <c r="L27" s="585"/>
      <c r="M27" s="562"/>
      <c r="N27" s="562"/>
      <c r="O27" s="562"/>
      <c r="P27" s="563"/>
    </row>
    <row r="28" spans="1:16">
      <c r="A28" s="555"/>
      <c r="B28" s="1"/>
      <c r="C28" s="2"/>
      <c r="D28" s="346">
        <f t="shared" si="0"/>
        <v>0</v>
      </c>
      <c r="E28" s="346">
        <f t="shared" si="1"/>
        <v>0</v>
      </c>
      <c r="F28" s="558"/>
      <c r="G28" s="551">
        <f t="shared" si="2"/>
        <v>0</v>
      </c>
      <c r="H28" s="34"/>
      <c r="I28" s="560"/>
      <c r="J28" s="565"/>
      <c r="K28" s="567"/>
      <c r="L28" s="585"/>
      <c r="M28" s="562"/>
      <c r="N28" s="562"/>
      <c r="O28" s="562"/>
      <c r="P28" s="563"/>
    </row>
    <row r="29" spans="1:16">
      <c r="A29" s="555"/>
      <c r="B29" s="1"/>
      <c r="C29" s="2"/>
      <c r="D29" s="346">
        <f t="shared" si="0"/>
        <v>0</v>
      </c>
      <c r="E29" s="346">
        <f t="shared" si="1"/>
        <v>0</v>
      </c>
      <c r="F29" s="558"/>
      <c r="G29" s="551">
        <f t="shared" si="2"/>
        <v>0</v>
      </c>
      <c r="H29" s="34"/>
      <c r="I29" s="560"/>
      <c r="J29" s="565"/>
      <c r="K29" s="567"/>
      <c r="L29" s="585"/>
      <c r="M29" s="562"/>
      <c r="N29" s="562"/>
      <c r="O29" s="562"/>
      <c r="P29" s="563"/>
    </row>
    <row r="30" spans="1:16">
      <c r="A30" s="555"/>
      <c r="B30" s="1"/>
      <c r="C30" s="2"/>
      <c r="D30" s="346">
        <f t="shared" si="0"/>
        <v>0</v>
      </c>
      <c r="E30" s="346">
        <f t="shared" si="1"/>
        <v>0</v>
      </c>
      <c r="F30" s="558"/>
      <c r="G30" s="551">
        <f t="shared" si="2"/>
        <v>0</v>
      </c>
      <c r="H30" s="34"/>
      <c r="I30" s="560"/>
      <c r="J30" s="565"/>
      <c r="K30" s="567"/>
      <c r="L30" s="585"/>
      <c r="M30" s="562"/>
      <c r="N30" s="562"/>
      <c r="O30" s="562"/>
      <c r="P30" s="563"/>
    </row>
    <row r="31" spans="1:16">
      <c r="A31" s="555"/>
      <c r="B31" s="1"/>
      <c r="C31" s="2"/>
      <c r="D31" s="346">
        <f t="shared" si="0"/>
        <v>0</v>
      </c>
      <c r="E31" s="346">
        <f t="shared" si="1"/>
        <v>0</v>
      </c>
      <c r="F31" s="558"/>
      <c r="G31" s="551">
        <f t="shared" si="2"/>
        <v>0</v>
      </c>
      <c r="H31" s="34"/>
      <c r="I31" s="560"/>
      <c r="J31" s="565"/>
      <c r="K31" s="567"/>
      <c r="L31" s="585"/>
      <c r="M31" s="562"/>
      <c r="N31" s="562"/>
      <c r="O31" s="562"/>
      <c r="P31" s="563"/>
    </row>
    <row r="32" spans="1:16">
      <c r="A32" s="555"/>
      <c r="B32" s="1"/>
      <c r="C32" s="2"/>
      <c r="D32" s="346">
        <f t="shared" si="0"/>
        <v>0</v>
      </c>
      <c r="E32" s="346">
        <f t="shared" si="1"/>
        <v>0</v>
      </c>
      <c r="F32" s="558"/>
      <c r="G32" s="551">
        <f t="shared" si="2"/>
        <v>0</v>
      </c>
      <c r="H32" s="34"/>
      <c r="I32" s="560"/>
      <c r="J32" s="565"/>
      <c r="K32" s="567"/>
      <c r="L32" s="585"/>
      <c r="M32" s="562"/>
      <c r="N32" s="562"/>
      <c r="O32" s="562"/>
      <c r="P32" s="563"/>
    </row>
    <row r="33" spans="1:16">
      <c r="A33" s="555"/>
      <c r="B33" s="1"/>
      <c r="C33" s="2"/>
      <c r="D33" s="346">
        <f t="shared" si="0"/>
        <v>0</v>
      </c>
      <c r="E33" s="346">
        <f t="shared" si="1"/>
        <v>0</v>
      </c>
      <c r="F33" s="558"/>
      <c r="G33" s="551">
        <f t="shared" si="2"/>
        <v>0</v>
      </c>
      <c r="H33" s="34"/>
      <c r="I33" s="560"/>
      <c r="J33" s="565"/>
      <c r="K33" s="567"/>
      <c r="L33" s="585"/>
      <c r="M33" s="562"/>
      <c r="N33" s="562"/>
      <c r="O33" s="562"/>
      <c r="P33" s="563"/>
    </row>
    <row r="34" spans="1:16">
      <c r="A34" s="555"/>
      <c r="B34" s="1"/>
      <c r="C34" s="2"/>
      <c r="D34" s="346">
        <f t="shared" si="0"/>
        <v>0</v>
      </c>
      <c r="E34" s="346">
        <f t="shared" si="1"/>
        <v>0</v>
      </c>
      <c r="F34" s="558"/>
      <c r="G34" s="551">
        <f t="shared" si="2"/>
        <v>0</v>
      </c>
      <c r="H34" s="34"/>
      <c r="I34" s="560"/>
      <c r="J34" s="565"/>
      <c r="K34" s="567"/>
      <c r="L34" s="585"/>
      <c r="M34" s="562"/>
      <c r="N34" s="562"/>
      <c r="O34" s="562"/>
      <c r="P34" s="563"/>
    </row>
    <row r="35" spans="1:16">
      <c r="A35" s="555"/>
      <c r="B35" s="1"/>
      <c r="C35" s="2"/>
      <c r="D35" s="346">
        <f t="shared" si="0"/>
        <v>0</v>
      </c>
      <c r="E35" s="346">
        <f t="shared" si="1"/>
        <v>0</v>
      </c>
      <c r="F35" s="558"/>
      <c r="G35" s="551">
        <f t="shared" si="2"/>
        <v>0</v>
      </c>
      <c r="H35" s="34"/>
      <c r="I35" s="560"/>
      <c r="J35" s="565"/>
      <c r="K35" s="567"/>
      <c r="L35" s="585"/>
      <c r="M35" s="562"/>
      <c r="N35" s="562"/>
      <c r="O35" s="562"/>
      <c r="P35" s="563"/>
    </row>
    <row r="36" spans="1:16">
      <c r="A36" s="555"/>
      <c r="B36" s="1"/>
      <c r="C36" s="2"/>
      <c r="D36" s="346">
        <f t="shared" si="0"/>
        <v>0</v>
      </c>
      <c r="E36" s="346">
        <f t="shared" si="1"/>
        <v>0</v>
      </c>
      <c r="F36" s="558"/>
      <c r="G36" s="551">
        <f t="shared" si="2"/>
        <v>0</v>
      </c>
      <c r="H36" s="34"/>
      <c r="I36" s="560"/>
      <c r="J36" s="565"/>
      <c r="K36" s="567"/>
      <c r="L36" s="585"/>
      <c r="M36" s="562"/>
      <c r="N36" s="562"/>
      <c r="O36" s="562"/>
      <c r="P36" s="563"/>
    </row>
    <row r="37" spans="1:16">
      <c r="A37" s="555"/>
      <c r="B37" s="1"/>
      <c r="C37" s="2"/>
      <c r="D37" s="346">
        <f t="shared" si="0"/>
        <v>0</v>
      </c>
      <c r="E37" s="346">
        <f t="shared" si="1"/>
        <v>0</v>
      </c>
      <c r="F37" s="558"/>
      <c r="G37" s="551">
        <f t="shared" si="2"/>
        <v>0</v>
      </c>
      <c r="H37" s="34"/>
      <c r="I37" s="560"/>
      <c r="J37" s="565"/>
      <c r="K37" s="567"/>
      <c r="L37" s="585"/>
      <c r="M37" s="562"/>
      <c r="N37" s="562"/>
      <c r="O37" s="562"/>
      <c r="P37" s="563"/>
    </row>
    <row r="38" spans="1:16">
      <c r="A38" s="555"/>
      <c r="B38" s="1"/>
      <c r="C38" s="2"/>
      <c r="D38" s="346">
        <f t="shared" si="0"/>
        <v>0</v>
      </c>
      <c r="E38" s="346">
        <f t="shared" si="1"/>
        <v>0</v>
      </c>
      <c r="F38" s="558"/>
      <c r="G38" s="551">
        <f t="shared" si="2"/>
        <v>0</v>
      </c>
      <c r="H38" s="34"/>
      <c r="I38" s="560"/>
      <c r="J38" s="565"/>
      <c r="K38" s="567"/>
      <c r="L38" s="585"/>
      <c r="M38" s="562"/>
      <c r="N38" s="562"/>
      <c r="O38" s="562"/>
      <c r="P38" s="563"/>
    </row>
    <row r="39" spans="1:16" hidden="1">
      <c r="A39" s="555"/>
      <c r="B39" s="1"/>
      <c r="C39" s="2"/>
      <c r="D39" s="346">
        <f t="shared" si="0"/>
        <v>0</v>
      </c>
      <c r="E39" s="346">
        <f t="shared" si="1"/>
        <v>0</v>
      </c>
      <c r="F39" s="558"/>
      <c r="G39" s="551">
        <f t="shared" si="2"/>
        <v>0</v>
      </c>
      <c r="H39" s="34"/>
      <c r="I39" s="560"/>
      <c r="J39" s="565"/>
      <c r="K39" s="567"/>
      <c r="L39" s="585"/>
      <c r="M39" s="562"/>
      <c r="N39" s="562"/>
      <c r="O39" s="562"/>
      <c r="P39" s="563"/>
    </row>
    <row r="40" spans="1:16" hidden="1">
      <c r="A40" s="555"/>
      <c r="B40" s="1"/>
      <c r="C40" s="2"/>
      <c r="D40" s="346">
        <f t="shared" si="0"/>
        <v>0</v>
      </c>
      <c r="E40" s="346">
        <f t="shared" si="1"/>
        <v>0</v>
      </c>
      <c r="F40" s="558"/>
      <c r="G40" s="551">
        <f t="shared" si="2"/>
        <v>0</v>
      </c>
      <c r="H40" s="34"/>
      <c r="I40" s="560"/>
      <c r="J40" s="565"/>
      <c r="K40" s="567"/>
      <c r="L40" s="585"/>
      <c r="M40" s="562"/>
      <c r="N40" s="562"/>
      <c r="O40" s="562"/>
      <c r="P40" s="563"/>
    </row>
    <row r="41" spans="1:16" hidden="1">
      <c r="A41" s="555"/>
      <c r="B41" s="549">
        <f>IF(E9="Both","Enter manual values here",0)</f>
        <v>0</v>
      </c>
      <c r="C41" s="2"/>
      <c r="D41" s="552">
        <f t="shared" si="0"/>
        <v>0</v>
      </c>
      <c r="E41" s="552">
        <f t="shared" si="1"/>
        <v>0</v>
      </c>
      <c r="F41" s="558"/>
      <c r="G41" s="551">
        <f t="shared" si="2"/>
        <v>0</v>
      </c>
      <c r="H41" s="34"/>
      <c r="I41" s="560"/>
      <c r="J41" s="565"/>
      <c r="K41" s="567"/>
      <c r="L41" s="585"/>
      <c r="M41" s="562"/>
      <c r="N41" s="562"/>
      <c r="O41" s="562"/>
      <c r="P41" s="563"/>
    </row>
    <row r="42" spans="1:16" hidden="1">
      <c r="A42" s="555"/>
      <c r="B42" s="1"/>
      <c r="C42" s="2"/>
      <c r="D42" s="552">
        <f t="shared" si="0"/>
        <v>0</v>
      </c>
      <c r="E42" s="552">
        <f t="shared" si="1"/>
        <v>0</v>
      </c>
      <c r="F42" s="558"/>
      <c r="G42" s="551">
        <f t="shared" si="2"/>
        <v>0</v>
      </c>
      <c r="H42" s="34"/>
      <c r="I42" s="560"/>
      <c r="J42" s="565"/>
      <c r="K42" s="567"/>
      <c r="L42" s="585"/>
      <c r="M42" s="562"/>
      <c r="N42" s="562"/>
      <c r="O42" s="562"/>
      <c r="P42" s="563"/>
    </row>
    <row r="43" spans="1:16" hidden="1">
      <c r="A43" s="555"/>
      <c r="B43" s="1"/>
      <c r="C43" s="2"/>
      <c r="D43" s="552">
        <f t="shared" si="0"/>
        <v>0</v>
      </c>
      <c r="E43" s="552">
        <f t="shared" si="1"/>
        <v>0</v>
      </c>
      <c r="F43" s="558"/>
      <c r="G43" s="551">
        <f t="shared" si="2"/>
        <v>0</v>
      </c>
      <c r="H43" s="34"/>
      <c r="I43" s="560"/>
      <c r="J43" s="565"/>
      <c r="K43" s="567"/>
      <c r="L43" s="585"/>
      <c r="M43" s="562"/>
      <c r="N43" s="562"/>
      <c r="O43" s="562"/>
      <c r="P43" s="563"/>
    </row>
    <row r="44" spans="1:16" hidden="1">
      <c r="A44" s="555"/>
      <c r="B44" s="1"/>
      <c r="C44" s="2"/>
      <c r="D44" s="552">
        <f t="shared" si="0"/>
        <v>0</v>
      </c>
      <c r="E44" s="552">
        <f t="shared" si="1"/>
        <v>0</v>
      </c>
      <c r="F44" s="558"/>
      <c r="G44" s="551">
        <f t="shared" si="2"/>
        <v>0</v>
      </c>
      <c r="H44" s="34"/>
      <c r="I44" s="560"/>
      <c r="J44" s="565"/>
      <c r="K44" s="567"/>
      <c r="L44" s="585"/>
      <c r="M44" s="562"/>
      <c r="N44" s="562"/>
      <c r="O44" s="562"/>
      <c r="P44" s="563"/>
    </row>
    <row r="45" spans="1:16" hidden="1">
      <c r="A45" s="555"/>
      <c r="B45" s="1"/>
      <c r="C45" s="2"/>
      <c r="D45" s="552">
        <f t="shared" si="0"/>
        <v>0</v>
      </c>
      <c r="E45" s="552">
        <f t="shared" si="1"/>
        <v>0</v>
      </c>
      <c r="F45" s="558"/>
      <c r="G45" s="551">
        <f t="shared" si="2"/>
        <v>0</v>
      </c>
      <c r="H45" s="34"/>
      <c r="I45" s="560"/>
      <c r="J45" s="565"/>
      <c r="K45" s="567"/>
      <c r="L45" s="585"/>
      <c r="M45" s="562"/>
      <c r="N45" s="562"/>
      <c r="O45" s="562"/>
      <c r="P45" s="563"/>
    </row>
    <row r="46" spans="1:16" hidden="1">
      <c r="A46" s="555"/>
      <c r="B46" s="1"/>
      <c r="C46" s="2"/>
      <c r="D46" s="552">
        <f t="shared" si="0"/>
        <v>0</v>
      </c>
      <c r="E46" s="552">
        <f t="shared" si="1"/>
        <v>0</v>
      </c>
      <c r="F46" s="558"/>
      <c r="G46" s="551">
        <f t="shared" si="2"/>
        <v>0</v>
      </c>
      <c r="H46" s="34"/>
      <c r="I46" s="560"/>
      <c r="J46" s="565"/>
      <c r="K46" s="567"/>
      <c r="L46" s="585"/>
      <c r="M46" s="562"/>
      <c r="N46" s="562"/>
      <c r="O46" s="562"/>
      <c r="P46" s="563"/>
    </row>
    <row r="47" spans="1:16" hidden="1">
      <c r="A47" s="555"/>
      <c r="B47" s="1"/>
      <c r="C47" s="2"/>
      <c r="D47" s="552">
        <f t="shared" si="0"/>
        <v>0</v>
      </c>
      <c r="E47" s="552">
        <f t="shared" si="1"/>
        <v>0</v>
      </c>
      <c r="F47" s="558"/>
      <c r="G47" s="551">
        <f t="shared" si="2"/>
        <v>0</v>
      </c>
      <c r="H47" s="34"/>
      <c r="I47" s="560"/>
      <c r="J47" s="565"/>
      <c r="K47" s="567"/>
      <c r="L47" s="585"/>
      <c r="M47" s="562"/>
      <c r="N47" s="562"/>
      <c r="O47" s="562"/>
      <c r="P47" s="563"/>
    </row>
    <row r="48" spans="1:16" hidden="1">
      <c r="A48" s="555"/>
      <c r="B48" s="1"/>
      <c r="C48" s="2"/>
      <c r="D48" s="552">
        <f t="shared" si="0"/>
        <v>0</v>
      </c>
      <c r="E48" s="552">
        <f t="shared" si="1"/>
        <v>0</v>
      </c>
      <c r="F48" s="558"/>
      <c r="G48" s="551">
        <f t="shared" si="2"/>
        <v>0</v>
      </c>
      <c r="H48" s="34"/>
      <c r="I48" s="560"/>
      <c r="J48" s="565"/>
      <c r="K48" s="567"/>
      <c r="L48" s="585"/>
      <c r="M48" s="562"/>
      <c r="N48" s="562"/>
      <c r="O48" s="562"/>
      <c r="P48" s="563"/>
    </row>
    <row r="49" spans="1:32" hidden="1">
      <c r="A49" s="555"/>
      <c r="B49" s="1"/>
      <c r="C49" s="2"/>
      <c r="D49" s="552">
        <f t="shared" si="0"/>
        <v>0</v>
      </c>
      <c r="E49" s="552">
        <f t="shared" si="1"/>
        <v>0</v>
      </c>
      <c r="F49" s="558"/>
      <c r="G49" s="551">
        <f t="shared" si="2"/>
        <v>0</v>
      </c>
      <c r="H49" s="34"/>
      <c r="I49" s="560"/>
      <c r="J49" s="565"/>
      <c r="K49" s="567"/>
      <c r="L49" s="585"/>
      <c r="M49" s="562"/>
      <c r="N49" s="562"/>
      <c r="O49" s="562"/>
      <c r="P49" s="563"/>
    </row>
    <row r="50" spans="1:32" hidden="1">
      <c r="A50" s="555"/>
      <c r="B50" s="1"/>
      <c r="C50" s="2"/>
      <c r="D50" s="552">
        <f t="shared" si="0"/>
        <v>0</v>
      </c>
      <c r="E50" s="552">
        <f t="shared" si="1"/>
        <v>0</v>
      </c>
      <c r="F50" s="558"/>
      <c r="G50" s="551">
        <f t="shared" si="2"/>
        <v>0</v>
      </c>
      <c r="H50" s="34"/>
      <c r="I50" s="560"/>
      <c r="J50" s="565"/>
      <c r="K50" s="567"/>
      <c r="L50" s="585"/>
      <c r="M50" s="562"/>
      <c r="N50" s="562"/>
      <c r="O50" s="562"/>
      <c r="P50" s="563"/>
    </row>
    <row r="51" spans="1:32" hidden="1">
      <c r="A51" s="555"/>
      <c r="B51" s="1"/>
      <c r="C51" s="2"/>
      <c r="D51" s="552">
        <f t="shared" si="0"/>
        <v>0</v>
      </c>
      <c r="E51" s="552">
        <f t="shared" si="1"/>
        <v>0</v>
      </c>
      <c r="F51" s="558"/>
      <c r="G51" s="551">
        <f t="shared" si="2"/>
        <v>0</v>
      </c>
      <c r="H51" s="34"/>
      <c r="I51" s="560"/>
      <c r="J51" s="565"/>
      <c r="K51" s="567"/>
      <c r="L51" s="585"/>
      <c r="M51" s="562"/>
      <c r="N51" s="562"/>
      <c r="O51" s="562"/>
      <c r="P51" s="563"/>
    </row>
    <row r="52" spans="1:32" ht="13.5" thickBot="1">
      <c r="A52" s="556"/>
      <c r="B52" s="3"/>
      <c r="C52" s="4"/>
      <c r="D52" s="552">
        <f t="shared" si="0"/>
        <v>0</v>
      </c>
      <c r="E52" s="552">
        <f t="shared" si="1"/>
        <v>0</v>
      </c>
      <c r="F52" s="558"/>
      <c r="G52" s="551">
        <f t="shared" si="2"/>
        <v>0</v>
      </c>
      <c r="H52" s="34"/>
      <c r="I52" s="561"/>
      <c r="J52" s="566"/>
      <c r="K52" s="568"/>
      <c r="L52" s="586"/>
      <c r="M52" s="564"/>
      <c r="N52" s="564"/>
      <c r="O52" s="564"/>
      <c r="P52" s="587"/>
    </row>
    <row r="53" spans="1:32" s="10" customFormat="1" ht="14.25">
      <c r="A53" s="89" t="s">
        <v>26</v>
      </c>
      <c r="B53" s="90"/>
      <c r="C53" s="91"/>
      <c r="D53" s="92">
        <f>SUM(D17:D52)</f>
        <v>0</v>
      </c>
      <c r="E53" s="92">
        <f>SUM(E17:E52)</f>
        <v>19250</v>
      </c>
      <c r="F53" s="92">
        <f>SUM(F17:F52)</f>
        <v>23100</v>
      </c>
      <c r="G53" s="208">
        <f>SUM(G17:G52)</f>
        <v>3850</v>
      </c>
      <c r="H53" s="588"/>
      <c r="I53" s="589" t="s">
        <v>26</v>
      </c>
      <c r="J53" s="91"/>
      <c r="K53" s="590"/>
      <c r="L53" s="92">
        <f>SUM(L17:L52)</f>
        <v>15840</v>
      </c>
      <c r="M53" s="92">
        <f>SUM(M17:M52)</f>
        <v>0</v>
      </c>
      <c r="N53" s="92">
        <f>SUM(N17:N52)</f>
        <v>0</v>
      </c>
      <c r="O53" s="92">
        <f>SUM(O17:O52)</f>
        <v>0</v>
      </c>
      <c r="P53" s="208">
        <f>SUM(P17:P52)</f>
        <v>6.91</v>
      </c>
      <c r="AD53" s="630"/>
      <c r="AE53" s="630"/>
      <c r="AF53" s="634"/>
    </row>
    <row r="54" spans="1:32" s="10" customFormat="1" ht="13.5" thickBot="1">
      <c r="A54" s="38" t="s">
        <v>78</v>
      </c>
      <c r="B54" s="38"/>
      <c r="C54" s="38"/>
      <c r="D54" s="643">
        <f>SUM(D16:D52)</f>
        <v>0</v>
      </c>
      <c r="E54" s="643">
        <f>SUM(E16:E52)</f>
        <v>127600</v>
      </c>
      <c r="F54" s="643">
        <f>SUM(F16:F52)</f>
        <v>153120</v>
      </c>
      <c r="G54" s="644">
        <f>SUM(G16:G52)</f>
        <v>25520</v>
      </c>
      <c r="H54" s="588"/>
      <c r="I54" s="591" t="s">
        <v>78</v>
      </c>
      <c r="J54" s="38"/>
      <c r="K54" s="151"/>
      <c r="L54" s="643">
        <f>SUM(L16:L52)</f>
        <v>153120</v>
      </c>
      <c r="M54" s="643">
        <f>SUM(M16:M52)</f>
        <v>195.09</v>
      </c>
      <c r="N54" s="643">
        <f>SUM(N16:N52)</f>
        <v>0</v>
      </c>
      <c r="O54" s="643">
        <f>SUM(O16:O52)</f>
        <v>101044.25</v>
      </c>
      <c r="P54" s="645">
        <f>SUM(P16:P52)</f>
        <v>-162.38</v>
      </c>
      <c r="AD54" s="630"/>
      <c r="AE54" s="630"/>
      <c r="AF54" s="634"/>
    </row>
    <row r="55" spans="1:32">
      <c r="A55" s="16"/>
      <c r="B55" s="17"/>
      <c r="C55" s="16"/>
      <c r="D55" s="18"/>
      <c r="E55" s="18"/>
      <c r="F55" s="18"/>
      <c r="G55" s="18"/>
      <c r="H55" s="18"/>
      <c r="I55" s="18"/>
      <c r="J55" s="18"/>
      <c r="K55" s="18"/>
      <c r="L55" s="18"/>
      <c r="M55" s="18"/>
      <c r="N55" s="18"/>
    </row>
    <row r="56" spans="1:32" ht="15.75" hidden="1">
      <c r="A56" s="104" t="s">
        <v>124</v>
      </c>
      <c r="B56" s="55"/>
      <c r="C56" s="16"/>
      <c r="D56" s="104" t="s">
        <v>135</v>
      </c>
      <c r="E56" s="18"/>
      <c r="F56" s="18"/>
      <c r="G56" s="18"/>
      <c r="H56" s="18"/>
      <c r="I56" s="18"/>
      <c r="J56" s="18"/>
      <c r="K56" s="18"/>
      <c r="L56" s="18"/>
      <c r="M56" s="18"/>
      <c r="N56" s="18"/>
    </row>
    <row r="57" spans="1:32" hidden="1">
      <c r="A57" s="16"/>
      <c r="B57" s="17"/>
      <c r="C57" s="16"/>
      <c r="D57" s="18"/>
      <c r="E57" s="18"/>
      <c r="F57" s="18"/>
      <c r="G57" s="18"/>
      <c r="H57" s="18"/>
      <c r="I57" s="18"/>
      <c r="J57" s="18"/>
      <c r="K57" s="18"/>
      <c r="L57" s="18"/>
      <c r="M57" s="18"/>
      <c r="N57" s="18"/>
    </row>
    <row r="58" spans="1:32" ht="18" hidden="1">
      <c r="A58" s="66" t="s">
        <v>28</v>
      </c>
      <c r="B58" s="17"/>
      <c r="C58" s="75">
        <f>IF(E9="y",G59*0.95-(SUM(H197:K197)),0)</f>
        <v>0</v>
      </c>
      <c r="E58" s="113" t="s">
        <v>136</v>
      </c>
      <c r="F58" s="70" t="s">
        <v>138</v>
      </c>
      <c r="G58" s="70" t="s">
        <v>137</v>
      </c>
      <c r="H58" s="18"/>
      <c r="I58" s="18"/>
      <c r="J58" s="18"/>
      <c r="K58" s="18"/>
      <c r="L58" s="18"/>
      <c r="M58" s="18"/>
    </row>
    <row r="59" spans="1:32" ht="18" hidden="1">
      <c r="A59" s="66" t="s">
        <v>28</v>
      </c>
      <c r="B59" s="17"/>
      <c r="C59" s="75">
        <f>IF(E9="both",G59*0.95-(SUM(H197:K197)),0)</f>
        <v>0</v>
      </c>
      <c r="D59" s="70" t="s">
        <v>14</v>
      </c>
      <c r="E59" s="70">
        <f>+D53</f>
        <v>0</v>
      </c>
      <c r="F59" s="70">
        <f>+G59-E59</f>
        <v>0</v>
      </c>
      <c r="G59" s="70">
        <f>IF(E59+E60&lt;&gt;0,E59/(E59+E60)*(G61-G62),0)</f>
        <v>0</v>
      </c>
      <c r="H59" s="18"/>
      <c r="I59" s="18"/>
      <c r="J59" s="18"/>
      <c r="K59" s="18"/>
      <c r="L59" s="18"/>
      <c r="M59" s="18"/>
    </row>
    <row r="60" spans="1:32" hidden="1">
      <c r="A60" s="16"/>
      <c r="B60" s="17"/>
      <c r="C60" s="16"/>
      <c r="D60" s="70" t="s">
        <v>15</v>
      </c>
      <c r="E60" s="70">
        <f>+E53</f>
        <v>19250</v>
      </c>
      <c r="F60" s="70">
        <f>+G60-E60</f>
        <v>0</v>
      </c>
      <c r="G60" s="70">
        <f>IF(E59+E60&lt;&gt;0,E60/(E59+E60)*(G61-G62),0)</f>
        <v>19250</v>
      </c>
      <c r="H60" s="18"/>
      <c r="I60" s="18"/>
      <c r="J60" s="18"/>
      <c r="K60" s="18"/>
      <c r="L60" s="18"/>
      <c r="M60" s="18"/>
    </row>
    <row r="61" spans="1:32" hidden="1">
      <c r="A61" s="16"/>
      <c r="B61" s="17"/>
      <c r="C61" s="16"/>
      <c r="D61" s="70" t="s">
        <v>16</v>
      </c>
      <c r="E61" s="70">
        <f>+F53</f>
        <v>23100</v>
      </c>
      <c r="F61" s="70">
        <f>+G61-E61</f>
        <v>0</v>
      </c>
      <c r="G61" s="70">
        <f>+E61</f>
        <v>23100</v>
      </c>
      <c r="H61" s="18"/>
      <c r="I61" s="18"/>
      <c r="J61" s="18"/>
      <c r="K61" s="18"/>
      <c r="L61" s="18"/>
      <c r="M61" s="18"/>
    </row>
    <row r="62" spans="1:32" hidden="1">
      <c r="A62" s="67" t="s">
        <v>29</v>
      </c>
      <c r="B62" s="17"/>
      <c r="C62" s="70">
        <f>IF(E243&lt;=0,0,IF(C4&lt;42095,E265,E243))</f>
        <v>0</v>
      </c>
      <c r="D62" s="70" t="s">
        <v>17</v>
      </c>
      <c r="E62" s="70">
        <f>+G53</f>
        <v>3850</v>
      </c>
      <c r="F62" s="70">
        <f>+G62-E62</f>
        <v>0</v>
      </c>
      <c r="G62" s="70">
        <f>IF(E12&gt;0,(G61)*E12,E62)</f>
        <v>3850</v>
      </c>
      <c r="H62" s="18"/>
      <c r="I62" s="18"/>
      <c r="J62" s="18"/>
      <c r="K62" s="18"/>
      <c r="L62" s="18"/>
      <c r="M62" s="18"/>
    </row>
    <row r="63" spans="1:32" hidden="1">
      <c r="A63" s="392" t="s">
        <v>403</v>
      </c>
      <c r="B63" s="17"/>
      <c r="C63" s="53"/>
      <c r="D63" s="18"/>
      <c r="E63" s="18"/>
      <c r="F63" s="18"/>
      <c r="G63" s="18"/>
      <c r="H63" s="18"/>
      <c r="I63" s="18"/>
      <c r="J63" s="18"/>
      <c r="K63" s="18"/>
      <c r="L63" s="18"/>
      <c r="M63" s="18"/>
    </row>
    <row r="64" spans="1:32" hidden="1">
      <c r="A64" s="16"/>
      <c r="B64" s="17"/>
      <c r="C64" s="53"/>
      <c r="D64" s="18"/>
      <c r="E64" s="18"/>
      <c r="F64" s="18"/>
      <c r="G64" s="18"/>
      <c r="H64" s="18"/>
      <c r="I64" s="18"/>
      <c r="J64" s="18"/>
      <c r="K64" s="18"/>
      <c r="L64" s="18"/>
      <c r="M64" s="18"/>
    </row>
    <row r="65" spans="1:56" ht="18" hidden="1">
      <c r="A65" s="66" t="s">
        <v>74</v>
      </c>
      <c r="B65" s="17"/>
      <c r="C65" s="71"/>
      <c r="D65" s="18"/>
      <c r="E65" s="18"/>
      <c r="F65" s="18"/>
      <c r="G65" s="18"/>
      <c r="H65" s="18"/>
      <c r="I65" s="18"/>
      <c r="J65" s="18"/>
      <c r="K65" s="18"/>
      <c r="L65" s="18"/>
      <c r="M65" s="18"/>
    </row>
    <row r="66" spans="1:56" ht="18.75" hidden="1" thickBot="1">
      <c r="A66" s="66" t="s">
        <v>451</v>
      </c>
      <c r="B66" s="17"/>
      <c r="C66" s="72">
        <f>C62</f>
        <v>0</v>
      </c>
      <c r="D66" s="18"/>
      <c r="E66" s="18"/>
      <c r="F66" s="18"/>
      <c r="G66" s="18"/>
      <c r="H66" s="18"/>
      <c r="I66" s="18"/>
      <c r="J66" s="18"/>
      <c r="K66" s="18"/>
      <c r="L66" s="18"/>
      <c r="M66" s="18"/>
    </row>
    <row r="67" spans="1:56" ht="13.5" hidden="1" thickTop="1">
      <c r="A67" s="16"/>
      <c r="B67" s="17"/>
      <c r="C67" s="40"/>
      <c r="D67" s="18"/>
      <c r="E67" s="18"/>
      <c r="F67" s="18"/>
      <c r="G67" s="18"/>
      <c r="H67" s="18"/>
      <c r="I67" s="18"/>
      <c r="J67" s="18"/>
      <c r="K67" s="18"/>
      <c r="L67" s="18"/>
      <c r="M67" s="18"/>
    </row>
    <row r="68" spans="1:56" hidden="1">
      <c r="A68" s="16"/>
      <c r="B68" s="17"/>
      <c r="C68" s="16"/>
      <c r="D68" s="18"/>
      <c r="E68" s="18"/>
      <c r="F68" s="18"/>
      <c r="G68" s="18"/>
      <c r="H68" s="18"/>
      <c r="I68" s="18"/>
      <c r="J68" s="18"/>
      <c r="K68" s="18"/>
      <c r="L68" s="18"/>
      <c r="M68" s="18"/>
    </row>
    <row r="69" spans="1:56" ht="18.75" hidden="1" thickBot="1">
      <c r="A69" s="66" t="s">
        <v>30</v>
      </c>
      <c r="B69" s="17"/>
      <c r="C69" s="72">
        <f>C58+C59-C66</f>
        <v>0</v>
      </c>
      <c r="D69" s="18"/>
      <c r="E69" s="18"/>
      <c r="F69" s="18"/>
      <c r="G69" s="18"/>
      <c r="H69" s="18"/>
      <c r="I69" s="18"/>
      <c r="J69" s="18"/>
      <c r="K69" s="18"/>
      <c r="L69" s="18"/>
      <c r="M69" s="18"/>
    </row>
    <row r="70" spans="1:56" ht="13.5" hidden="1" thickTop="1">
      <c r="A70" s="16" t="s">
        <v>31</v>
      </c>
      <c r="B70" s="17"/>
      <c r="C70" s="16" t="s">
        <v>20</v>
      </c>
      <c r="D70" s="18"/>
      <c r="E70" s="18"/>
      <c r="F70" s="18"/>
      <c r="G70" s="18"/>
      <c r="H70" s="18"/>
      <c r="I70" s="18"/>
      <c r="J70" s="18"/>
      <c r="K70" s="18"/>
      <c r="L70" s="18"/>
      <c r="M70" s="18"/>
    </row>
    <row r="71" spans="1:56" hidden="1">
      <c r="A71" s="16"/>
      <c r="B71" s="17"/>
      <c r="C71" s="16"/>
      <c r="D71" s="18"/>
      <c r="E71" s="18"/>
      <c r="F71" s="18"/>
      <c r="G71" s="18"/>
      <c r="H71" s="18"/>
      <c r="I71" s="18"/>
      <c r="J71" s="18"/>
      <c r="K71" s="18"/>
      <c r="L71" s="18"/>
      <c r="M71" s="18"/>
    </row>
    <row r="72" spans="1:56">
      <c r="A72" s="16"/>
      <c r="B72" s="17"/>
      <c r="C72" s="16"/>
      <c r="D72" s="18"/>
      <c r="E72" s="18"/>
      <c r="F72" s="18"/>
      <c r="G72" s="18"/>
      <c r="H72" s="18"/>
      <c r="I72" s="18"/>
      <c r="J72" s="18"/>
      <c r="K72" s="18"/>
      <c r="L72" s="18"/>
      <c r="M72" s="18"/>
    </row>
    <row r="73" spans="1:56" ht="13.5" thickBot="1">
      <c r="D73" s="7"/>
      <c r="E73" s="7"/>
      <c r="F73" s="7"/>
      <c r="G73" s="7"/>
      <c r="H73" s="7"/>
      <c r="I73" s="7"/>
      <c r="J73" s="7"/>
      <c r="K73" s="7"/>
      <c r="L73" s="7"/>
      <c r="M73" s="7"/>
    </row>
    <row r="74" spans="1:56" ht="21" thickBot="1">
      <c r="A74" s="93" t="s">
        <v>32</v>
      </c>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5"/>
    </row>
    <row r="75" spans="1:56" ht="15">
      <c r="A75" s="17"/>
      <c r="B75" s="17"/>
      <c r="C75" s="24"/>
      <c r="D75" s="24"/>
      <c r="E75" s="24"/>
      <c r="F75" s="24"/>
      <c r="G75" s="24"/>
      <c r="H75" s="24"/>
      <c r="I75" s="24"/>
      <c r="J75" s="24"/>
      <c r="K75" s="24"/>
      <c r="L75" s="24"/>
      <c r="M75" s="24"/>
      <c r="N75" s="24"/>
      <c r="O75" s="24"/>
      <c r="P75" s="24"/>
      <c r="Q75" s="24"/>
      <c r="R75" s="24"/>
      <c r="S75" s="24"/>
      <c r="T75" s="24"/>
      <c r="U75" s="24"/>
      <c r="V75" s="24"/>
      <c r="W75" s="24"/>
      <c r="X75" s="24"/>
      <c r="Y75" s="24"/>
      <c r="Z75" s="25" t="s">
        <v>20</v>
      </c>
      <c r="AA75" s="24"/>
      <c r="AB75" s="24"/>
      <c r="AC75" s="24"/>
    </row>
    <row r="76" spans="1:56">
      <c r="A76" s="17"/>
      <c r="B76" s="17"/>
      <c r="C76" s="24" t="s">
        <v>20</v>
      </c>
      <c r="D76" s="24"/>
      <c r="E76" s="24"/>
      <c r="F76" s="24"/>
      <c r="G76" s="24"/>
      <c r="H76" s="571" t="s">
        <v>292</v>
      </c>
      <c r="I76" s="570" t="s">
        <v>156</v>
      </c>
      <c r="J76" s="571" t="s">
        <v>295</v>
      </c>
      <c r="K76" s="570"/>
      <c r="L76" s="570"/>
      <c r="M76" s="571"/>
      <c r="N76" s="570"/>
      <c r="O76" s="570"/>
      <c r="P76" s="571" t="s">
        <v>298</v>
      </c>
      <c r="Q76" s="570"/>
      <c r="R76" s="58"/>
      <c r="S76" s="571" t="s">
        <v>143</v>
      </c>
      <c r="T76" s="571" t="s">
        <v>309</v>
      </c>
      <c r="U76" s="570" t="s">
        <v>20</v>
      </c>
      <c r="V76" s="574" t="s">
        <v>174</v>
      </c>
      <c r="W76" s="570"/>
      <c r="X76" s="571" t="s">
        <v>76</v>
      </c>
      <c r="Y76" s="597"/>
      <c r="Z76" s="571" t="s">
        <v>139</v>
      </c>
      <c r="AA76" s="571" t="s">
        <v>147</v>
      </c>
      <c r="AB76" s="597"/>
      <c r="AC76" s="570"/>
    </row>
    <row r="77" spans="1:56">
      <c r="A77" s="17"/>
      <c r="B77" s="17"/>
      <c r="C77" s="571" t="s">
        <v>419</v>
      </c>
      <c r="D77" s="570" t="s">
        <v>34</v>
      </c>
      <c r="E77" s="570" t="s">
        <v>225</v>
      </c>
      <c r="F77" s="570" t="s">
        <v>34</v>
      </c>
      <c r="G77" s="570"/>
      <c r="H77" s="571" t="s">
        <v>293</v>
      </c>
      <c r="I77" s="570" t="s">
        <v>36</v>
      </c>
      <c r="J77" s="571" t="s">
        <v>296</v>
      </c>
      <c r="K77" s="570" t="s">
        <v>34</v>
      </c>
      <c r="L77" s="570"/>
      <c r="M77" s="571" t="s">
        <v>297</v>
      </c>
      <c r="N77" s="570"/>
      <c r="O77" s="570" t="s">
        <v>131</v>
      </c>
      <c r="P77" s="571" t="s">
        <v>299</v>
      </c>
      <c r="Q77" s="570" t="s">
        <v>114</v>
      </c>
      <c r="R77" s="571" t="s">
        <v>170</v>
      </c>
      <c r="S77" s="571" t="s">
        <v>303</v>
      </c>
      <c r="T77" s="571" t="s">
        <v>310</v>
      </c>
      <c r="U77" s="570"/>
      <c r="V77" s="571" t="s">
        <v>304</v>
      </c>
      <c r="W77" s="570"/>
      <c r="X77" s="571" t="s">
        <v>301</v>
      </c>
      <c r="Y77" s="570" t="s">
        <v>159</v>
      </c>
      <c r="Z77" s="571" t="s">
        <v>305</v>
      </c>
      <c r="AA77" s="571" t="s">
        <v>311</v>
      </c>
      <c r="AB77" s="597" t="s">
        <v>151</v>
      </c>
      <c r="AC77" s="570"/>
    </row>
    <row r="78" spans="1:56" ht="13.5" thickBot="1">
      <c r="A78" s="580" t="s">
        <v>11</v>
      </c>
      <c r="B78" s="580" t="s">
        <v>13</v>
      </c>
      <c r="C78" s="594" t="s">
        <v>38</v>
      </c>
      <c r="D78" s="569" t="s">
        <v>39</v>
      </c>
      <c r="E78" s="569" t="s">
        <v>40</v>
      </c>
      <c r="F78" s="569" t="s">
        <v>155</v>
      </c>
      <c r="G78" s="595" t="s">
        <v>17</v>
      </c>
      <c r="H78" s="571" t="s">
        <v>294</v>
      </c>
      <c r="I78" s="570" t="s">
        <v>42</v>
      </c>
      <c r="J78" s="571" t="s">
        <v>127</v>
      </c>
      <c r="K78" s="570" t="s">
        <v>44</v>
      </c>
      <c r="L78" s="597" t="s">
        <v>161</v>
      </c>
      <c r="M78" s="597" t="s">
        <v>160</v>
      </c>
      <c r="N78" s="597" t="s">
        <v>49</v>
      </c>
      <c r="O78" s="570" t="s">
        <v>132</v>
      </c>
      <c r="P78" s="570" t="s">
        <v>45</v>
      </c>
      <c r="Q78" s="570" t="s">
        <v>46</v>
      </c>
      <c r="R78" s="571" t="s">
        <v>171</v>
      </c>
      <c r="S78" s="570" t="s">
        <v>113</v>
      </c>
      <c r="T78" s="571" t="s">
        <v>57</v>
      </c>
      <c r="U78" s="570" t="s">
        <v>50</v>
      </c>
      <c r="V78" s="571" t="s">
        <v>207</v>
      </c>
      <c r="W78" s="571" t="s">
        <v>175</v>
      </c>
      <c r="X78" s="571" t="s">
        <v>302</v>
      </c>
      <c r="Y78" s="570" t="s">
        <v>121</v>
      </c>
      <c r="Z78" s="571" t="s">
        <v>173</v>
      </c>
      <c r="AA78" s="571" t="s">
        <v>302</v>
      </c>
      <c r="AB78" s="597" t="s">
        <v>152</v>
      </c>
      <c r="AC78" s="570" t="s">
        <v>51</v>
      </c>
      <c r="AF78" s="634" t="s">
        <v>52</v>
      </c>
    </row>
    <row r="79" spans="1:56">
      <c r="A79" s="258"/>
      <c r="B79" s="44"/>
      <c r="C79" s="45"/>
      <c r="D79" s="615">
        <f>'Sep 18'!D198</f>
        <v>225667.30000000005</v>
      </c>
      <c r="E79" s="615">
        <f>'Sep 18'!E198</f>
        <v>531</v>
      </c>
      <c r="F79" s="615">
        <f>'Sep 18'!F198</f>
        <v>0</v>
      </c>
      <c r="G79" s="615">
        <f>'Sep 18'!G198</f>
        <v>0</v>
      </c>
      <c r="H79" s="615">
        <f>'Sep 18'!H198</f>
        <v>2355</v>
      </c>
      <c r="I79" s="615">
        <f>'Sep 18'!I198</f>
        <v>1816</v>
      </c>
      <c r="J79" s="615">
        <f>'Sep 18'!J198</f>
        <v>565</v>
      </c>
      <c r="K79" s="615">
        <f>'Sep 18'!K198</f>
        <v>0</v>
      </c>
      <c r="L79" s="615">
        <f>'Sep 18'!L198</f>
        <v>20828</v>
      </c>
      <c r="M79" s="615">
        <f>'Sep 18'!M198</f>
        <v>264.02999999999997</v>
      </c>
      <c r="N79" s="615">
        <f>'Sep 18'!N198</f>
        <v>50000</v>
      </c>
      <c r="O79" s="615">
        <f>'Sep 18'!O198</f>
        <v>0</v>
      </c>
      <c r="P79" s="615">
        <f>'Sep 18'!P198</f>
        <v>190</v>
      </c>
      <c r="Q79" s="615">
        <f>'Sep 18'!Q198</f>
        <v>0</v>
      </c>
      <c r="R79" s="615">
        <f>'Sep 18'!R198</f>
        <v>715</v>
      </c>
      <c r="S79" s="615">
        <f>'Sep 18'!S198</f>
        <v>636</v>
      </c>
      <c r="T79" s="615">
        <f>'Sep 18'!T198</f>
        <v>935</v>
      </c>
      <c r="U79" s="615">
        <f>'Sep 18'!U198</f>
        <v>1518</v>
      </c>
      <c r="V79" s="615">
        <f>'Sep 18'!V198</f>
        <v>65.8</v>
      </c>
      <c r="W79" s="615">
        <f>'Sep 18'!W198</f>
        <v>995</v>
      </c>
      <c r="X79" s="615">
        <f>'Sep 18'!X198</f>
        <v>101239.34</v>
      </c>
      <c r="Y79" s="615">
        <f>'Sep 18'!Y198</f>
        <v>21997.8</v>
      </c>
      <c r="Z79" s="615">
        <f>'Sep 18'!Z198</f>
        <v>21280.33</v>
      </c>
      <c r="AA79" s="615">
        <f>'Sep 18'!AA198</f>
        <v>0</v>
      </c>
      <c r="AB79" s="615">
        <f>'Sep 18'!AB198</f>
        <v>785</v>
      </c>
      <c r="AC79" s="615">
        <f>'Sep 18'!AC198</f>
        <v>13</v>
      </c>
      <c r="AD79" s="615">
        <f>'Sep 18'!AD198</f>
        <v>0</v>
      </c>
      <c r="AE79" s="615">
        <f>'Sep 18'!AE198</f>
        <v>0</v>
      </c>
      <c r="AG79" s="43">
        <f>IF(AF79=0,0,"ERROR HERE")</f>
        <v>0</v>
      </c>
      <c r="AH79" s="7">
        <f t="shared" ref="AH79:AQ82" si="3">IF(OR(ISERROR(+H79/($D79+$E79-$G79)*$G79+H79),LEFT(F79,1)="x"),0,+H79/($D79+$E79-$G79)*$G79+H79)</f>
        <v>2355</v>
      </c>
      <c r="AI79" s="7">
        <f t="shared" si="3"/>
        <v>1816</v>
      </c>
      <c r="AJ79" s="7">
        <f t="shared" si="3"/>
        <v>565</v>
      </c>
      <c r="AK79" s="7">
        <f t="shared" si="3"/>
        <v>0</v>
      </c>
      <c r="AL79" s="7">
        <f t="shared" si="3"/>
        <v>20828</v>
      </c>
      <c r="AM79" s="7">
        <f t="shared" si="3"/>
        <v>264.02999999999997</v>
      </c>
      <c r="AN79" s="7">
        <f t="shared" si="3"/>
        <v>50000</v>
      </c>
      <c r="AO79" s="7">
        <f t="shared" si="3"/>
        <v>0</v>
      </c>
      <c r="AP79" s="7">
        <f t="shared" si="3"/>
        <v>190</v>
      </c>
      <c r="AQ79" s="7">
        <f t="shared" si="3"/>
        <v>0</v>
      </c>
      <c r="AR79" s="7">
        <f t="shared" ref="AR79:BA82" si="4">IF(OR(ISERROR(+R79/($D79+$E79-$G79)*$G79+R79),LEFT(P79,1)="x"),0,+R79/($D79+$E79-$G79)*$G79+R79)</f>
        <v>715</v>
      </c>
      <c r="AS79" s="7">
        <f t="shared" si="4"/>
        <v>636</v>
      </c>
      <c r="AT79" s="7">
        <f t="shared" si="4"/>
        <v>935</v>
      </c>
      <c r="AU79" s="7">
        <f t="shared" si="4"/>
        <v>1518</v>
      </c>
      <c r="AV79" s="7">
        <f t="shared" si="4"/>
        <v>65.8</v>
      </c>
      <c r="AW79" s="7">
        <f t="shared" si="4"/>
        <v>995</v>
      </c>
      <c r="AX79" s="7">
        <f t="shared" si="4"/>
        <v>101239.34</v>
      </c>
      <c r="AY79" s="7">
        <f t="shared" si="4"/>
        <v>21997.8</v>
      </c>
      <c r="AZ79" s="7">
        <f t="shared" si="4"/>
        <v>21280.33</v>
      </c>
      <c r="BA79" s="7">
        <f t="shared" si="4"/>
        <v>0</v>
      </c>
      <c r="BB79" s="7">
        <f>IF(OR(ISERROR(+AB79/($D79+$E79-$G79)*$G79+AB79),LEFT(Z79,1)="x"),0,+AB79/($D79+$E79-$G79)*$G79+AB79)</f>
        <v>785</v>
      </c>
      <c r="BC79" s="7">
        <f>IF(OR(ISERROR(+#REF!/($D79+$E79-$G79)*$G79+#REF!),LEFT(AA79,1)="x"),0,+#REF!/($D79+$E79-$G79)*$G79+#REF!)</f>
        <v>0</v>
      </c>
      <c r="BD79" s="7">
        <f>IF(OR(ISERROR(+AC79/($D79+$E79-$G79)*$G79+AC79),LEFT(Z79,1)="x"),0,+AC79/($D79+$E79-$G79)*$G79+AC79)</f>
        <v>13</v>
      </c>
    </row>
    <row r="80" spans="1:56">
      <c r="A80" s="555" t="s">
        <v>20</v>
      </c>
      <c r="B80" s="719" t="s">
        <v>462</v>
      </c>
      <c r="C80" s="719"/>
      <c r="D80" s="720">
        <v>812</v>
      </c>
      <c r="E80" s="721"/>
      <c r="F80" s="722"/>
      <c r="G80" s="723"/>
      <c r="H80" s="724"/>
      <c r="I80" s="724"/>
      <c r="J80" s="724"/>
      <c r="K80" s="725"/>
      <c r="L80" s="720">
        <v>812</v>
      </c>
      <c r="M80" s="725"/>
      <c r="N80" s="725"/>
      <c r="O80" s="725"/>
      <c r="P80" s="725"/>
      <c r="Q80" s="725"/>
      <c r="R80" s="726"/>
      <c r="S80" s="727"/>
      <c r="T80" s="725"/>
      <c r="U80" s="726"/>
      <c r="V80" s="726"/>
      <c r="W80" s="727"/>
      <c r="X80" s="562"/>
      <c r="Y80" s="562"/>
      <c r="Z80" s="562"/>
      <c r="AA80" s="562"/>
      <c r="AB80" s="562"/>
      <c r="AC80" s="563"/>
      <c r="AD80" s="629">
        <f>SUM(G80:AC80)</f>
        <v>812</v>
      </c>
      <c r="AE80" s="629">
        <f>SUM(D80:F80)</f>
        <v>812</v>
      </c>
      <c r="AF80" s="634">
        <f>AD80-AE80</f>
        <v>0</v>
      </c>
      <c r="AG80" s="43">
        <f>IF(AF80=0,0,"ERROR HERE")</f>
        <v>0</v>
      </c>
      <c r="AH80" s="7">
        <f t="shared" si="3"/>
        <v>0</v>
      </c>
      <c r="AI80" s="7">
        <f t="shared" si="3"/>
        <v>0</v>
      </c>
      <c r="AJ80" s="7">
        <f t="shared" si="3"/>
        <v>0</v>
      </c>
      <c r="AK80" s="7">
        <f t="shared" si="3"/>
        <v>0</v>
      </c>
      <c r="AL80" s="7">
        <f t="shared" si="3"/>
        <v>812</v>
      </c>
      <c r="AM80" s="7">
        <f t="shared" si="3"/>
        <v>0</v>
      </c>
      <c r="AN80" s="7">
        <f t="shared" si="3"/>
        <v>0</v>
      </c>
      <c r="AO80" s="7">
        <f t="shared" si="3"/>
        <v>0</v>
      </c>
      <c r="AP80" s="7">
        <f t="shared" si="3"/>
        <v>0</v>
      </c>
      <c r="AQ80" s="7">
        <f t="shared" si="3"/>
        <v>0</v>
      </c>
      <c r="AR80" s="7">
        <f t="shared" si="4"/>
        <v>0</v>
      </c>
      <c r="AS80" s="7">
        <f t="shared" si="4"/>
        <v>0</v>
      </c>
      <c r="AT80" s="7">
        <f t="shared" si="4"/>
        <v>0</v>
      </c>
      <c r="AU80" s="7">
        <f t="shared" si="4"/>
        <v>0</v>
      </c>
      <c r="AV80" s="7">
        <f t="shared" si="4"/>
        <v>0</v>
      </c>
      <c r="AW80" s="7">
        <f t="shared" si="4"/>
        <v>0</v>
      </c>
      <c r="AX80" s="7">
        <f t="shared" si="4"/>
        <v>0</v>
      </c>
      <c r="AY80" s="7">
        <f t="shared" si="4"/>
        <v>0</v>
      </c>
      <c r="AZ80" s="7">
        <f t="shared" si="4"/>
        <v>0</v>
      </c>
      <c r="BA80" s="7">
        <f t="shared" si="4"/>
        <v>0</v>
      </c>
      <c r="BB80" s="7">
        <f>IF(OR(ISERROR(+AB80/($D80+$E80-$G80)*$G80+AB80),LEFT(Z80,1)="x"),0,+AB80/($D80+$E80-$G80)*$G80+AB80)</f>
        <v>0</v>
      </c>
      <c r="BC80" s="7">
        <f>IF(OR(ISERROR(+#REF!/($D80+$E80-$G80)*$G80+#REF!),LEFT(AA80,1)="x"),0,+#REF!/($D80+$E80-$G80)*$G80+#REF!)</f>
        <v>0</v>
      </c>
      <c r="BD80" s="7">
        <f>IF(OR(ISERROR(+AC80/($D80+$E80-$G80)*$G80+AC80),LEFT(Z80,1)="x"),0,+AC80/($D80+$E80-$G80)*$G80+AC80)</f>
        <v>0</v>
      </c>
    </row>
    <row r="81" spans="1:57">
      <c r="A81" s="555" t="s">
        <v>20</v>
      </c>
      <c r="B81" s="719" t="s">
        <v>463</v>
      </c>
      <c r="C81" s="719"/>
      <c r="D81" s="719">
        <v>800</v>
      </c>
      <c r="E81" s="721"/>
      <c r="F81" s="722"/>
      <c r="G81" s="723"/>
      <c r="H81" s="724"/>
      <c r="I81" s="724"/>
      <c r="J81" s="724"/>
      <c r="K81" s="725"/>
      <c r="L81" s="719">
        <v>800</v>
      </c>
      <c r="M81" s="725"/>
      <c r="N81" s="725"/>
      <c r="O81" s="725"/>
      <c r="P81" s="725"/>
      <c r="Q81" s="725"/>
      <c r="R81" s="726"/>
      <c r="S81" s="727"/>
      <c r="T81" s="725"/>
      <c r="U81" s="726"/>
      <c r="V81" s="726"/>
      <c r="W81" s="727"/>
      <c r="X81" s="562"/>
      <c r="Y81" s="562"/>
      <c r="Z81" s="562"/>
      <c r="AA81" s="562"/>
      <c r="AB81" s="562"/>
      <c r="AC81" s="563"/>
      <c r="AD81" s="629">
        <f t="shared" ref="AD81:AD144" si="5">SUM(G81:AC81)</f>
        <v>800</v>
      </c>
      <c r="AE81" s="629">
        <f t="shared" ref="AE81:AE144" si="6">SUM(D81:F81)</f>
        <v>800</v>
      </c>
      <c r="AF81" s="634">
        <f t="shared" ref="AF81:AF144" si="7">AD81-AE81</f>
        <v>0</v>
      </c>
      <c r="AG81" s="43">
        <f>IF(AF81=0,0,"ERROR HERE")</f>
        <v>0</v>
      </c>
      <c r="AH81" s="7">
        <f t="shared" si="3"/>
        <v>0</v>
      </c>
      <c r="AI81" s="7">
        <f t="shared" si="3"/>
        <v>0</v>
      </c>
      <c r="AJ81" s="7">
        <f t="shared" si="3"/>
        <v>0</v>
      </c>
      <c r="AK81" s="7">
        <f t="shared" si="3"/>
        <v>0</v>
      </c>
      <c r="AL81" s="7">
        <f t="shared" si="3"/>
        <v>800</v>
      </c>
      <c r="AM81" s="7">
        <f t="shared" si="3"/>
        <v>0</v>
      </c>
      <c r="AN81" s="7">
        <f t="shared" si="3"/>
        <v>0</v>
      </c>
      <c r="AO81" s="7">
        <f t="shared" si="3"/>
        <v>0</v>
      </c>
      <c r="AP81" s="7">
        <f t="shared" si="3"/>
        <v>0</v>
      </c>
      <c r="AQ81" s="7">
        <f t="shared" si="3"/>
        <v>0</v>
      </c>
      <c r="AR81" s="7">
        <f t="shared" si="4"/>
        <v>0</v>
      </c>
      <c r="AS81" s="7">
        <f t="shared" si="4"/>
        <v>0</v>
      </c>
      <c r="AT81" s="7">
        <f t="shared" si="4"/>
        <v>0</v>
      </c>
      <c r="AU81" s="7">
        <f t="shared" si="4"/>
        <v>0</v>
      </c>
      <c r="AV81" s="7">
        <f t="shared" si="4"/>
        <v>0</v>
      </c>
      <c r="AW81" s="7">
        <f t="shared" si="4"/>
        <v>0</v>
      </c>
      <c r="AX81" s="7">
        <f t="shared" si="4"/>
        <v>0</v>
      </c>
      <c r="AY81" s="7">
        <f t="shared" si="4"/>
        <v>0</v>
      </c>
      <c r="AZ81" s="7">
        <f t="shared" si="4"/>
        <v>0</v>
      </c>
      <c r="BA81" s="7">
        <f t="shared" si="4"/>
        <v>0</v>
      </c>
      <c r="BB81" s="7">
        <f>IF(OR(ISERROR(+AB81/($D81+$E81-$G81)*$G81+AB81),LEFT(Z81,1)="x"),0,+AB81/($D81+$E81-$G81)*$G81+AB81)</f>
        <v>0</v>
      </c>
      <c r="BC81" s="7">
        <f>IF(OR(ISERROR(+#REF!/($D81+$E81-$G81)*$G81+#REF!),LEFT(AA81,1)="x"),0,+#REF!/($D81+$E81-$G81)*$G81+#REF!)</f>
        <v>0</v>
      </c>
      <c r="BD81" s="7">
        <f>IF(OR(ISERROR(+AC81/($D81+$E81-$G81)*$G81+AC81),LEFT(Z81,1)="x"),0,+AC81/($D81+$E81-$G81)*$G81+AC81)</f>
        <v>0</v>
      </c>
    </row>
    <row r="82" spans="1:57">
      <c r="A82" s="555"/>
      <c r="B82" s="719" t="s">
        <v>464</v>
      </c>
      <c r="C82" s="719"/>
      <c r="D82" s="721">
        <v>138</v>
      </c>
      <c r="E82" s="721"/>
      <c r="F82" s="721"/>
      <c r="G82" s="721"/>
      <c r="H82" s="721"/>
      <c r="I82" s="721"/>
      <c r="J82" s="721"/>
      <c r="K82" s="721"/>
      <c r="L82" s="721"/>
      <c r="M82" s="721"/>
      <c r="N82" s="719"/>
      <c r="O82" s="719"/>
      <c r="P82" s="719"/>
      <c r="Q82" s="719"/>
      <c r="R82" s="719"/>
      <c r="S82" s="719"/>
      <c r="T82" s="719"/>
      <c r="U82" s="719">
        <v>138</v>
      </c>
      <c r="V82" s="719"/>
      <c r="W82" s="719"/>
      <c r="X82" s="562"/>
      <c r="Y82" s="562"/>
      <c r="Z82" s="562"/>
      <c r="AA82" s="562"/>
      <c r="AB82" s="562"/>
      <c r="AC82" s="563"/>
      <c r="AD82" s="629">
        <f t="shared" si="5"/>
        <v>138</v>
      </c>
      <c r="AE82" s="629">
        <f t="shared" si="6"/>
        <v>138</v>
      </c>
      <c r="AF82" s="634">
        <f t="shared" si="7"/>
        <v>0</v>
      </c>
      <c r="AG82" s="43">
        <f>IF(AF82=0,0,"ERROR HERE")</f>
        <v>0</v>
      </c>
      <c r="AH82" s="7">
        <f t="shared" si="3"/>
        <v>0</v>
      </c>
      <c r="AI82" s="7">
        <f t="shared" si="3"/>
        <v>0</v>
      </c>
      <c r="AJ82" s="7">
        <f t="shared" si="3"/>
        <v>0</v>
      </c>
      <c r="AK82" s="7">
        <f t="shared" si="3"/>
        <v>0</v>
      </c>
      <c r="AL82" s="7">
        <f t="shared" si="3"/>
        <v>0</v>
      </c>
      <c r="AM82" s="7">
        <f t="shared" si="3"/>
        <v>0</v>
      </c>
      <c r="AN82" s="7">
        <f t="shared" si="3"/>
        <v>0</v>
      </c>
      <c r="AO82" s="7">
        <f t="shared" si="3"/>
        <v>0</v>
      </c>
      <c r="AP82" s="7">
        <f t="shared" si="3"/>
        <v>0</v>
      </c>
      <c r="AQ82" s="7">
        <f t="shared" si="3"/>
        <v>0</v>
      </c>
      <c r="AR82" s="7">
        <f t="shared" si="4"/>
        <v>0</v>
      </c>
      <c r="AS82" s="7">
        <f t="shared" si="4"/>
        <v>0</v>
      </c>
      <c r="AT82" s="7">
        <f t="shared" si="4"/>
        <v>0</v>
      </c>
      <c r="AU82" s="7">
        <f t="shared" si="4"/>
        <v>138</v>
      </c>
      <c r="AV82" s="7">
        <f t="shared" si="4"/>
        <v>0</v>
      </c>
      <c r="AW82" s="7">
        <f t="shared" si="4"/>
        <v>0</v>
      </c>
      <c r="AX82" s="7">
        <f t="shared" si="4"/>
        <v>0</v>
      </c>
      <c r="AY82" s="7">
        <f t="shared" si="4"/>
        <v>0</v>
      </c>
      <c r="AZ82" s="7">
        <f t="shared" si="4"/>
        <v>0</v>
      </c>
      <c r="BA82" s="7">
        <f t="shared" si="4"/>
        <v>0</v>
      </c>
      <c r="BB82" s="7">
        <f>IF(OR(ISERROR(+AB82/($D82+$E82-$G82)*$G82+AB82),LEFT(Z82,1)="x"),0,+AB82/($D82+$E82-$G82)*$G82+AB82)</f>
        <v>0</v>
      </c>
      <c r="BC82" s="7">
        <f>IF(OR(ISERROR(+#REF!/($D82+$E82-$G82)*$G82+#REF!),LEFT(AA82,1)="x"),0,+#REF!/($D82+$E82-$G82)*$G82+#REF!)</f>
        <v>0</v>
      </c>
      <c r="BD82" s="7">
        <f>IF(OR(ISERROR(+#REF!/($D82+$E82-$G82)*$G82+#REF!),LEFT(AB82,1)="x"),0,+#REF!/($D82+$E82-$G82)*$G82+#REF!)</f>
        <v>0</v>
      </c>
      <c r="BE82" s="7" t="e">
        <f>IF(OR(ISERROR(+AC82/($D82+$E82-$G82)*$G82+AC82),LEFT(#REF!,1)="x"),0,+AC82/($D82+$E82-$G82)*$G82+AC82)</f>
        <v>#REF!</v>
      </c>
    </row>
    <row r="83" spans="1:57">
      <c r="A83" s="555"/>
      <c r="B83" s="719" t="s">
        <v>465</v>
      </c>
      <c r="C83" s="719"/>
      <c r="D83" s="721"/>
      <c r="E83" s="719">
        <v>164</v>
      </c>
      <c r="F83" s="722"/>
      <c r="G83" s="723"/>
      <c r="H83" s="724"/>
      <c r="I83" s="719">
        <v>164</v>
      </c>
      <c r="J83" s="724"/>
      <c r="K83" s="725"/>
      <c r="L83" s="725"/>
      <c r="M83" s="725"/>
      <c r="N83" s="725"/>
      <c r="O83" s="725"/>
      <c r="P83" s="725"/>
      <c r="Q83" s="725"/>
      <c r="R83" s="726"/>
      <c r="S83" s="727"/>
      <c r="T83" s="725"/>
      <c r="U83" s="726"/>
      <c r="V83" s="726"/>
      <c r="W83" s="727"/>
      <c r="X83" s="562"/>
      <c r="Y83" s="562"/>
      <c r="Z83" s="562"/>
      <c r="AA83" s="562"/>
      <c r="AB83" s="562"/>
      <c r="AC83" s="563"/>
      <c r="AD83" s="629">
        <f t="shared" si="5"/>
        <v>164</v>
      </c>
      <c r="AE83" s="629">
        <f t="shared" si="6"/>
        <v>164</v>
      </c>
      <c r="AF83" s="634">
        <f t="shared" si="7"/>
        <v>0</v>
      </c>
      <c r="AG83" s="43"/>
    </row>
    <row r="84" spans="1:57">
      <c r="A84" s="555"/>
      <c r="B84" s="719" t="s">
        <v>466</v>
      </c>
      <c r="C84" s="719"/>
      <c r="D84" s="721"/>
      <c r="E84" s="719">
        <v>8</v>
      </c>
      <c r="F84" s="722"/>
      <c r="G84" s="723"/>
      <c r="H84" s="724"/>
      <c r="I84" s="724"/>
      <c r="J84" s="724"/>
      <c r="K84" s="725"/>
      <c r="L84" s="725"/>
      <c r="M84" s="725"/>
      <c r="N84" s="725"/>
      <c r="O84" s="725"/>
      <c r="P84" s="719">
        <v>8</v>
      </c>
      <c r="Q84" s="725"/>
      <c r="R84" s="726"/>
      <c r="S84" s="727"/>
      <c r="T84" s="725"/>
      <c r="U84" s="726"/>
      <c r="V84" s="726"/>
      <c r="W84" s="727"/>
      <c r="X84" s="562"/>
      <c r="Y84" s="562"/>
      <c r="Z84" s="562"/>
      <c r="AA84" s="562"/>
      <c r="AB84" s="562"/>
      <c r="AC84" s="563"/>
      <c r="AD84" s="629">
        <f t="shared" si="5"/>
        <v>8</v>
      </c>
      <c r="AE84" s="629">
        <f t="shared" si="6"/>
        <v>8</v>
      </c>
      <c r="AF84" s="634">
        <f t="shared" si="7"/>
        <v>0</v>
      </c>
      <c r="AG84" s="43"/>
    </row>
    <row r="85" spans="1:57">
      <c r="A85" s="555"/>
      <c r="B85" s="719" t="s">
        <v>467</v>
      </c>
      <c r="C85" s="719"/>
      <c r="D85" s="721"/>
      <c r="E85" s="719">
        <v>65</v>
      </c>
      <c r="F85" s="722"/>
      <c r="G85" s="723"/>
      <c r="H85" s="724"/>
      <c r="I85" s="724"/>
      <c r="J85" s="724"/>
      <c r="K85" s="725"/>
      <c r="L85" s="725"/>
      <c r="M85" s="725"/>
      <c r="N85" s="725"/>
      <c r="O85" s="725"/>
      <c r="P85" s="725"/>
      <c r="Q85" s="725"/>
      <c r="R85" s="726"/>
      <c r="S85" s="727"/>
      <c r="T85" s="725"/>
      <c r="U85" s="719"/>
      <c r="V85" s="726"/>
      <c r="W85" s="719">
        <v>65</v>
      </c>
      <c r="X85" s="562"/>
      <c r="Y85" s="562"/>
      <c r="Z85" s="562"/>
      <c r="AA85" s="562"/>
      <c r="AB85" s="562"/>
      <c r="AC85" s="563"/>
      <c r="AD85" s="629">
        <f t="shared" si="5"/>
        <v>65</v>
      </c>
      <c r="AE85" s="629">
        <f t="shared" si="6"/>
        <v>65</v>
      </c>
      <c r="AF85" s="634">
        <f t="shared" si="7"/>
        <v>0</v>
      </c>
      <c r="AG85" s="43"/>
    </row>
    <row r="86" spans="1:57">
      <c r="A86" s="555"/>
      <c r="B86" s="719" t="s">
        <v>468</v>
      </c>
      <c r="C86" s="719"/>
      <c r="D86" s="721"/>
      <c r="E86" s="719">
        <v>85</v>
      </c>
      <c r="F86" s="722"/>
      <c r="G86" s="723"/>
      <c r="H86" s="724"/>
      <c r="I86" s="724"/>
      <c r="J86" s="724"/>
      <c r="K86" s="725"/>
      <c r="L86" s="725"/>
      <c r="M86" s="725"/>
      <c r="N86" s="725"/>
      <c r="O86" s="725"/>
      <c r="P86" s="725"/>
      <c r="Q86" s="725"/>
      <c r="R86" s="726"/>
      <c r="S86" s="727"/>
      <c r="T86" s="719">
        <v>85</v>
      </c>
      <c r="U86" s="726"/>
      <c r="V86" s="726"/>
      <c r="W86" s="719"/>
      <c r="X86" s="562"/>
      <c r="Y86" s="562"/>
      <c r="Z86" s="562"/>
      <c r="AA86" s="562"/>
      <c r="AB86" s="562"/>
      <c r="AC86" s="563"/>
      <c r="AD86" s="629">
        <f t="shared" si="5"/>
        <v>85</v>
      </c>
      <c r="AE86" s="629">
        <f t="shared" si="6"/>
        <v>85</v>
      </c>
      <c r="AF86" s="634">
        <f t="shared" si="7"/>
        <v>0</v>
      </c>
      <c r="AG86" s="43"/>
    </row>
    <row r="87" spans="1:57">
      <c r="A87" s="555"/>
      <c r="B87" s="719" t="s">
        <v>469</v>
      </c>
      <c r="C87" s="719"/>
      <c r="D87" s="721"/>
      <c r="E87" s="719">
        <v>128</v>
      </c>
      <c r="F87" s="722"/>
      <c r="G87" s="723"/>
      <c r="H87" s="719">
        <v>128</v>
      </c>
      <c r="I87" s="724"/>
      <c r="J87" s="724"/>
      <c r="K87" s="725"/>
      <c r="L87" s="725"/>
      <c r="M87" s="725"/>
      <c r="N87" s="725"/>
      <c r="O87" s="725"/>
      <c r="P87" s="725"/>
      <c r="Q87" s="725"/>
      <c r="R87" s="726"/>
      <c r="S87" s="727"/>
      <c r="T87" s="719"/>
      <c r="U87" s="726"/>
      <c r="V87" s="726"/>
      <c r="W87" s="727"/>
      <c r="X87" s="562"/>
      <c r="Y87" s="562"/>
      <c r="Z87" s="562"/>
      <c r="AA87" s="562"/>
      <c r="AB87" s="562"/>
      <c r="AC87" s="563"/>
      <c r="AD87" s="629">
        <f t="shared" si="5"/>
        <v>128</v>
      </c>
      <c r="AE87" s="629">
        <f t="shared" si="6"/>
        <v>128</v>
      </c>
      <c r="AF87" s="634">
        <f t="shared" si="7"/>
        <v>0</v>
      </c>
      <c r="AG87" s="43"/>
    </row>
    <row r="88" spans="1:57">
      <c r="A88" s="555"/>
      <c r="B88" s="719"/>
      <c r="C88" s="719"/>
      <c r="D88" s="721"/>
      <c r="E88" s="719"/>
      <c r="F88" s="722"/>
      <c r="G88" s="723"/>
      <c r="H88" s="719"/>
      <c r="I88" s="724"/>
      <c r="J88" s="724"/>
      <c r="K88" s="725"/>
      <c r="L88" s="725"/>
      <c r="M88" s="725"/>
      <c r="N88" s="725"/>
      <c r="O88" s="725"/>
      <c r="P88" s="725"/>
      <c r="Q88" s="725"/>
      <c r="R88" s="726"/>
      <c r="S88" s="727"/>
      <c r="T88" s="725"/>
      <c r="U88" s="726"/>
      <c r="V88" s="726"/>
      <c r="W88" s="727"/>
      <c r="X88" s="562"/>
      <c r="Y88" s="562"/>
      <c r="Z88" s="562"/>
      <c r="AA88" s="562"/>
      <c r="AB88" s="562"/>
      <c r="AC88" s="563"/>
      <c r="AD88" s="629">
        <f t="shared" si="5"/>
        <v>0</v>
      </c>
      <c r="AE88" s="629">
        <f t="shared" si="6"/>
        <v>0</v>
      </c>
      <c r="AF88" s="634">
        <f t="shared" si="7"/>
        <v>0</v>
      </c>
      <c r="AG88" s="43"/>
    </row>
    <row r="89" spans="1:57">
      <c r="A89" s="555"/>
      <c r="B89" s="719" t="s">
        <v>471</v>
      </c>
      <c r="C89" s="719"/>
      <c r="D89" s="721"/>
      <c r="E89" s="721">
        <v>55</v>
      </c>
      <c r="F89" s="728"/>
      <c r="G89" s="729"/>
      <c r="H89" s="724"/>
      <c r="I89" s="724"/>
      <c r="J89" s="724"/>
      <c r="K89" s="725"/>
      <c r="L89" s="725"/>
      <c r="M89" s="725"/>
      <c r="N89" s="725"/>
      <c r="O89" s="725"/>
      <c r="P89" s="725"/>
      <c r="Q89" s="725"/>
      <c r="R89" s="725"/>
      <c r="S89" s="725">
        <v>55</v>
      </c>
      <c r="T89" s="725"/>
      <c r="U89" s="725"/>
      <c r="V89" s="725"/>
      <c r="W89" s="725"/>
      <c r="X89" s="562"/>
      <c r="Y89" s="562"/>
      <c r="Z89" s="562"/>
      <c r="AA89" s="562"/>
      <c r="AB89" s="562"/>
      <c r="AC89" s="563"/>
      <c r="AD89" s="629">
        <f t="shared" si="5"/>
        <v>55</v>
      </c>
      <c r="AE89" s="629">
        <f t="shared" si="6"/>
        <v>55</v>
      </c>
      <c r="AF89" s="634">
        <f t="shared" si="7"/>
        <v>0</v>
      </c>
      <c r="AG89" s="43"/>
    </row>
    <row r="90" spans="1:57">
      <c r="A90" s="555"/>
      <c r="B90" s="730" t="s">
        <v>472</v>
      </c>
      <c r="C90" s="731"/>
      <c r="D90" s="732"/>
      <c r="E90" s="733">
        <v>65</v>
      </c>
      <c r="F90" s="732"/>
      <c r="G90" s="734"/>
      <c r="H90" s="735"/>
      <c r="I90" s="736"/>
      <c r="J90" s="737"/>
      <c r="K90" s="738"/>
      <c r="L90" s="738"/>
      <c r="M90" s="738"/>
      <c r="N90" s="738"/>
      <c r="O90" s="738"/>
      <c r="P90" s="738"/>
      <c r="Q90" s="738"/>
      <c r="R90" s="738">
        <v>65</v>
      </c>
      <c r="S90" s="738"/>
      <c r="T90" s="738"/>
      <c r="U90" s="738"/>
      <c r="V90" s="738"/>
      <c r="W90" s="738"/>
      <c r="X90" s="562"/>
      <c r="Y90" s="562"/>
      <c r="Z90" s="562"/>
      <c r="AA90" s="562"/>
      <c r="AB90" s="562"/>
      <c r="AC90" s="563"/>
      <c r="AD90" s="629">
        <f t="shared" si="5"/>
        <v>65</v>
      </c>
      <c r="AE90" s="629">
        <f t="shared" si="6"/>
        <v>65</v>
      </c>
      <c r="AF90" s="634">
        <f t="shared" si="7"/>
        <v>0</v>
      </c>
      <c r="AG90" s="43"/>
    </row>
    <row r="91" spans="1:57">
      <c r="A91" s="555"/>
      <c r="B91" s="605" t="s">
        <v>43</v>
      </c>
      <c r="C91" s="607"/>
      <c r="D91" s="608"/>
      <c r="E91" s="608">
        <v>65</v>
      </c>
      <c r="F91" s="608"/>
      <c r="G91" s="609"/>
      <c r="H91" s="585"/>
      <c r="I91" s="562"/>
      <c r="J91" s="562">
        <v>65</v>
      </c>
      <c r="K91" s="562"/>
      <c r="L91" s="562"/>
      <c r="M91" s="562"/>
      <c r="N91" s="602" t="s">
        <v>241</v>
      </c>
      <c r="O91" s="562"/>
      <c r="P91" s="562"/>
      <c r="Q91" s="562">
        <v>780</v>
      </c>
      <c r="R91" s="562">
        <v>-780</v>
      </c>
      <c r="S91" s="562"/>
      <c r="T91" s="562"/>
      <c r="U91" s="562"/>
      <c r="V91" s="562"/>
      <c r="W91" s="562"/>
      <c r="X91" s="562"/>
      <c r="Y91" s="562"/>
      <c r="Z91" s="562"/>
      <c r="AA91" s="562"/>
      <c r="AB91" s="562"/>
      <c r="AC91" s="563"/>
      <c r="AD91" s="629">
        <f t="shared" si="5"/>
        <v>65</v>
      </c>
      <c r="AE91" s="629">
        <f t="shared" si="6"/>
        <v>65</v>
      </c>
      <c r="AF91" s="634">
        <f t="shared" si="7"/>
        <v>0</v>
      </c>
      <c r="AG91" s="43"/>
    </row>
    <row r="92" spans="1:57">
      <c r="A92" s="555"/>
      <c r="B92" s="605" t="s">
        <v>174</v>
      </c>
      <c r="C92" s="607"/>
      <c r="D92" s="739">
        <v>5.5</v>
      </c>
      <c r="E92" s="608"/>
      <c r="F92" s="609"/>
      <c r="G92" s="609"/>
      <c r="H92" s="603"/>
      <c r="I92" s="562"/>
      <c r="J92" s="562"/>
      <c r="K92" s="562"/>
      <c r="L92" s="562"/>
      <c r="M92" s="562"/>
      <c r="N92" s="562"/>
      <c r="O92" s="562"/>
      <c r="P92" s="562"/>
      <c r="Q92" s="562"/>
      <c r="R92" s="562"/>
      <c r="S92" s="562"/>
      <c r="T92" s="562"/>
      <c r="U92" s="562"/>
      <c r="V92" s="740">
        <v>5.5</v>
      </c>
      <c r="W92" s="562"/>
      <c r="X92" s="562"/>
      <c r="Y92" s="562"/>
      <c r="Z92" s="562"/>
      <c r="AA92" s="562"/>
      <c r="AB92" s="562"/>
      <c r="AC92" s="563"/>
      <c r="AD92" s="629">
        <f t="shared" si="5"/>
        <v>5.5</v>
      </c>
      <c r="AE92" s="629">
        <f t="shared" si="6"/>
        <v>5.5</v>
      </c>
      <c r="AF92" s="634">
        <f t="shared" si="7"/>
        <v>0</v>
      </c>
      <c r="AG92" s="43"/>
    </row>
    <row r="93" spans="1:57" ht="25.5">
      <c r="A93" s="555"/>
      <c r="B93" s="761" t="s">
        <v>502</v>
      </c>
      <c r="C93" s="719"/>
      <c r="D93" s="747">
        <v>150.54</v>
      </c>
      <c r="E93" s="721"/>
      <c r="F93" s="609"/>
      <c r="G93" s="609"/>
      <c r="H93" s="603"/>
      <c r="I93" s="562"/>
      <c r="J93" s="562"/>
      <c r="K93" s="562"/>
      <c r="L93" s="562"/>
      <c r="M93" s="562">
        <v>150.54</v>
      </c>
      <c r="N93" s="562"/>
      <c r="O93" s="562"/>
      <c r="P93" s="562"/>
      <c r="Q93" s="562"/>
      <c r="R93" s="562"/>
      <c r="S93" s="562"/>
      <c r="T93" s="562"/>
      <c r="U93" s="562"/>
      <c r="V93" s="562"/>
      <c r="W93" s="562"/>
      <c r="X93" s="562"/>
      <c r="Y93" s="562"/>
      <c r="Z93" s="562"/>
      <c r="AA93" s="562"/>
      <c r="AB93" s="562"/>
      <c r="AC93" s="563"/>
      <c r="AD93" s="629">
        <f t="shared" si="5"/>
        <v>150.54</v>
      </c>
      <c r="AE93" s="629">
        <f t="shared" si="6"/>
        <v>150.54</v>
      </c>
      <c r="AF93" s="634">
        <f t="shared" si="7"/>
        <v>0</v>
      </c>
      <c r="AG93" s="43"/>
    </row>
    <row r="94" spans="1:57">
      <c r="A94" s="555"/>
      <c r="B94" s="605"/>
      <c r="C94" s="607"/>
      <c r="D94" s="609"/>
      <c r="E94" s="608"/>
      <c r="F94" s="609"/>
      <c r="G94" s="609"/>
      <c r="H94" s="603"/>
      <c r="I94" s="562"/>
      <c r="J94" s="562"/>
      <c r="K94" s="562"/>
      <c r="L94" s="562"/>
      <c r="M94" s="562"/>
      <c r="N94" s="562"/>
      <c r="O94" s="562"/>
      <c r="P94" s="562"/>
      <c r="Q94" s="562"/>
      <c r="R94" s="562"/>
      <c r="S94" s="562"/>
      <c r="T94" s="562"/>
      <c r="U94" s="562"/>
      <c r="V94" s="562"/>
      <c r="W94" s="562"/>
      <c r="X94" s="562"/>
      <c r="Y94" s="562"/>
      <c r="Z94" s="562"/>
      <c r="AA94" s="562"/>
      <c r="AB94" s="562"/>
      <c r="AC94" s="563"/>
      <c r="AD94" s="629">
        <f t="shared" si="5"/>
        <v>0</v>
      </c>
      <c r="AE94" s="629">
        <f t="shared" si="6"/>
        <v>0</v>
      </c>
      <c r="AF94" s="634">
        <f t="shared" si="7"/>
        <v>0</v>
      </c>
      <c r="AG94" s="43"/>
    </row>
    <row r="95" spans="1:57">
      <c r="A95" s="555"/>
      <c r="B95" s="605"/>
      <c r="C95" s="607"/>
      <c r="D95" s="609"/>
      <c r="E95" s="608"/>
      <c r="F95" s="609"/>
      <c r="G95" s="609"/>
      <c r="H95" s="603"/>
      <c r="I95" s="562"/>
      <c r="J95" s="562"/>
      <c r="K95" s="562"/>
      <c r="L95" s="562"/>
      <c r="M95" s="562"/>
      <c r="N95" s="562"/>
      <c r="O95" s="562"/>
      <c r="P95" s="562"/>
      <c r="Q95" s="562"/>
      <c r="R95" s="562"/>
      <c r="S95" s="562"/>
      <c r="T95" s="562"/>
      <c r="U95" s="562"/>
      <c r="V95" s="562"/>
      <c r="W95" s="562"/>
      <c r="X95" s="562"/>
      <c r="Y95" s="562"/>
      <c r="Z95" s="562"/>
      <c r="AA95" s="562"/>
      <c r="AB95" s="562"/>
      <c r="AC95" s="563"/>
      <c r="AD95" s="629">
        <f t="shared" si="5"/>
        <v>0</v>
      </c>
      <c r="AE95" s="629">
        <f t="shared" si="6"/>
        <v>0</v>
      </c>
      <c r="AF95" s="634">
        <f t="shared" si="7"/>
        <v>0</v>
      </c>
      <c r="AG95" s="43"/>
    </row>
    <row r="96" spans="1:57">
      <c r="A96" s="555"/>
      <c r="B96" s="623"/>
      <c r="C96" s="607"/>
      <c r="D96" s="609"/>
      <c r="E96" s="609"/>
      <c r="F96" s="608"/>
      <c r="G96" s="609"/>
      <c r="H96" s="603"/>
      <c r="I96" s="562"/>
      <c r="J96" s="562"/>
      <c r="K96" s="562"/>
      <c r="L96" s="562"/>
      <c r="M96" s="562"/>
      <c r="N96" s="562"/>
      <c r="O96" s="562"/>
      <c r="P96" s="562"/>
      <c r="Q96" s="562"/>
      <c r="R96" s="562"/>
      <c r="S96" s="562"/>
      <c r="T96" s="562"/>
      <c r="U96" s="562"/>
      <c r="V96" s="562"/>
      <c r="W96" s="562"/>
      <c r="X96" s="562"/>
      <c r="Y96" s="562"/>
      <c r="Z96" s="562"/>
      <c r="AA96" s="562"/>
      <c r="AB96" s="562"/>
      <c r="AC96" s="563"/>
      <c r="AD96" s="629">
        <f t="shared" si="5"/>
        <v>0</v>
      </c>
      <c r="AE96" s="629">
        <f t="shared" si="6"/>
        <v>0</v>
      </c>
      <c r="AF96" s="634">
        <f t="shared" si="7"/>
        <v>0</v>
      </c>
      <c r="AG96" s="43"/>
    </row>
    <row r="97" spans="1:33">
      <c r="A97" s="555"/>
      <c r="B97" s="623"/>
      <c r="C97" s="607"/>
      <c r="D97" s="609"/>
      <c r="E97" s="609"/>
      <c r="F97" s="608"/>
      <c r="G97" s="609"/>
      <c r="H97" s="603"/>
      <c r="I97" s="562"/>
      <c r="J97" s="562"/>
      <c r="K97" s="562"/>
      <c r="L97" s="562"/>
      <c r="M97" s="562"/>
      <c r="N97" s="562"/>
      <c r="O97" s="562"/>
      <c r="P97" s="562"/>
      <c r="Q97" s="562"/>
      <c r="R97" s="562"/>
      <c r="S97" s="562"/>
      <c r="T97" s="562"/>
      <c r="U97" s="562"/>
      <c r="V97" s="562"/>
      <c r="W97" s="562"/>
      <c r="X97" s="562"/>
      <c r="Y97" s="562"/>
      <c r="Z97" s="562"/>
      <c r="AA97" s="562"/>
      <c r="AB97" s="562"/>
      <c r="AC97" s="563"/>
      <c r="AD97" s="629">
        <f t="shared" si="5"/>
        <v>0</v>
      </c>
      <c r="AE97" s="629">
        <f t="shared" si="6"/>
        <v>0</v>
      </c>
      <c r="AF97" s="634">
        <f t="shared" si="7"/>
        <v>0</v>
      </c>
      <c r="AG97" s="43"/>
    </row>
    <row r="98" spans="1:33">
      <c r="A98" s="555"/>
      <c r="B98" s="623"/>
      <c r="C98" s="607"/>
      <c r="D98" s="609"/>
      <c r="E98" s="609"/>
      <c r="F98" s="608"/>
      <c r="G98" s="609"/>
      <c r="H98" s="603"/>
      <c r="I98" s="562"/>
      <c r="J98" s="562"/>
      <c r="K98" s="562"/>
      <c r="L98" s="562"/>
      <c r="M98" s="562"/>
      <c r="N98" s="562"/>
      <c r="O98" s="562"/>
      <c r="P98" s="562"/>
      <c r="Q98" s="562"/>
      <c r="R98" s="562"/>
      <c r="S98" s="562"/>
      <c r="T98" s="562"/>
      <c r="U98" s="562"/>
      <c r="V98" s="562"/>
      <c r="W98" s="562"/>
      <c r="X98" s="562"/>
      <c r="Y98" s="562"/>
      <c r="Z98" s="562"/>
      <c r="AA98" s="562"/>
      <c r="AB98" s="562"/>
      <c r="AC98" s="563"/>
      <c r="AD98" s="629">
        <f t="shared" si="5"/>
        <v>0</v>
      </c>
      <c r="AE98" s="629">
        <f t="shared" si="6"/>
        <v>0</v>
      </c>
      <c r="AF98" s="634">
        <f t="shared" si="7"/>
        <v>0</v>
      </c>
      <c r="AG98" s="43"/>
    </row>
    <row r="99" spans="1:33">
      <c r="A99" s="555"/>
      <c r="B99" s="623"/>
      <c r="C99" s="607"/>
      <c r="D99" s="609"/>
      <c r="E99" s="609"/>
      <c r="F99" s="608"/>
      <c r="G99" s="609"/>
      <c r="H99" s="603"/>
      <c r="I99" s="562"/>
      <c r="J99" s="562"/>
      <c r="K99" s="562"/>
      <c r="L99" s="562"/>
      <c r="M99" s="562"/>
      <c r="N99" s="562"/>
      <c r="O99" s="562"/>
      <c r="P99" s="562"/>
      <c r="Q99" s="562"/>
      <c r="R99" s="562"/>
      <c r="S99" s="562"/>
      <c r="T99" s="562"/>
      <c r="U99" s="562"/>
      <c r="V99" s="562"/>
      <c r="W99" s="562"/>
      <c r="X99" s="562"/>
      <c r="Y99" s="562"/>
      <c r="Z99" s="562"/>
      <c r="AA99" s="562"/>
      <c r="AB99" s="562"/>
      <c r="AC99" s="563"/>
      <c r="AD99" s="629">
        <f t="shared" si="5"/>
        <v>0</v>
      </c>
      <c r="AE99" s="629">
        <f t="shared" si="6"/>
        <v>0</v>
      </c>
      <c r="AF99" s="634">
        <f t="shared" si="7"/>
        <v>0</v>
      </c>
      <c r="AG99" s="43"/>
    </row>
    <row r="100" spans="1:33">
      <c r="A100" s="555"/>
      <c r="B100" s="623"/>
      <c r="C100" s="607"/>
      <c r="D100" s="609"/>
      <c r="E100" s="609"/>
      <c r="F100" s="608"/>
      <c r="G100" s="609"/>
      <c r="H100" s="603"/>
      <c r="I100" s="562"/>
      <c r="J100" s="562"/>
      <c r="K100" s="562"/>
      <c r="L100" s="562"/>
      <c r="M100" s="562"/>
      <c r="N100" s="562"/>
      <c r="O100" s="562"/>
      <c r="P100" s="562"/>
      <c r="Q100" s="562"/>
      <c r="R100" s="562"/>
      <c r="S100" s="562"/>
      <c r="T100" s="562"/>
      <c r="U100" s="562"/>
      <c r="V100" s="562"/>
      <c r="W100" s="562"/>
      <c r="X100" s="562"/>
      <c r="Y100" s="562"/>
      <c r="Z100" s="562"/>
      <c r="AA100" s="562"/>
      <c r="AB100" s="562"/>
      <c r="AC100" s="563"/>
      <c r="AD100" s="629">
        <f t="shared" si="5"/>
        <v>0</v>
      </c>
      <c r="AE100" s="629">
        <f t="shared" si="6"/>
        <v>0</v>
      </c>
      <c r="AF100" s="634">
        <f t="shared" si="7"/>
        <v>0</v>
      </c>
      <c r="AG100" s="43"/>
    </row>
    <row r="101" spans="1:33">
      <c r="A101" s="555"/>
      <c r="B101" s="623"/>
      <c r="C101" s="607"/>
      <c r="D101" s="609"/>
      <c r="E101" s="609"/>
      <c r="F101" s="608"/>
      <c r="G101" s="609"/>
      <c r="H101" s="603"/>
      <c r="I101" s="562"/>
      <c r="J101" s="562"/>
      <c r="K101" s="562"/>
      <c r="L101" s="562"/>
      <c r="M101" s="562"/>
      <c r="N101" s="562"/>
      <c r="O101" s="562"/>
      <c r="P101" s="562"/>
      <c r="Q101" s="562"/>
      <c r="R101" s="562"/>
      <c r="S101" s="562"/>
      <c r="T101" s="562"/>
      <c r="U101" s="562"/>
      <c r="V101" s="562"/>
      <c r="W101" s="562"/>
      <c r="X101" s="562"/>
      <c r="Y101" s="562"/>
      <c r="Z101" s="562"/>
      <c r="AA101" s="562"/>
      <c r="AB101" s="562"/>
      <c r="AC101" s="563"/>
      <c r="AD101" s="629">
        <f t="shared" si="5"/>
        <v>0</v>
      </c>
      <c r="AE101" s="629">
        <f t="shared" si="6"/>
        <v>0</v>
      </c>
      <c r="AF101" s="634">
        <f t="shared" si="7"/>
        <v>0</v>
      </c>
      <c r="AG101" s="43"/>
    </row>
    <row r="102" spans="1:33">
      <c r="A102" s="555"/>
      <c r="B102" s="623"/>
      <c r="C102" s="607"/>
      <c r="D102" s="609"/>
      <c r="E102" s="609"/>
      <c r="F102" s="608"/>
      <c r="G102" s="609"/>
      <c r="H102" s="603"/>
      <c r="I102" s="562"/>
      <c r="J102" s="562"/>
      <c r="K102" s="562"/>
      <c r="L102" s="562"/>
      <c r="M102" s="562"/>
      <c r="N102" s="562"/>
      <c r="O102" s="562"/>
      <c r="P102" s="562"/>
      <c r="Q102" s="562"/>
      <c r="R102" s="562"/>
      <c r="S102" s="562"/>
      <c r="T102" s="562"/>
      <c r="U102" s="562"/>
      <c r="V102" s="562"/>
      <c r="W102" s="562"/>
      <c r="X102" s="562"/>
      <c r="Y102" s="562"/>
      <c r="Z102" s="562"/>
      <c r="AA102" s="562"/>
      <c r="AB102" s="562"/>
      <c r="AC102" s="563"/>
      <c r="AD102" s="629">
        <f t="shared" si="5"/>
        <v>0</v>
      </c>
      <c r="AE102" s="629">
        <f t="shared" si="6"/>
        <v>0</v>
      </c>
      <c r="AF102" s="634">
        <f t="shared" si="7"/>
        <v>0</v>
      </c>
      <c r="AG102" s="43"/>
    </row>
    <row r="103" spans="1:33">
      <c r="A103" s="555"/>
      <c r="B103" s="623"/>
      <c r="C103" s="607"/>
      <c r="D103" s="609"/>
      <c r="E103" s="609"/>
      <c r="F103" s="608"/>
      <c r="G103" s="609"/>
      <c r="H103" s="603"/>
      <c r="I103" s="562"/>
      <c r="J103" s="562"/>
      <c r="K103" s="562"/>
      <c r="L103" s="562"/>
      <c r="M103" s="562"/>
      <c r="N103" s="562"/>
      <c r="O103" s="562"/>
      <c r="P103" s="562"/>
      <c r="Q103" s="562"/>
      <c r="R103" s="562"/>
      <c r="S103" s="562"/>
      <c r="T103" s="562"/>
      <c r="U103" s="562"/>
      <c r="V103" s="562"/>
      <c r="W103" s="562"/>
      <c r="X103" s="562"/>
      <c r="Y103" s="562"/>
      <c r="Z103" s="562"/>
      <c r="AA103" s="562"/>
      <c r="AB103" s="562"/>
      <c r="AC103" s="563"/>
      <c r="AD103" s="629">
        <f t="shared" si="5"/>
        <v>0</v>
      </c>
      <c r="AE103" s="629">
        <f t="shared" si="6"/>
        <v>0</v>
      </c>
      <c r="AF103" s="634">
        <f t="shared" si="7"/>
        <v>0</v>
      </c>
      <c r="AG103" s="43"/>
    </row>
    <row r="104" spans="1:33">
      <c r="A104" s="555"/>
      <c r="B104" s="623"/>
      <c r="C104" s="607"/>
      <c r="D104" s="609"/>
      <c r="E104" s="609"/>
      <c r="F104" s="608"/>
      <c r="G104" s="609"/>
      <c r="H104" s="603"/>
      <c r="I104" s="562"/>
      <c r="J104" s="562"/>
      <c r="K104" s="562"/>
      <c r="L104" s="562"/>
      <c r="M104" s="562"/>
      <c r="N104" s="562"/>
      <c r="O104" s="562"/>
      <c r="P104" s="562"/>
      <c r="Q104" s="562"/>
      <c r="R104" s="562"/>
      <c r="S104" s="562"/>
      <c r="T104" s="562"/>
      <c r="U104" s="562"/>
      <c r="V104" s="562"/>
      <c r="W104" s="562"/>
      <c r="X104" s="562"/>
      <c r="Y104" s="562"/>
      <c r="Z104" s="562"/>
      <c r="AA104" s="562"/>
      <c r="AB104" s="562"/>
      <c r="AC104" s="563"/>
      <c r="AD104" s="629">
        <f t="shared" si="5"/>
        <v>0</v>
      </c>
      <c r="AE104" s="629">
        <f t="shared" si="6"/>
        <v>0</v>
      </c>
      <c r="AF104" s="634">
        <f t="shared" si="7"/>
        <v>0</v>
      </c>
      <c r="AG104" s="43"/>
    </row>
    <row r="105" spans="1:33">
      <c r="A105" s="555"/>
      <c r="B105" s="623"/>
      <c r="C105" s="607"/>
      <c r="D105" s="609"/>
      <c r="E105" s="609"/>
      <c r="F105" s="608"/>
      <c r="G105" s="609"/>
      <c r="H105" s="603"/>
      <c r="I105" s="562"/>
      <c r="J105" s="562"/>
      <c r="K105" s="562"/>
      <c r="L105" s="562"/>
      <c r="M105" s="562"/>
      <c r="N105" s="562"/>
      <c r="O105" s="562"/>
      <c r="P105" s="562"/>
      <c r="Q105" s="562"/>
      <c r="R105" s="562"/>
      <c r="S105" s="562"/>
      <c r="T105" s="562"/>
      <c r="U105" s="562"/>
      <c r="V105" s="562"/>
      <c r="W105" s="562"/>
      <c r="X105" s="562"/>
      <c r="Y105" s="562"/>
      <c r="Z105" s="562"/>
      <c r="AA105" s="562"/>
      <c r="AB105" s="562"/>
      <c r="AC105" s="563"/>
      <c r="AD105" s="629">
        <f t="shared" si="5"/>
        <v>0</v>
      </c>
      <c r="AE105" s="629">
        <f t="shared" si="6"/>
        <v>0</v>
      </c>
      <c r="AF105" s="634">
        <f t="shared" si="7"/>
        <v>0</v>
      </c>
      <c r="AG105" s="43"/>
    </row>
    <row r="106" spans="1:33">
      <c r="A106" s="555"/>
      <c r="B106" s="623"/>
      <c r="C106" s="607"/>
      <c r="D106" s="609"/>
      <c r="E106" s="609"/>
      <c r="F106" s="608"/>
      <c r="G106" s="609"/>
      <c r="H106" s="603"/>
      <c r="I106" s="562"/>
      <c r="J106" s="562"/>
      <c r="K106" s="562"/>
      <c r="L106" s="562"/>
      <c r="M106" s="562"/>
      <c r="N106" s="562"/>
      <c r="O106" s="562"/>
      <c r="P106" s="562"/>
      <c r="Q106" s="562"/>
      <c r="R106" s="562"/>
      <c r="S106" s="562"/>
      <c r="T106" s="562"/>
      <c r="U106" s="562"/>
      <c r="V106" s="562"/>
      <c r="W106" s="562"/>
      <c r="X106" s="562"/>
      <c r="Y106" s="562"/>
      <c r="Z106" s="562"/>
      <c r="AA106" s="562"/>
      <c r="AB106" s="562"/>
      <c r="AC106" s="563"/>
      <c r="AD106" s="629">
        <f t="shared" si="5"/>
        <v>0</v>
      </c>
      <c r="AE106" s="629">
        <f t="shared" si="6"/>
        <v>0</v>
      </c>
      <c r="AF106" s="634">
        <f t="shared" si="7"/>
        <v>0</v>
      </c>
      <c r="AG106" s="43"/>
    </row>
    <row r="107" spans="1:33" ht="13.5" thickBot="1">
      <c r="A107" s="555"/>
      <c r="B107" s="623"/>
      <c r="C107" s="607"/>
      <c r="D107" s="609"/>
      <c r="E107" s="609"/>
      <c r="F107" s="608"/>
      <c r="G107" s="609"/>
      <c r="H107" s="603"/>
      <c r="I107" s="562"/>
      <c r="J107" s="562"/>
      <c r="K107" s="562"/>
      <c r="L107" s="562"/>
      <c r="M107" s="562"/>
      <c r="N107" s="562"/>
      <c r="O107" s="562"/>
      <c r="P107" s="562"/>
      <c r="Q107" s="562"/>
      <c r="R107" s="562"/>
      <c r="S107" s="562"/>
      <c r="T107" s="562"/>
      <c r="U107" s="562"/>
      <c r="V107" s="562"/>
      <c r="W107" s="562"/>
      <c r="X107" s="562"/>
      <c r="Y107" s="562"/>
      <c r="Z107" s="562"/>
      <c r="AA107" s="562"/>
      <c r="AB107" s="562"/>
      <c r="AC107" s="563"/>
      <c r="AD107" s="629">
        <f t="shared" si="5"/>
        <v>0</v>
      </c>
      <c r="AE107" s="629">
        <f t="shared" si="6"/>
        <v>0</v>
      </c>
      <c r="AF107" s="634">
        <f t="shared" si="7"/>
        <v>0</v>
      </c>
      <c r="AG107" s="43"/>
    </row>
    <row r="108" spans="1:33" hidden="1">
      <c r="A108" s="555"/>
      <c r="B108" s="623"/>
      <c r="C108" s="607"/>
      <c r="D108" s="609"/>
      <c r="E108" s="609"/>
      <c r="F108" s="608"/>
      <c r="G108" s="609"/>
      <c r="H108" s="603"/>
      <c r="I108" s="562"/>
      <c r="J108" s="562"/>
      <c r="K108" s="562"/>
      <c r="L108" s="562"/>
      <c r="M108" s="562"/>
      <c r="N108" s="562"/>
      <c r="O108" s="562"/>
      <c r="P108" s="562"/>
      <c r="Q108" s="562"/>
      <c r="R108" s="562"/>
      <c r="S108" s="562"/>
      <c r="T108" s="562"/>
      <c r="U108" s="562"/>
      <c r="V108" s="562"/>
      <c r="W108" s="562"/>
      <c r="X108" s="562"/>
      <c r="Y108" s="562"/>
      <c r="Z108" s="562"/>
      <c r="AA108" s="562"/>
      <c r="AB108" s="562"/>
      <c r="AC108" s="563"/>
      <c r="AD108" s="629">
        <f t="shared" si="5"/>
        <v>0</v>
      </c>
      <c r="AE108" s="629">
        <f t="shared" si="6"/>
        <v>0</v>
      </c>
      <c r="AF108" s="634">
        <f t="shared" si="7"/>
        <v>0</v>
      </c>
      <c r="AG108" s="43"/>
    </row>
    <row r="109" spans="1:33" hidden="1">
      <c r="A109" s="555"/>
      <c r="B109" s="623"/>
      <c r="C109" s="607"/>
      <c r="D109" s="609"/>
      <c r="E109" s="609"/>
      <c r="F109" s="608"/>
      <c r="G109" s="609"/>
      <c r="H109" s="603"/>
      <c r="I109" s="562"/>
      <c r="J109" s="562"/>
      <c r="K109" s="562"/>
      <c r="L109" s="562"/>
      <c r="M109" s="562"/>
      <c r="N109" s="562"/>
      <c r="O109" s="562"/>
      <c r="P109" s="562"/>
      <c r="Q109" s="562"/>
      <c r="R109" s="562"/>
      <c r="S109" s="562"/>
      <c r="T109" s="562"/>
      <c r="U109" s="562"/>
      <c r="V109" s="562"/>
      <c r="W109" s="562"/>
      <c r="X109" s="562"/>
      <c r="Y109" s="562"/>
      <c r="Z109" s="562"/>
      <c r="AA109" s="562"/>
      <c r="AB109" s="562"/>
      <c r="AC109" s="563"/>
      <c r="AD109" s="629">
        <f t="shared" si="5"/>
        <v>0</v>
      </c>
      <c r="AE109" s="629">
        <f t="shared" si="6"/>
        <v>0</v>
      </c>
      <c r="AF109" s="634">
        <f t="shared" si="7"/>
        <v>0</v>
      </c>
      <c r="AG109" s="43"/>
    </row>
    <row r="110" spans="1:33" hidden="1">
      <c r="A110" s="555"/>
      <c r="B110" s="623"/>
      <c r="C110" s="607"/>
      <c r="D110" s="609"/>
      <c r="E110" s="609"/>
      <c r="F110" s="608"/>
      <c r="G110" s="609"/>
      <c r="H110" s="603"/>
      <c r="I110" s="562"/>
      <c r="J110" s="562"/>
      <c r="K110" s="562"/>
      <c r="L110" s="562"/>
      <c r="M110" s="562"/>
      <c r="N110" s="562"/>
      <c r="O110" s="562"/>
      <c r="P110" s="562"/>
      <c r="Q110" s="562"/>
      <c r="R110" s="562"/>
      <c r="S110" s="562"/>
      <c r="T110" s="562"/>
      <c r="U110" s="562"/>
      <c r="V110" s="562"/>
      <c r="W110" s="562"/>
      <c r="X110" s="562"/>
      <c r="Y110" s="562"/>
      <c r="Z110" s="562"/>
      <c r="AA110" s="562"/>
      <c r="AB110" s="562"/>
      <c r="AC110" s="563"/>
      <c r="AD110" s="629">
        <f t="shared" si="5"/>
        <v>0</v>
      </c>
      <c r="AE110" s="629">
        <f t="shared" si="6"/>
        <v>0</v>
      </c>
      <c r="AF110" s="634">
        <f t="shared" si="7"/>
        <v>0</v>
      </c>
      <c r="AG110" s="43"/>
    </row>
    <row r="111" spans="1:33" hidden="1">
      <c r="A111" s="555"/>
      <c r="B111" s="623"/>
      <c r="C111" s="607"/>
      <c r="D111" s="609"/>
      <c r="E111" s="609"/>
      <c r="F111" s="608"/>
      <c r="G111" s="609"/>
      <c r="H111" s="603"/>
      <c r="I111" s="562"/>
      <c r="J111" s="562"/>
      <c r="K111" s="562"/>
      <c r="L111" s="562"/>
      <c r="M111" s="562"/>
      <c r="N111" s="562"/>
      <c r="O111" s="562"/>
      <c r="P111" s="562"/>
      <c r="Q111" s="562"/>
      <c r="R111" s="562"/>
      <c r="S111" s="562"/>
      <c r="T111" s="562"/>
      <c r="U111" s="562"/>
      <c r="V111" s="562"/>
      <c r="W111" s="562"/>
      <c r="X111" s="562"/>
      <c r="Y111" s="562"/>
      <c r="Z111" s="562"/>
      <c r="AA111" s="562"/>
      <c r="AB111" s="562"/>
      <c r="AC111" s="563"/>
      <c r="AD111" s="629">
        <f t="shared" si="5"/>
        <v>0</v>
      </c>
      <c r="AE111" s="629">
        <f t="shared" si="6"/>
        <v>0</v>
      </c>
      <c r="AF111" s="634">
        <f t="shared" si="7"/>
        <v>0</v>
      </c>
      <c r="AG111" s="43"/>
    </row>
    <row r="112" spans="1:33" hidden="1">
      <c r="A112" s="555"/>
      <c r="B112" s="623"/>
      <c r="C112" s="607"/>
      <c r="D112" s="609"/>
      <c r="E112" s="609"/>
      <c r="F112" s="608"/>
      <c r="G112" s="609"/>
      <c r="H112" s="603"/>
      <c r="I112" s="562"/>
      <c r="J112" s="562"/>
      <c r="K112" s="562"/>
      <c r="L112" s="562"/>
      <c r="M112" s="562"/>
      <c r="N112" s="562"/>
      <c r="O112" s="562"/>
      <c r="P112" s="562"/>
      <c r="Q112" s="562"/>
      <c r="R112" s="562"/>
      <c r="S112" s="562"/>
      <c r="T112" s="562"/>
      <c r="U112" s="562"/>
      <c r="V112" s="562"/>
      <c r="W112" s="562"/>
      <c r="X112" s="562"/>
      <c r="Y112" s="562"/>
      <c r="Z112" s="562"/>
      <c r="AA112" s="562"/>
      <c r="AB112" s="562"/>
      <c r="AC112" s="563"/>
      <c r="AD112" s="629">
        <f t="shared" si="5"/>
        <v>0</v>
      </c>
      <c r="AE112" s="629">
        <f t="shared" si="6"/>
        <v>0</v>
      </c>
      <c r="AF112" s="634">
        <f t="shared" si="7"/>
        <v>0</v>
      </c>
      <c r="AG112" s="43"/>
    </row>
    <row r="113" spans="1:33" hidden="1">
      <c r="A113" s="555"/>
      <c r="B113" s="623"/>
      <c r="C113" s="607"/>
      <c r="D113" s="609"/>
      <c r="E113" s="609"/>
      <c r="F113" s="608"/>
      <c r="G113" s="609"/>
      <c r="H113" s="603"/>
      <c r="I113" s="562"/>
      <c r="J113" s="562"/>
      <c r="K113" s="562"/>
      <c r="L113" s="562"/>
      <c r="M113" s="562"/>
      <c r="N113" s="562"/>
      <c r="O113" s="562"/>
      <c r="P113" s="562"/>
      <c r="Q113" s="562"/>
      <c r="R113" s="562"/>
      <c r="S113" s="562"/>
      <c r="T113" s="562"/>
      <c r="U113" s="562"/>
      <c r="V113" s="562"/>
      <c r="W113" s="562"/>
      <c r="X113" s="562"/>
      <c r="Y113" s="562"/>
      <c r="Z113" s="562"/>
      <c r="AA113" s="562"/>
      <c r="AB113" s="562"/>
      <c r="AC113" s="563"/>
      <c r="AD113" s="629">
        <f t="shared" si="5"/>
        <v>0</v>
      </c>
      <c r="AE113" s="629">
        <f t="shared" si="6"/>
        <v>0</v>
      </c>
      <c r="AF113" s="634">
        <f t="shared" si="7"/>
        <v>0</v>
      </c>
      <c r="AG113" s="43"/>
    </row>
    <row r="114" spans="1:33" hidden="1">
      <c r="A114" s="555"/>
      <c r="B114" s="623"/>
      <c r="C114" s="607"/>
      <c r="D114" s="609"/>
      <c r="E114" s="609"/>
      <c r="F114" s="608"/>
      <c r="G114" s="609"/>
      <c r="H114" s="603"/>
      <c r="I114" s="562"/>
      <c r="J114" s="562"/>
      <c r="K114" s="562"/>
      <c r="L114" s="562"/>
      <c r="M114" s="562"/>
      <c r="N114" s="562"/>
      <c r="O114" s="562"/>
      <c r="P114" s="562"/>
      <c r="Q114" s="562"/>
      <c r="R114" s="562"/>
      <c r="S114" s="562"/>
      <c r="T114" s="562"/>
      <c r="U114" s="562"/>
      <c r="V114" s="562"/>
      <c r="W114" s="562"/>
      <c r="X114" s="562"/>
      <c r="Y114" s="562"/>
      <c r="Z114" s="562"/>
      <c r="AA114" s="562"/>
      <c r="AB114" s="562"/>
      <c r="AC114" s="563"/>
      <c r="AD114" s="629">
        <f t="shared" si="5"/>
        <v>0</v>
      </c>
      <c r="AE114" s="629">
        <f t="shared" si="6"/>
        <v>0</v>
      </c>
      <c r="AF114" s="634">
        <f t="shared" si="7"/>
        <v>0</v>
      </c>
      <c r="AG114" s="43"/>
    </row>
    <row r="115" spans="1:33" hidden="1">
      <c r="A115" s="555"/>
      <c r="B115" s="623"/>
      <c r="C115" s="607"/>
      <c r="D115" s="609"/>
      <c r="E115" s="609"/>
      <c r="F115" s="608"/>
      <c r="G115" s="609"/>
      <c r="H115" s="603"/>
      <c r="I115" s="562"/>
      <c r="J115" s="562"/>
      <c r="K115" s="562"/>
      <c r="L115" s="562"/>
      <c r="M115" s="562"/>
      <c r="N115" s="562"/>
      <c r="O115" s="562"/>
      <c r="P115" s="562"/>
      <c r="Q115" s="562"/>
      <c r="R115" s="562"/>
      <c r="S115" s="562"/>
      <c r="T115" s="562"/>
      <c r="U115" s="562"/>
      <c r="V115" s="562"/>
      <c r="W115" s="562"/>
      <c r="X115" s="562"/>
      <c r="Y115" s="562"/>
      <c r="Z115" s="562"/>
      <c r="AA115" s="562"/>
      <c r="AB115" s="562"/>
      <c r="AC115" s="563"/>
      <c r="AD115" s="629">
        <f t="shared" si="5"/>
        <v>0</v>
      </c>
      <c r="AE115" s="629">
        <f t="shared" si="6"/>
        <v>0</v>
      </c>
      <c r="AF115" s="634">
        <f t="shared" si="7"/>
        <v>0</v>
      </c>
      <c r="AG115" s="43"/>
    </row>
    <row r="116" spans="1:33" hidden="1">
      <c r="A116" s="555"/>
      <c r="B116" s="623"/>
      <c r="C116" s="607"/>
      <c r="D116" s="609"/>
      <c r="E116" s="609"/>
      <c r="F116" s="608"/>
      <c r="G116" s="609"/>
      <c r="H116" s="603"/>
      <c r="I116" s="562"/>
      <c r="J116" s="562"/>
      <c r="K116" s="562"/>
      <c r="L116" s="562"/>
      <c r="M116" s="562"/>
      <c r="N116" s="562"/>
      <c r="O116" s="562"/>
      <c r="P116" s="562"/>
      <c r="Q116" s="562"/>
      <c r="R116" s="562"/>
      <c r="S116" s="562"/>
      <c r="T116" s="562"/>
      <c r="U116" s="562"/>
      <c r="V116" s="562"/>
      <c r="W116" s="562"/>
      <c r="X116" s="562"/>
      <c r="Y116" s="562"/>
      <c r="Z116" s="562"/>
      <c r="AA116" s="562"/>
      <c r="AB116" s="562"/>
      <c r="AC116" s="563"/>
      <c r="AD116" s="629">
        <f t="shared" si="5"/>
        <v>0</v>
      </c>
      <c r="AE116" s="629">
        <f t="shared" si="6"/>
        <v>0</v>
      </c>
      <c r="AF116" s="634">
        <f t="shared" si="7"/>
        <v>0</v>
      </c>
      <c r="AG116" s="43"/>
    </row>
    <row r="117" spans="1:33" hidden="1">
      <c r="A117" s="555"/>
      <c r="B117" s="623"/>
      <c r="C117" s="607"/>
      <c r="D117" s="609"/>
      <c r="E117" s="609"/>
      <c r="F117" s="608"/>
      <c r="G117" s="609"/>
      <c r="H117" s="603"/>
      <c r="I117" s="562"/>
      <c r="J117" s="562"/>
      <c r="K117" s="562"/>
      <c r="L117" s="562"/>
      <c r="M117" s="562"/>
      <c r="N117" s="562"/>
      <c r="O117" s="562"/>
      <c r="P117" s="562"/>
      <c r="Q117" s="562"/>
      <c r="R117" s="562"/>
      <c r="S117" s="562"/>
      <c r="T117" s="562"/>
      <c r="U117" s="562"/>
      <c r="V117" s="562"/>
      <c r="W117" s="562"/>
      <c r="X117" s="562"/>
      <c r="Y117" s="562"/>
      <c r="Z117" s="562"/>
      <c r="AA117" s="562"/>
      <c r="AB117" s="562"/>
      <c r="AC117" s="563"/>
      <c r="AD117" s="629">
        <f t="shared" si="5"/>
        <v>0</v>
      </c>
      <c r="AE117" s="629">
        <f t="shared" si="6"/>
        <v>0</v>
      </c>
      <c r="AF117" s="634">
        <f t="shared" si="7"/>
        <v>0</v>
      </c>
      <c r="AG117" s="43"/>
    </row>
    <row r="118" spans="1:33" hidden="1">
      <c r="A118" s="555"/>
      <c r="B118" s="623"/>
      <c r="C118" s="607"/>
      <c r="D118" s="609"/>
      <c r="E118" s="609"/>
      <c r="F118" s="608"/>
      <c r="G118" s="609"/>
      <c r="H118" s="603"/>
      <c r="I118" s="562"/>
      <c r="J118" s="562"/>
      <c r="K118" s="562"/>
      <c r="L118" s="562"/>
      <c r="M118" s="562"/>
      <c r="N118" s="562"/>
      <c r="O118" s="562"/>
      <c r="P118" s="562"/>
      <c r="Q118" s="562"/>
      <c r="R118" s="562"/>
      <c r="S118" s="562"/>
      <c r="T118" s="562"/>
      <c r="U118" s="562"/>
      <c r="V118" s="562"/>
      <c r="W118" s="562"/>
      <c r="X118" s="562"/>
      <c r="Y118" s="562"/>
      <c r="Z118" s="562"/>
      <c r="AA118" s="562"/>
      <c r="AB118" s="562"/>
      <c r="AC118" s="563"/>
      <c r="AD118" s="629">
        <f t="shared" si="5"/>
        <v>0</v>
      </c>
      <c r="AE118" s="629">
        <f t="shared" si="6"/>
        <v>0</v>
      </c>
      <c r="AF118" s="634">
        <f t="shared" si="7"/>
        <v>0</v>
      </c>
      <c r="AG118" s="43"/>
    </row>
    <row r="119" spans="1:33" hidden="1">
      <c r="A119" s="555"/>
      <c r="B119" s="623"/>
      <c r="C119" s="607"/>
      <c r="D119" s="609"/>
      <c r="E119" s="609"/>
      <c r="F119" s="608"/>
      <c r="G119" s="609"/>
      <c r="H119" s="603"/>
      <c r="I119" s="562"/>
      <c r="J119" s="562"/>
      <c r="K119" s="562"/>
      <c r="L119" s="562"/>
      <c r="M119" s="562"/>
      <c r="N119" s="562"/>
      <c r="O119" s="562"/>
      <c r="P119" s="562"/>
      <c r="Q119" s="562"/>
      <c r="R119" s="562"/>
      <c r="S119" s="562"/>
      <c r="T119" s="562"/>
      <c r="U119" s="562"/>
      <c r="V119" s="562"/>
      <c r="W119" s="562"/>
      <c r="X119" s="562"/>
      <c r="Y119" s="562"/>
      <c r="Z119" s="562"/>
      <c r="AA119" s="562"/>
      <c r="AB119" s="562"/>
      <c r="AC119" s="563"/>
      <c r="AD119" s="629">
        <f t="shared" si="5"/>
        <v>0</v>
      </c>
      <c r="AE119" s="629">
        <f t="shared" si="6"/>
        <v>0</v>
      </c>
      <c r="AF119" s="634">
        <f t="shared" si="7"/>
        <v>0</v>
      </c>
      <c r="AG119" s="43"/>
    </row>
    <row r="120" spans="1:33" hidden="1">
      <c r="A120" s="555"/>
      <c r="B120" s="623"/>
      <c r="C120" s="607"/>
      <c r="D120" s="609"/>
      <c r="E120" s="609"/>
      <c r="F120" s="608"/>
      <c r="G120" s="609"/>
      <c r="H120" s="603"/>
      <c r="I120" s="562"/>
      <c r="J120" s="562"/>
      <c r="K120" s="562"/>
      <c r="L120" s="562"/>
      <c r="M120" s="562"/>
      <c r="N120" s="562"/>
      <c r="O120" s="562"/>
      <c r="P120" s="562"/>
      <c r="Q120" s="562"/>
      <c r="R120" s="562"/>
      <c r="S120" s="562"/>
      <c r="T120" s="562"/>
      <c r="U120" s="562"/>
      <c r="V120" s="562"/>
      <c r="W120" s="562"/>
      <c r="X120" s="562"/>
      <c r="Y120" s="562"/>
      <c r="Z120" s="562"/>
      <c r="AA120" s="562"/>
      <c r="AB120" s="562"/>
      <c r="AC120" s="563"/>
      <c r="AD120" s="629">
        <f t="shared" si="5"/>
        <v>0</v>
      </c>
      <c r="AE120" s="629">
        <f t="shared" si="6"/>
        <v>0</v>
      </c>
      <c r="AF120" s="634">
        <f t="shared" si="7"/>
        <v>0</v>
      </c>
      <c r="AG120" s="43"/>
    </row>
    <row r="121" spans="1:33" hidden="1">
      <c r="A121" s="555"/>
      <c r="B121" s="623"/>
      <c r="C121" s="607"/>
      <c r="D121" s="609"/>
      <c r="E121" s="609"/>
      <c r="F121" s="608"/>
      <c r="G121" s="609"/>
      <c r="H121" s="603"/>
      <c r="I121" s="562"/>
      <c r="J121" s="562"/>
      <c r="K121" s="562"/>
      <c r="L121" s="562"/>
      <c r="M121" s="562"/>
      <c r="N121" s="562"/>
      <c r="O121" s="562"/>
      <c r="P121" s="562"/>
      <c r="Q121" s="562"/>
      <c r="R121" s="562"/>
      <c r="S121" s="562"/>
      <c r="T121" s="562"/>
      <c r="U121" s="562"/>
      <c r="V121" s="562"/>
      <c r="W121" s="562"/>
      <c r="X121" s="562"/>
      <c r="Y121" s="562"/>
      <c r="Z121" s="562"/>
      <c r="AA121" s="562"/>
      <c r="AB121" s="562"/>
      <c r="AC121" s="563"/>
      <c r="AD121" s="629">
        <f t="shared" si="5"/>
        <v>0</v>
      </c>
      <c r="AE121" s="629">
        <f t="shared" si="6"/>
        <v>0</v>
      </c>
      <c r="AF121" s="634">
        <f t="shared" si="7"/>
        <v>0</v>
      </c>
      <c r="AG121" s="43"/>
    </row>
    <row r="122" spans="1:33" hidden="1">
      <c r="A122" s="555"/>
      <c r="B122" s="623"/>
      <c r="C122" s="607"/>
      <c r="D122" s="609"/>
      <c r="E122" s="609"/>
      <c r="F122" s="608"/>
      <c r="G122" s="609"/>
      <c r="H122" s="603"/>
      <c r="I122" s="562"/>
      <c r="J122" s="562"/>
      <c r="K122" s="562"/>
      <c r="L122" s="562"/>
      <c r="M122" s="562"/>
      <c r="N122" s="562"/>
      <c r="O122" s="562"/>
      <c r="P122" s="562"/>
      <c r="Q122" s="562"/>
      <c r="R122" s="562"/>
      <c r="S122" s="562"/>
      <c r="T122" s="562"/>
      <c r="U122" s="562"/>
      <c r="V122" s="562"/>
      <c r="W122" s="562"/>
      <c r="X122" s="562"/>
      <c r="Y122" s="562"/>
      <c r="Z122" s="562"/>
      <c r="AA122" s="562"/>
      <c r="AB122" s="562"/>
      <c r="AC122" s="563"/>
      <c r="AD122" s="629">
        <f t="shared" si="5"/>
        <v>0</v>
      </c>
      <c r="AE122" s="629">
        <f t="shared" si="6"/>
        <v>0</v>
      </c>
      <c r="AF122" s="634">
        <f t="shared" si="7"/>
        <v>0</v>
      </c>
      <c r="AG122" s="43"/>
    </row>
    <row r="123" spans="1:33" hidden="1">
      <c r="A123" s="555"/>
      <c r="B123" s="623"/>
      <c r="C123" s="607"/>
      <c r="D123" s="609"/>
      <c r="E123" s="609"/>
      <c r="F123" s="608"/>
      <c r="G123" s="609"/>
      <c r="H123" s="603"/>
      <c r="I123" s="562"/>
      <c r="J123" s="562"/>
      <c r="K123" s="562"/>
      <c r="L123" s="562"/>
      <c r="M123" s="562"/>
      <c r="N123" s="562"/>
      <c r="O123" s="562"/>
      <c r="P123" s="562"/>
      <c r="Q123" s="562"/>
      <c r="R123" s="562"/>
      <c r="S123" s="562"/>
      <c r="T123" s="562"/>
      <c r="U123" s="562"/>
      <c r="V123" s="562"/>
      <c r="W123" s="562"/>
      <c r="X123" s="562"/>
      <c r="Y123" s="562"/>
      <c r="Z123" s="562"/>
      <c r="AA123" s="562"/>
      <c r="AB123" s="562"/>
      <c r="AC123" s="563"/>
      <c r="AD123" s="629">
        <f t="shared" si="5"/>
        <v>0</v>
      </c>
      <c r="AE123" s="629">
        <f t="shared" si="6"/>
        <v>0</v>
      </c>
      <c r="AF123" s="634">
        <f t="shared" si="7"/>
        <v>0</v>
      </c>
      <c r="AG123" s="43"/>
    </row>
    <row r="124" spans="1:33" hidden="1">
      <c r="A124" s="555"/>
      <c r="B124" s="623"/>
      <c r="C124" s="607"/>
      <c r="D124" s="609"/>
      <c r="E124" s="609"/>
      <c r="F124" s="608"/>
      <c r="G124" s="609"/>
      <c r="H124" s="603"/>
      <c r="I124" s="562"/>
      <c r="J124" s="562"/>
      <c r="K124" s="562"/>
      <c r="L124" s="562"/>
      <c r="M124" s="562"/>
      <c r="N124" s="562"/>
      <c r="O124" s="562"/>
      <c r="P124" s="562"/>
      <c r="Q124" s="562"/>
      <c r="R124" s="562"/>
      <c r="S124" s="562"/>
      <c r="T124" s="562"/>
      <c r="U124" s="562"/>
      <c r="V124" s="562"/>
      <c r="W124" s="562"/>
      <c r="X124" s="562"/>
      <c r="Y124" s="562"/>
      <c r="Z124" s="562"/>
      <c r="AA124" s="562"/>
      <c r="AB124" s="562"/>
      <c r="AC124" s="563"/>
      <c r="AD124" s="629">
        <f t="shared" si="5"/>
        <v>0</v>
      </c>
      <c r="AE124" s="629">
        <f t="shared" si="6"/>
        <v>0</v>
      </c>
      <c r="AF124" s="634">
        <f t="shared" si="7"/>
        <v>0</v>
      </c>
      <c r="AG124" s="43"/>
    </row>
    <row r="125" spans="1:33" hidden="1">
      <c r="A125" s="555"/>
      <c r="B125" s="623"/>
      <c r="C125" s="607"/>
      <c r="D125" s="609"/>
      <c r="E125" s="609"/>
      <c r="F125" s="608"/>
      <c r="G125" s="609"/>
      <c r="H125" s="603"/>
      <c r="I125" s="562"/>
      <c r="J125" s="562"/>
      <c r="K125" s="562"/>
      <c r="L125" s="562"/>
      <c r="M125" s="562"/>
      <c r="N125" s="562"/>
      <c r="O125" s="562"/>
      <c r="P125" s="562"/>
      <c r="Q125" s="562"/>
      <c r="R125" s="562"/>
      <c r="S125" s="562"/>
      <c r="T125" s="562"/>
      <c r="U125" s="562"/>
      <c r="V125" s="562"/>
      <c r="W125" s="562"/>
      <c r="X125" s="562"/>
      <c r="Y125" s="562"/>
      <c r="Z125" s="562"/>
      <c r="AA125" s="562"/>
      <c r="AB125" s="562"/>
      <c r="AC125" s="563"/>
      <c r="AD125" s="629">
        <f t="shared" si="5"/>
        <v>0</v>
      </c>
      <c r="AE125" s="629">
        <f t="shared" si="6"/>
        <v>0</v>
      </c>
      <c r="AF125" s="634">
        <f t="shared" si="7"/>
        <v>0</v>
      </c>
      <c r="AG125" s="43"/>
    </row>
    <row r="126" spans="1:33" hidden="1">
      <c r="A126" s="555"/>
      <c r="B126" s="623"/>
      <c r="C126" s="607"/>
      <c r="D126" s="609"/>
      <c r="E126" s="609"/>
      <c r="F126" s="608"/>
      <c r="G126" s="609"/>
      <c r="H126" s="603"/>
      <c r="I126" s="562"/>
      <c r="J126" s="562"/>
      <c r="K126" s="562"/>
      <c r="L126" s="562"/>
      <c r="M126" s="562"/>
      <c r="N126" s="562"/>
      <c r="O126" s="562"/>
      <c r="P126" s="562"/>
      <c r="Q126" s="562"/>
      <c r="R126" s="562"/>
      <c r="S126" s="562"/>
      <c r="T126" s="562"/>
      <c r="U126" s="562"/>
      <c r="V126" s="562"/>
      <c r="W126" s="562"/>
      <c r="X126" s="562"/>
      <c r="Y126" s="562"/>
      <c r="Z126" s="562"/>
      <c r="AA126" s="562"/>
      <c r="AB126" s="562"/>
      <c r="AC126" s="563"/>
      <c r="AD126" s="629">
        <f t="shared" si="5"/>
        <v>0</v>
      </c>
      <c r="AE126" s="629">
        <f t="shared" si="6"/>
        <v>0</v>
      </c>
      <c r="AF126" s="634">
        <f t="shared" si="7"/>
        <v>0</v>
      </c>
      <c r="AG126" s="43"/>
    </row>
    <row r="127" spans="1:33" hidden="1">
      <c r="A127" s="555"/>
      <c r="B127" s="623"/>
      <c r="C127" s="607"/>
      <c r="D127" s="609"/>
      <c r="E127" s="609"/>
      <c r="F127" s="608"/>
      <c r="G127" s="609"/>
      <c r="H127" s="603"/>
      <c r="I127" s="562"/>
      <c r="J127" s="562"/>
      <c r="K127" s="562"/>
      <c r="L127" s="562"/>
      <c r="M127" s="562"/>
      <c r="N127" s="562"/>
      <c r="O127" s="562"/>
      <c r="P127" s="562"/>
      <c r="Q127" s="562"/>
      <c r="R127" s="562"/>
      <c r="S127" s="562"/>
      <c r="T127" s="562"/>
      <c r="U127" s="562"/>
      <c r="V127" s="562"/>
      <c r="W127" s="562"/>
      <c r="X127" s="562"/>
      <c r="Y127" s="562"/>
      <c r="Z127" s="562"/>
      <c r="AA127" s="562"/>
      <c r="AB127" s="562"/>
      <c r="AC127" s="563"/>
      <c r="AD127" s="629">
        <f t="shared" si="5"/>
        <v>0</v>
      </c>
      <c r="AE127" s="629">
        <f t="shared" si="6"/>
        <v>0</v>
      </c>
      <c r="AF127" s="634">
        <f t="shared" si="7"/>
        <v>0</v>
      </c>
      <c r="AG127" s="43"/>
    </row>
    <row r="128" spans="1:33" hidden="1">
      <c r="A128" s="555"/>
      <c r="B128" s="623"/>
      <c r="C128" s="607"/>
      <c r="D128" s="609"/>
      <c r="E128" s="609"/>
      <c r="F128" s="608"/>
      <c r="G128" s="609"/>
      <c r="H128" s="603"/>
      <c r="I128" s="562"/>
      <c r="J128" s="562"/>
      <c r="K128" s="562"/>
      <c r="L128" s="562"/>
      <c r="M128" s="562"/>
      <c r="N128" s="562"/>
      <c r="O128" s="562"/>
      <c r="P128" s="562"/>
      <c r="Q128" s="562"/>
      <c r="R128" s="562"/>
      <c r="S128" s="562"/>
      <c r="T128" s="562"/>
      <c r="U128" s="562"/>
      <c r="V128" s="562"/>
      <c r="W128" s="562"/>
      <c r="X128" s="562"/>
      <c r="Y128" s="562"/>
      <c r="Z128" s="562"/>
      <c r="AA128" s="562"/>
      <c r="AB128" s="562"/>
      <c r="AC128" s="563"/>
      <c r="AD128" s="629">
        <f t="shared" si="5"/>
        <v>0</v>
      </c>
      <c r="AE128" s="629">
        <f t="shared" si="6"/>
        <v>0</v>
      </c>
      <c r="AF128" s="634">
        <f t="shared" si="7"/>
        <v>0</v>
      </c>
      <c r="AG128" s="43"/>
    </row>
    <row r="129" spans="1:33" hidden="1">
      <c r="A129" s="555"/>
      <c r="B129" s="623"/>
      <c r="C129" s="607"/>
      <c r="D129" s="609"/>
      <c r="E129" s="609"/>
      <c r="F129" s="608"/>
      <c r="G129" s="609"/>
      <c r="H129" s="603"/>
      <c r="I129" s="562"/>
      <c r="J129" s="562"/>
      <c r="K129" s="562"/>
      <c r="L129" s="562"/>
      <c r="M129" s="562"/>
      <c r="N129" s="562"/>
      <c r="O129" s="562"/>
      <c r="P129" s="562"/>
      <c r="Q129" s="562"/>
      <c r="R129" s="562"/>
      <c r="S129" s="562"/>
      <c r="T129" s="562"/>
      <c r="U129" s="562"/>
      <c r="V129" s="562"/>
      <c r="W129" s="562"/>
      <c r="X129" s="562"/>
      <c r="Y129" s="562"/>
      <c r="Z129" s="562"/>
      <c r="AA129" s="562"/>
      <c r="AB129" s="562"/>
      <c r="AC129" s="563"/>
      <c r="AD129" s="629">
        <f t="shared" si="5"/>
        <v>0</v>
      </c>
      <c r="AE129" s="629">
        <f t="shared" si="6"/>
        <v>0</v>
      </c>
      <c r="AF129" s="634">
        <f t="shared" si="7"/>
        <v>0</v>
      </c>
      <c r="AG129" s="43"/>
    </row>
    <row r="130" spans="1:33" hidden="1">
      <c r="A130" s="555"/>
      <c r="B130" s="623"/>
      <c r="C130" s="607"/>
      <c r="D130" s="609"/>
      <c r="E130" s="609"/>
      <c r="F130" s="608"/>
      <c r="G130" s="609"/>
      <c r="H130" s="603"/>
      <c r="I130" s="562"/>
      <c r="J130" s="562"/>
      <c r="K130" s="562"/>
      <c r="L130" s="562"/>
      <c r="M130" s="562"/>
      <c r="N130" s="562"/>
      <c r="O130" s="562"/>
      <c r="P130" s="562"/>
      <c r="Q130" s="562"/>
      <c r="R130" s="562"/>
      <c r="S130" s="562"/>
      <c r="T130" s="562"/>
      <c r="U130" s="562"/>
      <c r="V130" s="562"/>
      <c r="W130" s="562"/>
      <c r="X130" s="562"/>
      <c r="Y130" s="562"/>
      <c r="Z130" s="562"/>
      <c r="AA130" s="562"/>
      <c r="AB130" s="562"/>
      <c r="AC130" s="563"/>
      <c r="AD130" s="629">
        <f t="shared" si="5"/>
        <v>0</v>
      </c>
      <c r="AE130" s="629">
        <f t="shared" si="6"/>
        <v>0</v>
      </c>
      <c r="AF130" s="634">
        <f t="shared" si="7"/>
        <v>0</v>
      </c>
      <c r="AG130" s="43"/>
    </row>
    <row r="131" spans="1:33" hidden="1">
      <c r="A131" s="555"/>
      <c r="B131" s="623"/>
      <c r="C131" s="607"/>
      <c r="D131" s="609"/>
      <c r="E131" s="609"/>
      <c r="F131" s="608"/>
      <c r="G131" s="609"/>
      <c r="H131" s="603"/>
      <c r="I131" s="562"/>
      <c r="J131" s="562"/>
      <c r="K131" s="562"/>
      <c r="L131" s="562"/>
      <c r="M131" s="562"/>
      <c r="N131" s="562"/>
      <c r="O131" s="562"/>
      <c r="P131" s="562"/>
      <c r="Q131" s="562"/>
      <c r="R131" s="562"/>
      <c r="S131" s="562"/>
      <c r="T131" s="562"/>
      <c r="U131" s="562"/>
      <c r="V131" s="562"/>
      <c r="W131" s="562"/>
      <c r="X131" s="562"/>
      <c r="Y131" s="562"/>
      <c r="Z131" s="562"/>
      <c r="AA131" s="562"/>
      <c r="AB131" s="562"/>
      <c r="AC131" s="563"/>
      <c r="AD131" s="629">
        <f t="shared" si="5"/>
        <v>0</v>
      </c>
      <c r="AE131" s="629">
        <f t="shared" si="6"/>
        <v>0</v>
      </c>
      <c r="AF131" s="634">
        <f t="shared" si="7"/>
        <v>0</v>
      </c>
      <c r="AG131" s="43"/>
    </row>
    <row r="132" spans="1:33" hidden="1">
      <c r="A132" s="555"/>
      <c r="B132" s="623"/>
      <c r="C132" s="607"/>
      <c r="D132" s="609"/>
      <c r="E132" s="609"/>
      <c r="F132" s="608"/>
      <c r="G132" s="609"/>
      <c r="H132" s="603"/>
      <c r="I132" s="562"/>
      <c r="J132" s="562"/>
      <c r="K132" s="562"/>
      <c r="L132" s="562"/>
      <c r="M132" s="562"/>
      <c r="N132" s="562"/>
      <c r="O132" s="562"/>
      <c r="P132" s="562"/>
      <c r="Q132" s="562"/>
      <c r="R132" s="562"/>
      <c r="S132" s="562"/>
      <c r="T132" s="562"/>
      <c r="U132" s="562"/>
      <c r="V132" s="562"/>
      <c r="W132" s="562"/>
      <c r="X132" s="562"/>
      <c r="Y132" s="562"/>
      <c r="Z132" s="562"/>
      <c r="AA132" s="562"/>
      <c r="AB132" s="562"/>
      <c r="AC132" s="563"/>
      <c r="AD132" s="629">
        <f t="shared" si="5"/>
        <v>0</v>
      </c>
      <c r="AE132" s="629">
        <f t="shared" si="6"/>
        <v>0</v>
      </c>
      <c r="AF132" s="634">
        <f t="shared" si="7"/>
        <v>0</v>
      </c>
      <c r="AG132" s="43"/>
    </row>
    <row r="133" spans="1:33" hidden="1">
      <c r="A133" s="555"/>
      <c r="B133" s="623"/>
      <c r="C133" s="607"/>
      <c r="D133" s="609"/>
      <c r="E133" s="609"/>
      <c r="F133" s="608"/>
      <c r="G133" s="609"/>
      <c r="H133" s="603"/>
      <c r="I133" s="562"/>
      <c r="J133" s="562"/>
      <c r="K133" s="562"/>
      <c r="L133" s="562"/>
      <c r="M133" s="562"/>
      <c r="N133" s="562"/>
      <c r="O133" s="562"/>
      <c r="P133" s="562"/>
      <c r="Q133" s="562"/>
      <c r="R133" s="562"/>
      <c r="S133" s="562"/>
      <c r="T133" s="562"/>
      <c r="U133" s="562"/>
      <c r="V133" s="562"/>
      <c r="W133" s="562"/>
      <c r="X133" s="562"/>
      <c r="Y133" s="562"/>
      <c r="Z133" s="562"/>
      <c r="AA133" s="562"/>
      <c r="AB133" s="562"/>
      <c r="AC133" s="563"/>
      <c r="AD133" s="629">
        <f t="shared" si="5"/>
        <v>0</v>
      </c>
      <c r="AE133" s="629">
        <f t="shared" si="6"/>
        <v>0</v>
      </c>
      <c r="AF133" s="634">
        <f t="shared" si="7"/>
        <v>0</v>
      </c>
      <c r="AG133" s="43"/>
    </row>
    <row r="134" spans="1:33" hidden="1">
      <c r="A134" s="555"/>
      <c r="B134" s="623"/>
      <c r="C134" s="607"/>
      <c r="D134" s="609"/>
      <c r="E134" s="609"/>
      <c r="F134" s="608"/>
      <c r="G134" s="609"/>
      <c r="H134" s="603"/>
      <c r="I134" s="562"/>
      <c r="J134" s="562"/>
      <c r="K134" s="562"/>
      <c r="L134" s="562"/>
      <c r="M134" s="562"/>
      <c r="N134" s="562"/>
      <c r="O134" s="562"/>
      <c r="P134" s="562"/>
      <c r="Q134" s="562"/>
      <c r="R134" s="562"/>
      <c r="S134" s="562"/>
      <c r="T134" s="562"/>
      <c r="U134" s="562"/>
      <c r="V134" s="562"/>
      <c r="W134" s="562"/>
      <c r="X134" s="562"/>
      <c r="Y134" s="562"/>
      <c r="Z134" s="562"/>
      <c r="AA134" s="562"/>
      <c r="AB134" s="562"/>
      <c r="AC134" s="563"/>
      <c r="AD134" s="629">
        <f t="shared" si="5"/>
        <v>0</v>
      </c>
      <c r="AE134" s="629">
        <f t="shared" si="6"/>
        <v>0</v>
      </c>
      <c r="AF134" s="634">
        <f t="shared" si="7"/>
        <v>0</v>
      </c>
      <c r="AG134" s="43"/>
    </row>
    <row r="135" spans="1:33" hidden="1">
      <c r="A135" s="555"/>
      <c r="B135" s="623"/>
      <c r="C135" s="607"/>
      <c r="D135" s="609"/>
      <c r="E135" s="609"/>
      <c r="F135" s="608"/>
      <c r="G135" s="609"/>
      <c r="H135" s="603"/>
      <c r="I135" s="562"/>
      <c r="J135" s="562"/>
      <c r="K135" s="562"/>
      <c r="L135" s="562"/>
      <c r="M135" s="562"/>
      <c r="N135" s="562"/>
      <c r="O135" s="562"/>
      <c r="P135" s="562"/>
      <c r="Q135" s="562"/>
      <c r="R135" s="562"/>
      <c r="S135" s="562"/>
      <c r="T135" s="562"/>
      <c r="U135" s="562"/>
      <c r="V135" s="562"/>
      <c r="W135" s="562"/>
      <c r="X135" s="562"/>
      <c r="Y135" s="562"/>
      <c r="Z135" s="562"/>
      <c r="AA135" s="562"/>
      <c r="AB135" s="562"/>
      <c r="AC135" s="563"/>
      <c r="AD135" s="629">
        <f t="shared" si="5"/>
        <v>0</v>
      </c>
      <c r="AE135" s="629">
        <f t="shared" si="6"/>
        <v>0</v>
      </c>
      <c r="AF135" s="634">
        <f t="shared" si="7"/>
        <v>0</v>
      </c>
      <c r="AG135" s="43"/>
    </row>
    <row r="136" spans="1:33" hidden="1">
      <c r="A136" s="555"/>
      <c r="B136" s="623"/>
      <c r="C136" s="607"/>
      <c r="D136" s="609"/>
      <c r="E136" s="609"/>
      <c r="F136" s="608"/>
      <c r="G136" s="609"/>
      <c r="H136" s="603"/>
      <c r="I136" s="562"/>
      <c r="J136" s="562"/>
      <c r="K136" s="562"/>
      <c r="L136" s="562"/>
      <c r="M136" s="562"/>
      <c r="N136" s="562"/>
      <c r="O136" s="562"/>
      <c r="P136" s="562"/>
      <c r="Q136" s="562"/>
      <c r="R136" s="562"/>
      <c r="S136" s="562"/>
      <c r="T136" s="562"/>
      <c r="U136" s="562"/>
      <c r="V136" s="562"/>
      <c r="W136" s="562"/>
      <c r="X136" s="562"/>
      <c r="Y136" s="562"/>
      <c r="Z136" s="562"/>
      <c r="AA136" s="562"/>
      <c r="AB136" s="562"/>
      <c r="AC136" s="563"/>
      <c r="AD136" s="629">
        <f t="shared" si="5"/>
        <v>0</v>
      </c>
      <c r="AE136" s="629">
        <f t="shared" si="6"/>
        <v>0</v>
      </c>
      <c r="AF136" s="634">
        <f t="shared" si="7"/>
        <v>0</v>
      </c>
      <c r="AG136" s="43"/>
    </row>
    <row r="137" spans="1:33" hidden="1">
      <c r="A137" s="555"/>
      <c r="B137" s="623"/>
      <c r="C137" s="607"/>
      <c r="D137" s="609"/>
      <c r="E137" s="609"/>
      <c r="F137" s="608"/>
      <c r="G137" s="609"/>
      <c r="H137" s="603"/>
      <c r="I137" s="562"/>
      <c r="J137" s="562"/>
      <c r="K137" s="562"/>
      <c r="L137" s="562"/>
      <c r="M137" s="562"/>
      <c r="N137" s="562"/>
      <c r="O137" s="562"/>
      <c r="P137" s="562"/>
      <c r="Q137" s="562"/>
      <c r="R137" s="562"/>
      <c r="S137" s="562"/>
      <c r="T137" s="562"/>
      <c r="U137" s="562"/>
      <c r="V137" s="562"/>
      <c r="W137" s="562"/>
      <c r="X137" s="562"/>
      <c r="Y137" s="562"/>
      <c r="Z137" s="562"/>
      <c r="AA137" s="562"/>
      <c r="AB137" s="562"/>
      <c r="AC137" s="563"/>
      <c r="AD137" s="629">
        <f t="shared" si="5"/>
        <v>0</v>
      </c>
      <c r="AE137" s="629">
        <f t="shared" si="6"/>
        <v>0</v>
      </c>
      <c r="AF137" s="634">
        <f t="shared" si="7"/>
        <v>0</v>
      </c>
      <c r="AG137" s="43"/>
    </row>
    <row r="138" spans="1:33" hidden="1">
      <c r="A138" s="555"/>
      <c r="B138" s="623"/>
      <c r="C138" s="607"/>
      <c r="D138" s="609"/>
      <c r="E138" s="609"/>
      <c r="F138" s="608"/>
      <c r="G138" s="609"/>
      <c r="H138" s="603"/>
      <c r="I138" s="562"/>
      <c r="J138" s="562"/>
      <c r="K138" s="562"/>
      <c r="L138" s="562"/>
      <c r="M138" s="562"/>
      <c r="N138" s="562"/>
      <c r="O138" s="562"/>
      <c r="P138" s="562"/>
      <c r="Q138" s="562"/>
      <c r="R138" s="562"/>
      <c r="S138" s="562"/>
      <c r="T138" s="562"/>
      <c r="U138" s="562"/>
      <c r="V138" s="562"/>
      <c r="W138" s="562"/>
      <c r="X138" s="562"/>
      <c r="Y138" s="562"/>
      <c r="Z138" s="562"/>
      <c r="AA138" s="562"/>
      <c r="AB138" s="562"/>
      <c r="AC138" s="563"/>
      <c r="AD138" s="629">
        <f t="shared" si="5"/>
        <v>0</v>
      </c>
      <c r="AE138" s="629">
        <f t="shared" si="6"/>
        <v>0</v>
      </c>
      <c r="AF138" s="634">
        <f t="shared" si="7"/>
        <v>0</v>
      </c>
      <c r="AG138" s="43"/>
    </row>
    <row r="139" spans="1:33" hidden="1">
      <c r="A139" s="555"/>
      <c r="B139" s="623"/>
      <c r="C139" s="607"/>
      <c r="D139" s="609"/>
      <c r="E139" s="609"/>
      <c r="F139" s="608"/>
      <c r="G139" s="609"/>
      <c r="H139" s="603"/>
      <c r="I139" s="562"/>
      <c r="J139" s="562"/>
      <c r="K139" s="562"/>
      <c r="L139" s="562"/>
      <c r="M139" s="562"/>
      <c r="N139" s="562"/>
      <c r="O139" s="562"/>
      <c r="P139" s="562"/>
      <c r="Q139" s="562"/>
      <c r="R139" s="562"/>
      <c r="S139" s="562"/>
      <c r="T139" s="562"/>
      <c r="U139" s="562"/>
      <c r="V139" s="562"/>
      <c r="W139" s="562"/>
      <c r="X139" s="562"/>
      <c r="Y139" s="562"/>
      <c r="Z139" s="562"/>
      <c r="AA139" s="562"/>
      <c r="AB139" s="562"/>
      <c r="AC139" s="563"/>
      <c r="AD139" s="629">
        <f t="shared" si="5"/>
        <v>0</v>
      </c>
      <c r="AE139" s="629">
        <f t="shared" si="6"/>
        <v>0</v>
      </c>
      <c r="AF139" s="634">
        <f t="shared" si="7"/>
        <v>0</v>
      </c>
      <c r="AG139" s="43"/>
    </row>
    <row r="140" spans="1:33" hidden="1">
      <c r="A140" s="555"/>
      <c r="B140" s="623"/>
      <c r="C140" s="607"/>
      <c r="D140" s="609"/>
      <c r="E140" s="609"/>
      <c r="F140" s="608"/>
      <c r="G140" s="609"/>
      <c r="H140" s="603"/>
      <c r="I140" s="562"/>
      <c r="J140" s="562"/>
      <c r="K140" s="562"/>
      <c r="L140" s="562"/>
      <c r="M140" s="562"/>
      <c r="N140" s="562"/>
      <c r="O140" s="562"/>
      <c r="P140" s="562"/>
      <c r="Q140" s="562"/>
      <c r="R140" s="562"/>
      <c r="S140" s="562"/>
      <c r="T140" s="562"/>
      <c r="U140" s="562"/>
      <c r="V140" s="562"/>
      <c r="W140" s="562"/>
      <c r="X140" s="562"/>
      <c r="Y140" s="562"/>
      <c r="Z140" s="562"/>
      <c r="AA140" s="562"/>
      <c r="AB140" s="562"/>
      <c r="AC140" s="563"/>
      <c r="AD140" s="629">
        <f t="shared" si="5"/>
        <v>0</v>
      </c>
      <c r="AE140" s="629">
        <f t="shared" si="6"/>
        <v>0</v>
      </c>
      <c r="AF140" s="634">
        <f t="shared" si="7"/>
        <v>0</v>
      </c>
      <c r="AG140" s="43"/>
    </row>
    <row r="141" spans="1:33" hidden="1">
      <c r="A141" s="555"/>
      <c r="B141" s="623"/>
      <c r="C141" s="607"/>
      <c r="D141" s="609"/>
      <c r="E141" s="609"/>
      <c r="F141" s="608"/>
      <c r="G141" s="609"/>
      <c r="H141" s="603"/>
      <c r="I141" s="562"/>
      <c r="J141" s="562"/>
      <c r="K141" s="562"/>
      <c r="L141" s="562"/>
      <c r="M141" s="562"/>
      <c r="N141" s="562"/>
      <c r="O141" s="562"/>
      <c r="P141" s="562"/>
      <c r="Q141" s="562"/>
      <c r="R141" s="562"/>
      <c r="S141" s="562"/>
      <c r="T141" s="562"/>
      <c r="U141" s="562"/>
      <c r="V141" s="562"/>
      <c r="W141" s="562"/>
      <c r="X141" s="562"/>
      <c r="Y141" s="562"/>
      <c r="Z141" s="562"/>
      <c r="AA141" s="562"/>
      <c r="AB141" s="562"/>
      <c r="AC141" s="563"/>
      <c r="AD141" s="629">
        <f t="shared" si="5"/>
        <v>0</v>
      </c>
      <c r="AE141" s="629">
        <f t="shared" si="6"/>
        <v>0</v>
      </c>
      <c r="AF141" s="634">
        <f t="shared" si="7"/>
        <v>0</v>
      </c>
      <c r="AG141" s="43"/>
    </row>
    <row r="142" spans="1:33" hidden="1">
      <c r="A142" s="555"/>
      <c r="B142" s="623"/>
      <c r="C142" s="607"/>
      <c r="D142" s="609"/>
      <c r="E142" s="609"/>
      <c r="F142" s="608"/>
      <c r="G142" s="609"/>
      <c r="H142" s="603"/>
      <c r="I142" s="562"/>
      <c r="J142" s="562"/>
      <c r="K142" s="562"/>
      <c r="L142" s="562"/>
      <c r="M142" s="562"/>
      <c r="N142" s="562"/>
      <c r="O142" s="562"/>
      <c r="P142" s="562"/>
      <c r="Q142" s="562"/>
      <c r="R142" s="562"/>
      <c r="S142" s="562"/>
      <c r="T142" s="562"/>
      <c r="U142" s="562"/>
      <c r="V142" s="562"/>
      <c r="W142" s="562"/>
      <c r="X142" s="562"/>
      <c r="Y142" s="562"/>
      <c r="Z142" s="562"/>
      <c r="AA142" s="562"/>
      <c r="AB142" s="562"/>
      <c r="AC142" s="563"/>
      <c r="AD142" s="629">
        <f t="shared" si="5"/>
        <v>0</v>
      </c>
      <c r="AE142" s="629">
        <f t="shared" si="6"/>
        <v>0</v>
      </c>
      <c r="AF142" s="634">
        <f t="shared" si="7"/>
        <v>0</v>
      </c>
      <c r="AG142" s="43"/>
    </row>
    <row r="143" spans="1:33" hidden="1">
      <c r="A143" s="555"/>
      <c r="B143" s="623"/>
      <c r="C143" s="607"/>
      <c r="D143" s="609"/>
      <c r="E143" s="609"/>
      <c r="F143" s="608"/>
      <c r="G143" s="609"/>
      <c r="H143" s="603"/>
      <c r="I143" s="562"/>
      <c r="J143" s="562"/>
      <c r="K143" s="562"/>
      <c r="L143" s="562"/>
      <c r="M143" s="562"/>
      <c r="N143" s="562"/>
      <c r="O143" s="562"/>
      <c r="P143" s="562"/>
      <c r="Q143" s="562"/>
      <c r="R143" s="562"/>
      <c r="S143" s="562"/>
      <c r="T143" s="562"/>
      <c r="U143" s="562"/>
      <c r="V143" s="562"/>
      <c r="W143" s="562"/>
      <c r="X143" s="562"/>
      <c r="Y143" s="562"/>
      <c r="Z143" s="562"/>
      <c r="AA143" s="562"/>
      <c r="AB143" s="562"/>
      <c r="AC143" s="563"/>
      <c r="AD143" s="629">
        <f t="shared" si="5"/>
        <v>0</v>
      </c>
      <c r="AE143" s="629">
        <f t="shared" si="6"/>
        <v>0</v>
      </c>
      <c r="AF143" s="634">
        <f t="shared" si="7"/>
        <v>0</v>
      </c>
      <c r="AG143" s="43"/>
    </row>
    <row r="144" spans="1:33" hidden="1">
      <c r="A144" s="555"/>
      <c r="B144" s="623"/>
      <c r="C144" s="607"/>
      <c r="D144" s="609"/>
      <c r="E144" s="609"/>
      <c r="F144" s="608"/>
      <c r="G144" s="609"/>
      <c r="H144" s="603"/>
      <c r="I144" s="562"/>
      <c r="J144" s="562"/>
      <c r="K144" s="562"/>
      <c r="L144" s="562"/>
      <c r="M144" s="562"/>
      <c r="N144" s="562"/>
      <c r="O144" s="562"/>
      <c r="P144" s="562"/>
      <c r="Q144" s="562"/>
      <c r="R144" s="562"/>
      <c r="S144" s="562"/>
      <c r="T144" s="562"/>
      <c r="U144" s="562"/>
      <c r="V144" s="562"/>
      <c r="W144" s="562"/>
      <c r="X144" s="562"/>
      <c r="Y144" s="562"/>
      <c r="Z144" s="562"/>
      <c r="AA144" s="562"/>
      <c r="AB144" s="562"/>
      <c r="AC144" s="563"/>
      <c r="AD144" s="629">
        <f t="shared" si="5"/>
        <v>0</v>
      </c>
      <c r="AE144" s="629">
        <f t="shared" si="6"/>
        <v>0</v>
      </c>
      <c r="AF144" s="634">
        <f t="shared" si="7"/>
        <v>0</v>
      </c>
      <c r="AG144" s="43"/>
    </row>
    <row r="145" spans="1:33" hidden="1">
      <c r="A145" s="555"/>
      <c r="B145" s="623"/>
      <c r="C145" s="607"/>
      <c r="D145" s="609"/>
      <c r="E145" s="609"/>
      <c r="F145" s="608"/>
      <c r="G145" s="609"/>
      <c r="H145" s="603"/>
      <c r="I145" s="562"/>
      <c r="J145" s="562"/>
      <c r="K145" s="562"/>
      <c r="L145" s="562"/>
      <c r="M145" s="562"/>
      <c r="N145" s="562"/>
      <c r="O145" s="562"/>
      <c r="P145" s="562"/>
      <c r="Q145" s="562"/>
      <c r="R145" s="562"/>
      <c r="S145" s="562"/>
      <c r="T145" s="562"/>
      <c r="U145" s="562"/>
      <c r="V145" s="562"/>
      <c r="W145" s="562"/>
      <c r="X145" s="562"/>
      <c r="Y145" s="562"/>
      <c r="Z145" s="562"/>
      <c r="AA145" s="562"/>
      <c r="AB145" s="562"/>
      <c r="AC145" s="563"/>
      <c r="AD145" s="629">
        <f t="shared" ref="AD145:AD196" si="8">SUM(G145:AC145)</f>
        <v>0</v>
      </c>
      <c r="AE145" s="629">
        <f t="shared" ref="AE145:AE196" si="9">SUM(D145:F145)</f>
        <v>0</v>
      </c>
      <c r="AF145" s="634">
        <f t="shared" ref="AF145:AF196" si="10">AD145-AE145</f>
        <v>0</v>
      </c>
      <c r="AG145" s="43"/>
    </row>
    <row r="146" spans="1:33" hidden="1">
      <c r="A146" s="555"/>
      <c r="B146" s="623"/>
      <c r="C146" s="607"/>
      <c r="D146" s="609"/>
      <c r="E146" s="609"/>
      <c r="F146" s="608"/>
      <c r="G146" s="609"/>
      <c r="H146" s="603"/>
      <c r="I146" s="562"/>
      <c r="J146" s="562"/>
      <c r="K146" s="562"/>
      <c r="L146" s="562"/>
      <c r="M146" s="562"/>
      <c r="N146" s="562"/>
      <c r="O146" s="562"/>
      <c r="P146" s="562"/>
      <c r="Q146" s="562"/>
      <c r="R146" s="562"/>
      <c r="S146" s="562"/>
      <c r="T146" s="562"/>
      <c r="U146" s="562"/>
      <c r="V146" s="562"/>
      <c r="W146" s="562"/>
      <c r="X146" s="562"/>
      <c r="Y146" s="562"/>
      <c r="Z146" s="562"/>
      <c r="AA146" s="562"/>
      <c r="AB146" s="562"/>
      <c r="AC146" s="563"/>
      <c r="AD146" s="629">
        <f t="shared" si="8"/>
        <v>0</v>
      </c>
      <c r="AE146" s="629">
        <f t="shared" si="9"/>
        <v>0</v>
      </c>
      <c r="AF146" s="634">
        <f t="shared" si="10"/>
        <v>0</v>
      </c>
      <c r="AG146" s="43"/>
    </row>
    <row r="147" spans="1:33" hidden="1">
      <c r="A147" s="555"/>
      <c r="B147" s="623"/>
      <c r="C147" s="607"/>
      <c r="D147" s="609"/>
      <c r="E147" s="609"/>
      <c r="F147" s="608"/>
      <c r="G147" s="609"/>
      <c r="H147" s="603"/>
      <c r="I147" s="562"/>
      <c r="J147" s="562"/>
      <c r="K147" s="562"/>
      <c r="L147" s="562"/>
      <c r="M147" s="562"/>
      <c r="N147" s="562"/>
      <c r="O147" s="562"/>
      <c r="P147" s="562"/>
      <c r="Q147" s="562"/>
      <c r="R147" s="562"/>
      <c r="S147" s="562"/>
      <c r="T147" s="562"/>
      <c r="U147" s="562"/>
      <c r="V147" s="562"/>
      <c r="W147" s="562"/>
      <c r="X147" s="562"/>
      <c r="Y147" s="562"/>
      <c r="Z147" s="562"/>
      <c r="AA147" s="562"/>
      <c r="AB147" s="562"/>
      <c r="AC147" s="563"/>
      <c r="AD147" s="629">
        <f t="shared" si="8"/>
        <v>0</v>
      </c>
      <c r="AE147" s="629">
        <f t="shared" si="9"/>
        <v>0</v>
      </c>
      <c r="AF147" s="634">
        <f t="shared" si="10"/>
        <v>0</v>
      </c>
      <c r="AG147" s="43"/>
    </row>
    <row r="148" spans="1:33" hidden="1">
      <c r="A148" s="555"/>
      <c r="B148" s="623"/>
      <c r="C148" s="607"/>
      <c r="D148" s="609"/>
      <c r="E148" s="609"/>
      <c r="F148" s="608"/>
      <c r="G148" s="609"/>
      <c r="H148" s="603"/>
      <c r="I148" s="562"/>
      <c r="J148" s="562"/>
      <c r="K148" s="562"/>
      <c r="L148" s="562"/>
      <c r="M148" s="562"/>
      <c r="N148" s="562"/>
      <c r="O148" s="562"/>
      <c r="P148" s="562"/>
      <c r="Q148" s="562"/>
      <c r="R148" s="562"/>
      <c r="S148" s="562"/>
      <c r="T148" s="562"/>
      <c r="U148" s="562"/>
      <c r="V148" s="562"/>
      <c r="W148" s="562"/>
      <c r="X148" s="562"/>
      <c r="Y148" s="562"/>
      <c r="Z148" s="562"/>
      <c r="AA148" s="562"/>
      <c r="AB148" s="562"/>
      <c r="AC148" s="563"/>
      <c r="AD148" s="629">
        <f t="shared" si="8"/>
        <v>0</v>
      </c>
      <c r="AE148" s="629">
        <f t="shared" si="9"/>
        <v>0</v>
      </c>
      <c r="AF148" s="634">
        <f t="shared" si="10"/>
        <v>0</v>
      </c>
      <c r="AG148" s="43"/>
    </row>
    <row r="149" spans="1:33" hidden="1">
      <c r="A149" s="555"/>
      <c r="B149" s="623"/>
      <c r="C149" s="607"/>
      <c r="D149" s="609"/>
      <c r="E149" s="609"/>
      <c r="F149" s="608"/>
      <c r="G149" s="609"/>
      <c r="H149" s="603"/>
      <c r="I149" s="562"/>
      <c r="J149" s="562"/>
      <c r="K149" s="562"/>
      <c r="L149" s="562"/>
      <c r="M149" s="562"/>
      <c r="N149" s="562"/>
      <c r="O149" s="562"/>
      <c r="P149" s="562"/>
      <c r="Q149" s="562"/>
      <c r="R149" s="562"/>
      <c r="S149" s="562"/>
      <c r="T149" s="562"/>
      <c r="U149" s="562"/>
      <c r="V149" s="562"/>
      <c r="W149" s="562"/>
      <c r="X149" s="562"/>
      <c r="Y149" s="562"/>
      <c r="Z149" s="562"/>
      <c r="AA149" s="562"/>
      <c r="AB149" s="562"/>
      <c r="AC149" s="563"/>
      <c r="AD149" s="629">
        <f t="shared" si="8"/>
        <v>0</v>
      </c>
      <c r="AE149" s="629">
        <f t="shared" si="9"/>
        <v>0</v>
      </c>
      <c r="AF149" s="634">
        <f t="shared" si="10"/>
        <v>0</v>
      </c>
      <c r="AG149" s="43"/>
    </row>
    <row r="150" spans="1:33" hidden="1">
      <c r="A150" s="555"/>
      <c r="B150" s="623"/>
      <c r="C150" s="607"/>
      <c r="D150" s="609"/>
      <c r="E150" s="609"/>
      <c r="F150" s="608"/>
      <c r="G150" s="609"/>
      <c r="H150" s="603"/>
      <c r="I150" s="562"/>
      <c r="J150" s="562"/>
      <c r="K150" s="562"/>
      <c r="L150" s="562"/>
      <c r="M150" s="562"/>
      <c r="N150" s="562"/>
      <c r="O150" s="562"/>
      <c r="P150" s="562"/>
      <c r="Q150" s="562"/>
      <c r="R150" s="562"/>
      <c r="S150" s="562"/>
      <c r="T150" s="562"/>
      <c r="U150" s="562"/>
      <c r="V150" s="562"/>
      <c r="W150" s="562"/>
      <c r="X150" s="562"/>
      <c r="Y150" s="562"/>
      <c r="Z150" s="562"/>
      <c r="AA150" s="562"/>
      <c r="AB150" s="562"/>
      <c r="AC150" s="563"/>
      <c r="AD150" s="629">
        <f t="shared" si="8"/>
        <v>0</v>
      </c>
      <c r="AE150" s="629">
        <f t="shared" si="9"/>
        <v>0</v>
      </c>
      <c r="AF150" s="634">
        <f t="shared" si="10"/>
        <v>0</v>
      </c>
      <c r="AG150" s="43"/>
    </row>
    <row r="151" spans="1:33" hidden="1">
      <c r="A151" s="555"/>
      <c r="B151" s="623"/>
      <c r="C151" s="607"/>
      <c r="D151" s="609"/>
      <c r="E151" s="609"/>
      <c r="F151" s="608"/>
      <c r="G151" s="609"/>
      <c r="H151" s="603"/>
      <c r="I151" s="562"/>
      <c r="J151" s="562"/>
      <c r="K151" s="562"/>
      <c r="L151" s="562"/>
      <c r="M151" s="562"/>
      <c r="N151" s="562"/>
      <c r="O151" s="562"/>
      <c r="P151" s="562"/>
      <c r="Q151" s="562"/>
      <c r="R151" s="562"/>
      <c r="S151" s="562"/>
      <c r="T151" s="562"/>
      <c r="U151" s="562"/>
      <c r="V151" s="562"/>
      <c r="W151" s="562"/>
      <c r="X151" s="562"/>
      <c r="Y151" s="562"/>
      <c r="Z151" s="562"/>
      <c r="AA151" s="562"/>
      <c r="AB151" s="562"/>
      <c r="AC151" s="563"/>
      <c r="AD151" s="629">
        <f t="shared" si="8"/>
        <v>0</v>
      </c>
      <c r="AE151" s="629">
        <f t="shared" si="9"/>
        <v>0</v>
      </c>
      <c r="AF151" s="634">
        <f t="shared" si="10"/>
        <v>0</v>
      </c>
      <c r="AG151" s="43"/>
    </row>
    <row r="152" spans="1:33" hidden="1">
      <c r="A152" s="555"/>
      <c r="B152" s="623"/>
      <c r="C152" s="607"/>
      <c r="D152" s="609"/>
      <c r="E152" s="609"/>
      <c r="F152" s="608"/>
      <c r="G152" s="609"/>
      <c r="H152" s="603"/>
      <c r="I152" s="562"/>
      <c r="J152" s="562"/>
      <c r="K152" s="562"/>
      <c r="L152" s="562"/>
      <c r="M152" s="562"/>
      <c r="N152" s="562"/>
      <c r="O152" s="562"/>
      <c r="P152" s="562"/>
      <c r="Q152" s="562"/>
      <c r="R152" s="562"/>
      <c r="S152" s="562"/>
      <c r="T152" s="562"/>
      <c r="U152" s="562"/>
      <c r="V152" s="562"/>
      <c r="W152" s="562"/>
      <c r="X152" s="562"/>
      <c r="Y152" s="562"/>
      <c r="Z152" s="562"/>
      <c r="AA152" s="562"/>
      <c r="AB152" s="562"/>
      <c r="AC152" s="563"/>
      <c r="AD152" s="629">
        <f t="shared" si="8"/>
        <v>0</v>
      </c>
      <c r="AE152" s="629">
        <f t="shared" si="9"/>
        <v>0</v>
      </c>
      <c r="AF152" s="634">
        <f t="shared" si="10"/>
        <v>0</v>
      </c>
      <c r="AG152" s="43"/>
    </row>
    <row r="153" spans="1:33" hidden="1">
      <c r="A153" s="555"/>
      <c r="B153" s="623"/>
      <c r="C153" s="607"/>
      <c r="D153" s="609"/>
      <c r="E153" s="609"/>
      <c r="F153" s="608"/>
      <c r="G153" s="609"/>
      <c r="H153" s="603"/>
      <c r="I153" s="562"/>
      <c r="J153" s="562"/>
      <c r="K153" s="562"/>
      <c r="L153" s="562"/>
      <c r="M153" s="562"/>
      <c r="N153" s="562"/>
      <c r="O153" s="562"/>
      <c r="P153" s="562"/>
      <c r="Q153" s="562"/>
      <c r="R153" s="562"/>
      <c r="S153" s="562"/>
      <c r="T153" s="562"/>
      <c r="U153" s="562"/>
      <c r="V153" s="562"/>
      <c r="W153" s="562"/>
      <c r="X153" s="562"/>
      <c r="Y153" s="562"/>
      <c r="Z153" s="562"/>
      <c r="AA153" s="562"/>
      <c r="AB153" s="562"/>
      <c r="AC153" s="563"/>
      <c r="AD153" s="629">
        <f t="shared" si="8"/>
        <v>0</v>
      </c>
      <c r="AE153" s="629">
        <f t="shared" si="9"/>
        <v>0</v>
      </c>
      <c r="AF153" s="634">
        <f t="shared" si="10"/>
        <v>0</v>
      </c>
      <c r="AG153" s="43"/>
    </row>
    <row r="154" spans="1:33" hidden="1">
      <c r="A154" s="555"/>
      <c r="B154" s="623"/>
      <c r="C154" s="607"/>
      <c r="D154" s="609"/>
      <c r="E154" s="609"/>
      <c r="F154" s="608"/>
      <c r="G154" s="609"/>
      <c r="H154" s="603"/>
      <c r="I154" s="562"/>
      <c r="J154" s="562"/>
      <c r="K154" s="562"/>
      <c r="L154" s="562"/>
      <c r="M154" s="562"/>
      <c r="N154" s="562"/>
      <c r="O154" s="562"/>
      <c r="P154" s="562"/>
      <c r="Q154" s="562"/>
      <c r="R154" s="562"/>
      <c r="S154" s="562"/>
      <c r="T154" s="562"/>
      <c r="U154" s="562"/>
      <c r="V154" s="562"/>
      <c r="W154" s="562"/>
      <c r="X154" s="562"/>
      <c r="Y154" s="562"/>
      <c r="Z154" s="562"/>
      <c r="AA154" s="562"/>
      <c r="AB154" s="562"/>
      <c r="AC154" s="563"/>
      <c r="AD154" s="629">
        <f t="shared" si="8"/>
        <v>0</v>
      </c>
      <c r="AE154" s="629">
        <f t="shared" si="9"/>
        <v>0</v>
      </c>
      <c r="AF154" s="634">
        <f t="shared" si="10"/>
        <v>0</v>
      </c>
      <c r="AG154" s="43"/>
    </row>
    <row r="155" spans="1:33" hidden="1">
      <c r="A155" s="555"/>
      <c r="B155" s="623"/>
      <c r="C155" s="607"/>
      <c r="D155" s="609"/>
      <c r="E155" s="609"/>
      <c r="F155" s="608"/>
      <c r="G155" s="609"/>
      <c r="H155" s="603"/>
      <c r="I155" s="562"/>
      <c r="J155" s="562"/>
      <c r="K155" s="562"/>
      <c r="L155" s="562"/>
      <c r="M155" s="562"/>
      <c r="N155" s="562"/>
      <c r="O155" s="562"/>
      <c r="P155" s="562"/>
      <c r="Q155" s="562"/>
      <c r="R155" s="562"/>
      <c r="S155" s="562"/>
      <c r="T155" s="562"/>
      <c r="U155" s="562"/>
      <c r="V155" s="562"/>
      <c r="W155" s="562"/>
      <c r="X155" s="562"/>
      <c r="Y155" s="562"/>
      <c r="Z155" s="562"/>
      <c r="AA155" s="562"/>
      <c r="AB155" s="562"/>
      <c r="AC155" s="563"/>
      <c r="AD155" s="629">
        <f t="shared" si="8"/>
        <v>0</v>
      </c>
      <c r="AE155" s="629">
        <f t="shared" si="9"/>
        <v>0</v>
      </c>
      <c r="AF155" s="634">
        <f t="shared" si="10"/>
        <v>0</v>
      </c>
      <c r="AG155" s="43"/>
    </row>
    <row r="156" spans="1:33" hidden="1">
      <c r="A156" s="555"/>
      <c r="B156" s="623"/>
      <c r="C156" s="607"/>
      <c r="D156" s="609"/>
      <c r="E156" s="609"/>
      <c r="F156" s="608"/>
      <c r="G156" s="609"/>
      <c r="H156" s="603"/>
      <c r="I156" s="562"/>
      <c r="J156" s="562"/>
      <c r="K156" s="562"/>
      <c r="L156" s="562"/>
      <c r="M156" s="562"/>
      <c r="N156" s="562"/>
      <c r="O156" s="562"/>
      <c r="P156" s="562"/>
      <c r="Q156" s="562"/>
      <c r="R156" s="562"/>
      <c r="S156" s="562"/>
      <c r="T156" s="562"/>
      <c r="U156" s="562"/>
      <c r="V156" s="562"/>
      <c r="W156" s="562"/>
      <c r="X156" s="562"/>
      <c r="Y156" s="562"/>
      <c r="Z156" s="562"/>
      <c r="AA156" s="562"/>
      <c r="AB156" s="562"/>
      <c r="AC156" s="563"/>
      <c r="AD156" s="629">
        <f t="shared" si="8"/>
        <v>0</v>
      </c>
      <c r="AE156" s="629">
        <f t="shared" si="9"/>
        <v>0</v>
      </c>
      <c r="AF156" s="634">
        <f t="shared" si="10"/>
        <v>0</v>
      </c>
      <c r="AG156" s="43"/>
    </row>
    <row r="157" spans="1:33" hidden="1">
      <c r="A157" s="555"/>
      <c r="B157" s="623"/>
      <c r="C157" s="607"/>
      <c r="D157" s="609"/>
      <c r="E157" s="609"/>
      <c r="F157" s="608"/>
      <c r="G157" s="609"/>
      <c r="H157" s="603"/>
      <c r="I157" s="562"/>
      <c r="J157" s="562"/>
      <c r="K157" s="562"/>
      <c r="L157" s="562"/>
      <c r="M157" s="562"/>
      <c r="N157" s="562"/>
      <c r="O157" s="562"/>
      <c r="P157" s="562"/>
      <c r="Q157" s="562"/>
      <c r="R157" s="562"/>
      <c r="S157" s="562"/>
      <c r="T157" s="562"/>
      <c r="U157" s="562"/>
      <c r="V157" s="562"/>
      <c r="W157" s="562"/>
      <c r="X157" s="562"/>
      <c r="Y157" s="562"/>
      <c r="Z157" s="562"/>
      <c r="AA157" s="562"/>
      <c r="AB157" s="562"/>
      <c r="AC157" s="563"/>
      <c r="AD157" s="629">
        <f t="shared" si="8"/>
        <v>0</v>
      </c>
      <c r="AE157" s="629">
        <f t="shared" si="9"/>
        <v>0</v>
      </c>
      <c r="AF157" s="634">
        <f t="shared" si="10"/>
        <v>0</v>
      </c>
      <c r="AG157" s="43"/>
    </row>
    <row r="158" spans="1:33" hidden="1">
      <c r="A158" s="555"/>
      <c r="B158" s="623"/>
      <c r="C158" s="607"/>
      <c r="D158" s="609"/>
      <c r="E158" s="609"/>
      <c r="F158" s="608"/>
      <c r="G158" s="609"/>
      <c r="H158" s="603"/>
      <c r="I158" s="562"/>
      <c r="J158" s="562"/>
      <c r="K158" s="562"/>
      <c r="L158" s="562"/>
      <c r="M158" s="562"/>
      <c r="N158" s="562"/>
      <c r="O158" s="562"/>
      <c r="P158" s="562"/>
      <c r="Q158" s="562"/>
      <c r="R158" s="562"/>
      <c r="S158" s="562"/>
      <c r="T158" s="562"/>
      <c r="U158" s="562"/>
      <c r="V158" s="562"/>
      <c r="W158" s="562"/>
      <c r="X158" s="562"/>
      <c r="Y158" s="562"/>
      <c r="Z158" s="562"/>
      <c r="AA158" s="562"/>
      <c r="AB158" s="562"/>
      <c r="AC158" s="563"/>
      <c r="AD158" s="629">
        <f t="shared" si="8"/>
        <v>0</v>
      </c>
      <c r="AE158" s="629">
        <f t="shared" si="9"/>
        <v>0</v>
      </c>
      <c r="AF158" s="634">
        <f t="shared" si="10"/>
        <v>0</v>
      </c>
      <c r="AG158" s="43"/>
    </row>
    <row r="159" spans="1:33" hidden="1">
      <c r="A159" s="555"/>
      <c r="B159" s="623"/>
      <c r="C159" s="607"/>
      <c r="D159" s="609"/>
      <c r="E159" s="609"/>
      <c r="F159" s="608"/>
      <c r="G159" s="609"/>
      <c r="H159" s="603"/>
      <c r="I159" s="562"/>
      <c r="J159" s="562"/>
      <c r="K159" s="562"/>
      <c r="L159" s="562"/>
      <c r="M159" s="562"/>
      <c r="N159" s="562"/>
      <c r="O159" s="562"/>
      <c r="P159" s="562"/>
      <c r="Q159" s="562"/>
      <c r="R159" s="562"/>
      <c r="S159" s="562"/>
      <c r="T159" s="562"/>
      <c r="U159" s="562"/>
      <c r="V159" s="562"/>
      <c r="W159" s="562"/>
      <c r="X159" s="562"/>
      <c r="Y159" s="562"/>
      <c r="Z159" s="562"/>
      <c r="AA159" s="562"/>
      <c r="AB159" s="562"/>
      <c r="AC159" s="563"/>
      <c r="AD159" s="629">
        <f t="shared" si="8"/>
        <v>0</v>
      </c>
      <c r="AE159" s="629">
        <f t="shared" si="9"/>
        <v>0</v>
      </c>
      <c r="AF159" s="634">
        <f t="shared" si="10"/>
        <v>0</v>
      </c>
      <c r="AG159" s="43"/>
    </row>
    <row r="160" spans="1:33" hidden="1">
      <c r="A160" s="555"/>
      <c r="B160" s="623"/>
      <c r="C160" s="607"/>
      <c r="D160" s="609"/>
      <c r="E160" s="609"/>
      <c r="F160" s="608"/>
      <c r="G160" s="609"/>
      <c r="H160" s="603"/>
      <c r="I160" s="562"/>
      <c r="J160" s="562"/>
      <c r="K160" s="562"/>
      <c r="L160" s="562"/>
      <c r="M160" s="562"/>
      <c r="N160" s="562"/>
      <c r="O160" s="562"/>
      <c r="P160" s="562"/>
      <c r="Q160" s="562"/>
      <c r="R160" s="562"/>
      <c r="S160" s="562"/>
      <c r="T160" s="562"/>
      <c r="U160" s="562"/>
      <c r="V160" s="562"/>
      <c r="W160" s="562"/>
      <c r="X160" s="562"/>
      <c r="Y160" s="562"/>
      <c r="Z160" s="562"/>
      <c r="AA160" s="562"/>
      <c r="AB160" s="562"/>
      <c r="AC160" s="563"/>
      <c r="AD160" s="629">
        <f t="shared" si="8"/>
        <v>0</v>
      </c>
      <c r="AE160" s="629">
        <f t="shared" si="9"/>
        <v>0</v>
      </c>
      <c r="AF160" s="634">
        <f t="shared" si="10"/>
        <v>0</v>
      </c>
      <c r="AG160" s="43"/>
    </row>
    <row r="161" spans="1:57" hidden="1">
      <c r="A161" s="555"/>
      <c r="B161" s="623"/>
      <c r="C161" s="607"/>
      <c r="D161" s="609"/>
      <c r="E161" s="609"/>
      <c r="F161" s="608"/>
      <c r="G161" s="609"/>
      <c r="H161" s="603"/>
      <c r="I161" s="562"/>
      <c r="J161" s="562"/>
      <c r="K161" s="562"/>
      <c r="L161" s="562"/>
      <c r="M161" s="562"/>
      <c r="N161" s="562"/>
      <c r="O161" s="562"/>
      <c r="P161" s="562"/>
      <c r="Q161" s="562"/>
      <c r="R161" s="562"/>
      <c r="S161" s="562"/>
      <c r="T161" s="562"/>
      <c r="U161" s="562"/>
      <c r="V161" s="562"/>
      <c r="W161" s="562"/>
      <c r="X161" s="562"/>
      <c r="Y161" s="562"/>
      <c r="Z161" s="562"/>
      <c r="AA161" s="562"/>
      <c r="AB161" s="562"/>
      <c r="AC161" s="563"/>
      <c r="AD161" s="629">
        <f t="shared" si="8"/>
        <v>0</v>
      </c>
      <c r="AE161" s="629">
        <f t="shared" si="9"/>
        <v>0</v>
      </c>
      <c r="AF161" s="634">
        <f t="shared" si="10"/>
        <v>0</v>
      </c>
      <c r="AG161" s="43"/>
    </row>
    <row r="162" spans="1:57" hidden="1">
      <c r="A162" s="555"/>
      <c r="B162" s="623"/>
      <c r="C162" s="607"/>
      <c r="D162" s="609"/>
      <c r="E162" s="609"/>
      <c r="F162" s="608"/>
      <c r="G162" s="609"/>
      <c r="H162" s="603"/>
      <c r="I162" s="562"/>
      <c r="J162" s="562"/>
      <c r="K162" s="562"/>
      <c r="L162" s="562"/>
      <c r="M162" s="562"/>
      <c r="N162" s="562"/>
      <c r="O162" s="562"/>
      <c r="P162" s="562"/>
      <c r="Q162" s="562"/>
      <c r="R162" s="562"/>
      <c r="S162" s="562"/>
      <c r="T162" s="562"/>
      <c r="U162" s="562"/>
      <c r="V162" s="562"/>
      <c r="W162" s="562"/>
      <c r="X162" s="562"/>
      <c r="Y162" s="562"/>
      <c r="Z162" s="562"/>
      <c r="AA162" s="562"/>
      <c r="AB162" s="562"/>
      <c r="AC162" s="563"/>
      <c r="AD162" s="629">
        <f t="shared" si="8"/>
        <v>0</v>
      </c>
      <c r="AE162" s="629">
        <f t="shared" si="9"/>
        <v>0</v>
      </c>
      <c r="AF162" s="634">
        <f t="shared" si="10"/>
        <v>0</v>
      </c>
      <c r="AG162" s="43"/>
    </row>
    <row r="163" spans="1:57" hidden="1">
      <c r="A163" s="555"/>
      <c r="B163" s="623"/>
      <c r="C163" s="607"/>
      <c r="D163" s="609"/>
      <c r="E163" s="609"/>
      <c r="F163" s="608"/>
      <c r="G163" s="609"/>
      <c r="H163" s="603"/>
      <c r="I163" s="562"/>
      <c r="J163" s="562"/>
      <c r="K163" s="562"/>
      <c r="L163" s="562"/>
      <c r="M163" s="562"/>
      <c r="N163" s="562"/>
      <c r="O163" s="562"/>
      <c r="P163" s="562"/>
      <c r="Q163" s="562"/>
      <c r="R163" s="562"/>
      <c r="S163" s="562"/>
      <c r="T163" s="562"/>
      <c r="U163" s="562"/>
      <c r="V163" s="562"/>
      <c r="W163" s="562"/>
      <c r="X163" s="562"/>
      <c r="Y163" s="562"/>
      <c r="Z163" s="562"/>
      <c r="AA163" s="562"/>
      <c r="AB163" s="562"/>
      <c r="AC163" s="563"/>
      <c r="AD163" s="629">
        <f t="shared" si="8"/>
        <v>0</v>
      </c>
      <c r="AE163" s="629">
        <f t="shared" si="9"/>
        <v>0</v>
      </c>
      <c r="AF163" s="634">
        <f t="shared" si="10"/>
        <v>0</v>
      </c>
      <c r="AG163" s="43"/>
    </row>
    <row r="164" spans="1:57" hidden="1">
      <c r="A164" s="555"/>
      <c r="B164" s="623"/>
      <c r="C164" s="607"/>
      <c r="D164" s="609"/>
      <c r="E164" s="609"/>
      <c r="F164" s="608"/>
      <c r="G164" s="609"/>
      <c r="H164" s="603"/>
      <c r="I164" s="562"/>
      <c r="J164" s="562"/>
      <c r="K164" s="562"/>
      <c r="L164" s="562"/>
      <c r="M164" s="562"/>
      <c r="N164" s="562"/>
      <c r="O164" s="562"/>
      <c r="P164" s="562"/>
      <c r="Q164" s="562"/>
      <c r="R164" s="562"/>
      <c r="S164" s="562"/>
      <c r="T164" s="562"/>
      <c r="U164" s="562"/>
      <c r="V164" s="562"/>
      <c r="W164" s="562"/>
      <c r="X164" s="562"/>
      <c r="Y164" s="562"/>
      <c r="Z164" s="562"/>
      <c r="AA164" s="562"/>
      <c r="AB164" s="562"/>
      <c r="AC164" s="563"/>
      <c r="AD164" s="629">
        <f t="shared" si="8"/>
        <v>0</v>
      </c>
      <c r="AE164" s="629">
        <f t="shared" si="9"/>
        <v>0</v>
      </c>
      <c r="AF164" s="634">
        <f t="shared" si="10"/>
        <v>0</v>
      </c>
      <c r="AG164" s="43">
        <f t="shared" ref="AG164:AG184" si="11">IF(AF164=0,0,"ERROR HERE")</f>
        <v>0</v>
      </c>
      <c r="AH164" s="7">
        <f t="shared" ref="AH164:AH184" si="12">IF(OR(ISERROR(+H164/($D164+$E164-$G164)*$G164+H164),LEFT(F164,1)="x"),0,+H164/($D164+$E164-$G164)*$G164+H164)</f>
        <v>0</v>
      </c>
      <c r="AI164" s="7">
        <f t="shared" ref="AI164:AI184" si="13">IF(OR(ISERROR(+I164/($D164+$E164-$G164)*$G164+I164),LEFT(G164,1)="x"),0,+I164/($D164+$E164-$G164)*$G164+I164)</f>
        <v>0</v>
      </c>
      <c r="AJ164" s="7">
        <f t="shared" ref="AJ164:AJ184" si="14">IF(OR(ISERROR(+J164/($D164+$E164-$G164)*$G164+J164),LEFT(H164,1)="x"),0,+J164/($D164+$E164-$G164)*$G164+J164)</f>
        <v>0</v>
      </c>
      <c r="AK164" s="7">
        <f t="shared" ref="AK164:AK184" si="15">IF(OR(ISERROR(+K164/($D164+$E164-$G164)*$G164+K164),LEFT(I164,1)="x"),0,+K164/($D164+$E164-$G164)*$G164+K164)</f>
        <v>0</v>
      </c>
      <c r="AL164" s="7">
        <f t="shared" ref="AL164:AL184" si="16">IF(OR(ISERROR(+L164/($D164+$E164-$G164)*$G164+L164),LEFT(J164,1)="x"),0,+L164/($D164+$E164-$G164)*$G164+L164)</f>
        <v>0</v>
      </c>
      <c r="AM164" s="7">
        <f t="shared" ref="AM164:AM184" si="17">IF(OR(ISERROR(+M164/($D164+$E164-$G164)*$G164+M164),LEFT(K164,1)="x"),0,+M164/($D164+$E164-$G164)*$G164+M164)</f>
        <v>0</v>
      </c>
      <c r="AN164" s="7">
        <f t="shared" ref="AN164:AN184" si="18">IF(OR(ISERROR(+N164/($D164+$E164-$G164)*$G164+N164),LEFT(L164,1)="x"),0,+N164/($D164+$E164-$G164)*$G164+N164)</f>
        <v>0</v>
      </c>
      <c r="AO164" s="7">
        <f t="shared" ref="AO164:AO184" si="19">IF(OR(ISERROR(+O164/($D164+$E164-$G164)*$G164+O164),LEFT(M164,1)="x"),0,+O164/($D164+$E164-$G164)*$G164+O164)</f>
        <v>0</v>
      </c>
      <c r="AP164" s="7">
        <f t="shared" ref="AP164:AP184" si="20">IF(OR(ISERROR(+P164/($D164+$E164-$G164)*$G164+P164),LEFT(N164,1)="x"),0,+P164/($D164+$E164-$G164)*$G164+P164)</f>
        <v>0</v>
      </c>
      <c r="AQ164" s="7">
        <f t="shared" ref="AQ164:AQ184" si="21">IF(OR(ISERROR(+Q164/($D164+$E164-$G164)*$G164+Q164),LEFT(O164,1)="x"),0,+Q164/($D164+$E164-$G164)*$G164+Q164)</f>
        <v>0</v>
      </c>
      <c r="AR164" s="7">
        <f t="shared" ref="AR164:AR184" si="22">IF(OR(ISERROR(+R164/($D164+$E164-$G164)*$G164+R164),LEFT(P164,1)="x"),0,+R164/($D164+$E164-$G164)*$G164+R164)</f>
        <v>0</v>
      </c>
      <c r="AS164" s="7">
        <f t="shared" ref="AS164:AS184" si="23">IF(OR(ISERROR(+S164/($D164+$E164-$G164)*$G164+S164),LEFT(Q164,1)="x"),0,+S164/($D164+$E164-$G164)*$G164+S164)</f>
        <v>0</v>
      </c>
      <c r="AT164" s="7">
        <f t="shared" ref="AT164:AT184" si="24">IF(OR(ISERROR(+T164/($D164+$E164-$G164)*$G164+T164),LEFT(R164,1)="x"),0,+T164/($D164+$E164-$G164)*$G164+T164)</f>
        <v>0</v>
      </c>
      <c r="AU164" s="7">
        <f t="shared" ref="AU164:AU184" si="25">IF(OR(ISERROR(+U164/($D164+$E164-$G164)*$G164+U164),LEFT(S164,1)="x"),0,+U164/($D164+$E164-$G164)*$G164+U164)</f>
        <v>0</v>
      </c>
      <c r="AV164" s="7">
        <f t="shared" ref="AV164:AV184" si="26">IF(OR(ISERROR(+V164/($D164+$E164-$G164)*$G164+V164),LEFT(T164,1)="x"),0,+V164/($D164+$E164-$G164)*$G164+V164)</f>
        <v>0</v>
      </c>
      <c r="AW164" s="7">
        <f t="shared" ref="AW164:AW184" si="27">IF(OR(ISERROR(+W164/($D164+$E164-$G164)*$G164+W164),LEFT(U164,1)="x"),0,+W164/($D164+$E164-$G164)*$G164+W164)</f>
        <v>0</v>
      </c>
      <c r="AX164" s="7">
        <f t="shared" ref="AX164:AX184" si="28">IF(OR(ISERROR(+X164/($D164+$E164-$G164)*$G164+X164),LEFT(V164,1)="x"),0,+X164/($D164+$E164-$G164)*$G164+X164)</f>
        <v>0</v>
      </c>
      <c r="AY164" s="7">
        <f t="shared" ref="AY164:AY184" si="29">IF(OR(ISERROR(+Y164/($D164+$E164-$G164)*$G164+Y164),LEFT(W164,1)="x"),0,+Y164/($D164+$E164-$G164)*$G164+Y164)</f>
        <v>0</v>
      </c>
      <c r="AZ164" s="7">
        <f t="shared" ref="AZ164:AZ184" si="30">IF(OR(ISERROR(+Z164/($D164+$E164-$G164)*$G164+Z164),LEFT(X164,1)="x"),0,+Z164/($D164+$E164-$G164)*$G164+Z164)</f>
        <v>0</v>
      </c>
      <c r="BA164" s="7">
        <f t="shared" ref="BA164:BA184" si="31">IF(OR(ISERROR(+AA164/($D164+$E164-$G164)*$G164+AA164),LEFT(Y164,1)="x"),0,+AA164/($D164+$E164-$G164)*$G164+AA164)</f>
        <v>0</v>
      </c>
      <c r="BB164" s="7">
        <f t="shared" ref="BB164:BB184" si="32">IF(OR(ISERROR(+AB164/($D164+$E164-$G164)*$G164+AB164),LEFT(Z164,1)="x"),0,+AB164/($D164+$E164-$G164)*$G164+AB164)</f>
        <v>0</v>
      </c>
      <c r="BC164" s="7">
        <f>IF(OR(ISERROR(+#REF!/($D164+$E164-$G164)*$G164+#REF!),LEFT(AA164,1)="x"),0,+#REF!/($D164+$E164-$G164)*$G164+#REF!)</f>
        <v>0</v>
      </c>
      <c r="BD164" s="7">
        <f>IF(OR(ISERROR(+#REF!/($D164+$E164-$G164)*$G164+#REF!),LEFT(AB164,1)="x"),0,+#REF!/($D164+$E164-$G164)*$G164+#REF!)</f>
        <v>0</v>
      </c>
      <c r="BE164" s="7" t="e">
        <f>IF(OR(ISERROR(+AC164/($D164+$E164-$G164)*$G164+AC164),LEFT(#REF!,1)="x"),0,+AC164/($D164+$E164-$G164)*$G164+AC164)</f>
        <v>#REF!</v>
      </c>
    </row>
    <row r="165" spans="1:57" hidden="1">
      <c r="A165" s="555"/>
      <c r="B165" s="623"/>
      <c r="C165" s="607"/>
      <c r="D165" s="609"/>
      <c r="E165" s="609"/>
      <c r="F165" s="608"/>
      <c r="G165" s="609"/>
      <c r="H165" s="603"/>
      <c r="I165" s="562"/>
      <c r="J165" s="562"/>
      <c r="K165" s="562"/>
      <c r="L165" s="562"/>
      <c r="M165" s="562"/>
      <c r="N165" s="562"/>
      <c r="O165" s="562"/>
      <c r="P165" s="562"/>
      <c r="Q165" s="562"/>
      <c r="R165" s="562"/>
      <c r="S165" s="562"/>
      <c r="T165" s="562"/>
      <c r="U165" s="562"/>
      <c r="V165" s="562"/>
      <c r="W165" s="562"/>
      <c r="X165" s="562"/>
      <c r="Y165" s="562"/>
      <c r="Z165" s="562"/>
      <c r="AA165" s="562"/>
      <c r="AB165" s="562"/>
      <c r="AC165" s="563"/>
      <c r="AD165" s="629">
        <f t="shared" si="8"/>
        <v>0</v>
      </c>
      <c r="AE165" s="629">
        <f t="shared" si="9"/>
        <v>0</v>
      </c>
      <c r="AF165" s="634">
        <f t="shared" si="10"/>
        <v>0</v>
      </c>
      <c r="AG165" s="43">
        <f t="shared" si="11"/>
        <v>0</v>
      </c>
      <c r="AH165" s="7">
        <f t="shared" si="12"/>
        <v>0</v>
      </c>
      <c r="AI165" s="7">
        <f t="shared" si="13"/>
        <v>0</v>
      </c>
      <c r="AJ165" s="7">
        <f t="shared" si="14"/>
        <v>0</v>
      </c>
      <c r="AK165" s="7">
        <f t="shared" si="15"/>
        <v>0</v>
      </c>
      <c r="AL165" s="7">
        <f t="shared" si="16"/>
        <v>0</v>
      </c>
      <c r="AM165" s="7">
        <f t="shared" si="17"/>
        <v>0</v>
      </c>
      <c r="AN165" s="7">
        <f t="shared" si="18"/>
        <v>0</v>
      </c>
      <c r="AO165" s="7">
        <f t="shared" si="19"/>
        <v>0</v>
      </c>
      <c r="AP165" s="7">
        <f t="shared" si="20"/>
        <v>0</v>
      </c>
      <c r="AQ165" s="7">
        <f t="shared" si="21"/>
        <v>0</v>
      </c>
      <c r="AR165" s="7">
        <f t="shared" si="22"/>
        <v>0</v>
      </c>
      <c r="AS165" s="7">
        <f t="shared" si="23"/>
        <v>0</v>
      </c>
      <c r="AT165" s="7">
        <f t="shared" si="24"/>
        <v>0</v>
      </c>
      <c r="AU165" s="7">
        <f t="shared" si="25"/>
        <v>0</v>
      </c>
      <c r="AV165" s="7">
        <f t="shared" si="26"/>
        <v>0</v>
      </c>
      <c r="AW165" s="7">
        <f t="shared" si="27"/>
        <v>0</v>
      </c>
      <c r="AX165" s="7">
        <f t="shared" si="28"/>
        <v>0</v>
      </c>
      <c r="AY165" s="7">
        <f t="shared" si="29"/>
        <v>0</v>
      </c>
      <c r="AZ165" s="7">
        <f t="shared" si="30"/>
        <v>0</v>
      </c>
      <c r="BA165" s="7">
        <f t="shared" si="31"/>
        <v>0</v>
      </c>
      <c r="BB165" s="7">
        <f t="shared" si="32"/>
        <v>0</v>
      </c>
      <c r="BC165" s="7">
        <f>IF(OR(ISERROR(+#REF!/($D165+$E165-$G165)*$G165+#REF!),LEFT(AA165,1)="x"),0,+#REF!/($D165+$E165-$G165)*$G165+#REF!)</f>
        <v>0</v>
      </c>
      <c r="BD165" s="7">
        <f>IF(OR(ISERROR(+#REF!/($D165+$E165-$G165)*$G165+#REF!),LEFT(AB165,1)="x"),0,+#REF!/($D165+$E165-$G165)*$G165+#REF!)</f>
        <v>0</v>
      </c>
      <c r="BE165" s="7" t="e">
        <f>IF(OR(ISERROR(+AC165/($D165+$E165-$G165)*$G165+AC165),LEFT(#REF!,1)="x"),0,+AC165/($D165+$E165-$G165)*$G165+AC165)</f>
        <v>#REF!</v>
      </c>
    </row>
    <row r="166" spans="1:57" hidden="1">
      <c r="A166" s="555"/>
      <c r="B166" s="623"/>
      <c r="C166" s="607"/>
      <c r="D166" s="609"/>
      <c r="E166" s="609"/>
      <c r="F166" s="608"/>
      <c r="G166" s="609"/>
      <c r="H166" s="603"/>
      <c r="I166" s="562"/>
      <c r="J166" s="562"/>
      <c r="K166" s="562"/>
      <c r="L166" s="562"/>
      <c r="M166" s="562"/>
      <c r="N166" s="562"/>
      <c r="O166" s="562"/>
      <c r="P166" s="562"/>
      <c r="Q166" s="562"/>
      <c r="R166" s="562"/>
      <c r="S166" s="562"/>
      <c r="T166" s="562"/>
      <c r="U166" s="562"/>
      <c r="V166" s="562"/>
      <c r="W166" s="562"/>
      <c r="X166" s="562"/>
      <c r="Y166" s="562"/>
      <c r="Z166" s="562"/>
      <c r="AA166" s="562"/>
      <c r="AB166" s="562"/>
      <c r="AC166" s="563"/>
      <c r="AD166" s="629">
        <f t="shared" si="8"/>
        <v>0</v>
      </c>
      <c r="AE166" s="629">
        <f t="shared" si="9"/>
        <v>0</v>
      </c>
      <c r="AF166" s="634">
        <f t="shared" si="10"/>
        <v>0</v>
      </c>
      <c r="AG166" s="43">
        <f t="shared" si="11"/>
        <v>0</v>
      </c>
      <c r="AH166" s="7">
        <f t="shared" si="12"/>
        <v>0</v>
      </c>
      <c r="AI166" s="7">
        <f t="shared" si="13"/>
        <v>0</v>
      </c>
      <c r="AJ166" s="7">
        <f t="shared" si="14"/>
        <v>0</v>
      </c>
      <c r="AK166" s="7">
        <f t="shared" si="15"/>
        <v>0</v>
      </c>
      <c r="AL166" s="7">
        <f t="shared" si="16"/>
        <v>0</v>
      </c>
      <c r="AM166" s="7">
        <f t="shared" si="17"/>
        <v>0</v>
      </c>
      <c r="AN166" s="7">
        <f t="shared" si="18"/>
        <v>0</v>
      </c>
      <c r="AO166" s="7">
        <f t="shared" si="19"/>
        <v>0</v>
      </c>
      <c r="AP166" s="7">
        <f t="shared" si="20"/>
        <v>0</v>
      </c>
      <c r="AQ166" s="7">
        <f t="shared" si="21"/>
        <v>0</v>
      </c>
      <c r="AR166" s="7">
        <f t="shared" si="22"/>
        <v>0</v>
      </c>
      <c r="AS166" s="7">
        <f t="shared" si="23"/>
        <v>0</v>
      </c>
      <c r="AT166" s="7">
        <f t="shared" si="24"/>
        <v>0</v>
      </c>
      <c r="AU166" s="7">
        <f t="shared" si="25"/>
        <v>0</v>
      </c>
      <c r="AV166" s="7">
        <f t="shared" si="26"/>
        <v>0</v>
      </c>
      <c r="AW166" s="7">
        <f t="shared" si="27"/>
        <v>0</v>
      </c>
      <c r="AX166" s="7">
        <f t="shared" si="28"/>
        <v>0</v>
      </c>
      <c r="AY166" s="7">
        <f t="shared" si="29"/>
        <v>0</v>
      </c>
      <c r="AZ166" s="7">
        <f t="shared" si="30"/>
        <v>0</v>
      </c>
      <c r="BA166" s="7">
        <f t="shared" si="31"/>
        <v>0</v>
      </c>
      <c r="BB166" s="7">
        <f t="shared" si="32"/>
        <v>0</v>
      </c>
      <c r="BC166" s="7">
        <f>IF(OR(ISERROR(+#REF!/($D166+$E166-$G166)*$G166+#REF!),LEFT(AA166,1)="x"),0,+#REF!/($D166+$E166-$G166)*$G166+#REF!)</f>
        <v>0</v>
      </c>
      <c r="BD166" s="7">
        <f>IF(OR(ISERROR(+#REF!/($D166+$E166-$G166)*$G166+#REF!),LEFT(AB166,1)="x"),0,+#REF!/($D166+$E166-$G166)*$G166+#REF!)</f>
        <v>0</v>
      </c>
      <c r="BE166" s="7" t="e">
        <f>IF(OR(ISERROR(+AC166/($D166+$E166-$G166)*$G166+AC166),LEFT(#REF!,1)="x"),0,+AC166/($D166+$E166-$G166)*$G166+AC166)</f>
        <v>#REF!</v>
      </c>
    </row>
    <row r="167" spans="1:57" hidden="1">
      <c r="A167" s="555"/>
      <c r="B167" s="623"/>
      <c r="C167" s="607"/>
      <c r="D167" s="609"/>
      <c r="E167" s="609"/>
      <c r="F167" s="608"/>
      <c r="G167" s="609"/>
      <c r="H167" s="603"/>
      <c r="I167" s="562"/>
      <c r="J167" s="562"/>
      <c r="K167" s="562"/>
      <c r="L167" s="562"/>
      <c r="M167" s="562"/>
      <c r="N167" s="562"/>
      <c r="O167" s="562"/>
      <c r="P167" s="562"/>
      <c r="Q167" s="562"/>
      <c r="R167" s="562"/>
      <c r="S167" s="562"/>
      <c r="T167" s="562"/>
      <c r="U167" s="562"/>
      <c r="V167" s="562"/>
      <c r="W167" s="562"/>
      <c r="X167" s="562"/>
      <c r="Y167" s="562"/>
      <c r="Z167" s="562"/>
      <c r="AA167" s="562"/>
      <c r="AB167" s="562"/>
      <c r="AC167" s="563"/>
      <c r="AD167" s="629">
        <f t="shared" si="8"/>
        <v>0</v>
      </c>
      <c r="AE167" s="629">
        <f t="shared" si="9"/>
        <v>0</v>
      </c>
      <c r="AF167" s="634">
        <f t="shared" si="10"/>
        <v>0</v>
      </c>
      <c r="AG167" s="43">
        <f t="shared" si="11"/>
        <v>0</v>
      </c>
      <c r="AH167" s="7">
        <f t="shared" si="12"/>
        <v>0</v>
      </c>
      <c r="AI167" s="7">
        <f t="shared" si="13"/>
        <v>0</v>
      </c>
      <c r="AJ167" s="7">
        <f t="shared" si="14"/>
        <v>0</v>
      </c>
      <c r="AK167" s="7">
        <f t="shared" si="15"/>
        <v>0</v>
      </c>
      <c r="AL167" s="7">
        <f t="shared" si="16"/>
        <v>0</v>
      </c>
      <c r="AM167" s="7">
        <f t="shared" si="17"/>
        <v>0</v>
      </c>
      <c r="AN167" s="7">
        <f t="shared" si="18"/>
        <v>0</v>
      </c>
      <c r="AO167" s="7">
        <f t="shared" si="19"/>
        <v>0</v>
      </c>
      <c r="AP167" s="7">
        <f t="shared" si="20"/>
        <v>0</v>
      </c>
      <c r="AQ167" s="7">
        <f t="shared" si="21"/>
        <v>0</v>
      </c>
      <c r="AR167" s="7">
        <f t="shared" si="22"/>
        <v>0</v>
      </c>
      <c r="AS167" s="7">
        <f t="shared" si="23"/>
        <v>0</v>
      </c>
      <c r="AT167" s="7">
        <f t="shared" si="24"/>
        <v>0</v>
      </c>
      <c r="AU167" s="7">
        <f t="shared" si="25"/>
        <v>0</v>
      </c>
      <c r="AV167" s="7">
        <f t="shared" si="26"/>
        <v>0</v>
      </c>
      <c r="AW167" s="7">
        <f t="shared" si="27"/>
        <v>0</v>
      </c>
      <c r="AX167" s="7">
        <f t="shared" si="28"/>
        <v>0</v>
      </c>
      <c r="AY167" s="7">
        <f t="shared" si="29"/>
        <v>0</v>
      </c>
      <c r="AZ167" s="7">
        <f t="shared" si="30"/>
        <v>0</v>
      </c>
      <c r="BA167" s="7">
        <f t="shared" si="31"/>
        <v>0</v>
      </c>
      <c r="BB167" s="7">
        <f t="shared" si="32"/>
        <v>0</v>
      </c>
      <c r="BC167" s="7">
        <f>IF(OR(ISERROR(+#REF!/($D167+$E167-$G167)*$G167+#REF!),LEFT(AA167,1)="x"),0,+#REF!/($D167+$E167-$G167)*$G167+#REF!)</f>
        <v>0</v>
      </c>
      <c r="BD167" s="7">
        <f>IF(OR(ISERROR(+#REF!/($D167+$E167-$G167)*$G167+#REF!),LEFT(AB167,1)="x"),0,+#REF!/($D167+$E167-$G167)*$G167+#REF!)</f>
        <v>0</v>
      </c>
      <c r="BE167" s="7" t="e">
        <f>IF(OR(ISERROR(+AC167/($D167+$E167-$G167)*$G167+AC167),LEFT(#REF!,1)="x"),0,+AC167/($D167+$E167-$G167)*$G167+AC167)</f>
        <v>#REF!</v>
      </c>
    </row>
    <row r="168" spans="1:57" hidden="1">
      <c r="A168" s="555"/>
      <c r="B168" s="623"/>
      <c r="C168" s="607"/>
      <c r="D168" s="609"/>
      <c r="E168" s="609"/>
      <c r="F168" s="608"/>
      <c r="G168" s="609"/>
      <c r="H168" s="603"/>
      <c r="I168" s="562"/>
      <c r="J168" s="562"/>
      <c r="K168" s="562"/>
      <c r="L168" s="562"/>
      <c r="M168" s="562"/>
      <c r="N168" s="562"/>
      <c r="O168" s="562"/>
      <c r="P168" s="562"/>
      <c r="Q168" s="562"/>
      <c r="R168" s="562"/>
      <c r="S168" s="562"/>
      <c r="T168" s="562"/>
      <c r="U168" s="562"/>
      <c r="V168" s="562"/>
      <c r="W168" s="562"/>
      <c r="X168" s="562"/>
      <c r="Y168" s="562"/>
      <c r="Z168" s="562"/>
      <c r="AA168" s="562"/>
      <c r="AB168" s="562"/>
      <c r="AC168" s="563"/>
      <c r="AD168" s="629">
        <f t="shared" si="8"/>
        <v>0</v>
      </c>
      <c r="AE168" s="629">
        <f t="shared" si="9"/>
        <v>0</v>
      </c>
      <c r="AF168" s="634">
        <f t="shared" si="10"/>
        <v>0</v>
      </c>
      <c r="AG168" s="43">
        <f t="shared" si="11"/>
        <v>0</v>
      </c>
      <c r="AH168" s="7">
        <f t="shared" si="12"/>
        <v>0</v>
      </c>
      <c r="AI168" s="7">
        <f t="shared" si="13"/>
        <v>0</v>
      </c>
      <c r="AJ168" s="7">
        <f t="shared" si="14"/>
        <v>0</v>
      </c>
      <c r="AK168" s="7">
        <f t="shared" si="15"/>
        <v>0</v>
      </c>
      <c r="AL168" s="7">
        <f t="shared" si="16"/>
        <v>0</v>
      </c>
      <c r="AM168" s="7">
        <f t="shared" si="17"/>
        <v>0</v>
      </c>
      <c r="AN168" s="7">
        <f t="shared" si="18"/>
        <v>0</v>
      </c>
      <c r="AO168" s="7">
        <f t="shared" si="19"/>
        <v>0</v>
      </c>
      <c r="AP168" s="7">
        <f t="shared" si="20"/>
        <v>0</v>
      </c>
      <c r="AQ168" s="7">
        <f t="shared" si="21"/>
        <v>0</v>
      </c>
      <c r="AR168" s="7">
        <f t="shared" si="22"/>
        <v>0</v>
      </c>
      <c r="AS168" s="7">
        <f t="shared" si="23"/>
        <v>0</v>
      </c>
      <c r="AT168" s="7">
        <f t="shared" si="24"/>
        <v>0</v>
      </c>
      <c r="AU168" s="7">
        <f t="shared" si="25"/>
        <v>0</v>
      </c>
      <c r="AV168" s="7">
        <f t="shared" si="26"/>
        <v>0</v>
      </c>
      <c r="AW168" s="7">
        <f t="shared" si="27"/>
        <v>0</v>
      </c>
      <c r="AX168" s="7">
        <f t="shared" si="28"/>
        <v>0</v>
      </c>
      <c r="AY168" s="7">
        <f t="shared" si="29"/>
        <v>0</v>
      </c>
      <c r="AZ168" s="7">
        <f t="shared" si="30"/>
        <v>0</v>
      </c>
      <c r="BA168" s="7">
        <f t="shared" si="31"/>
        <v>0</v>
      </c>
      <c r="BB168" s="7">
        <f t="shared" si="32"/>
        <v>0</v>
      </c>
      <c r="BC168" s="7">
        <f>IF(OR(ISERROR(+#REF!/($D168+$E168-$G168)*$G168+#REF!),LEFT(AA168,1)="x"),0,+#REF!/($D168+$E168-$G168)*$G168+#REF!)</f>
        <v>0</v>
      </c>
      <c r="BD168" s="7">
        <f>IF(OR(ISERROR(+#REF!/($D168+$E168-$G168)*$G168+#REF!),LEFT(AB168,1)="x"),0,+#REF!/($D168+$E168-$G168)*$G168+#REF!)</f>
        <v>0</v>
      </c>
      <c r="BE168" s="7" t="e">
        <f>IF(OR(ISERROR(+AC168/($D168+$E168-$G168)*$G168+AC168),LEFT(#REF!,1)="x"),0,+AC168/($D168+$E168-$G168)*$G168+AC168)</f>
        <v>#REF!</v>
      </c>
    </row>
    <row r="169" spans="1:57" hidden="1">
      <c r="A169" s="555"/>
      <c r="B169" s="623"/>
      <c r="C169" s="607"/>
      <c r="D169" s="609"/>
      <c r="E169" s="609"/>
      <c r="F169" s="608"/>
      <c r="G169" s="609"/>
      <c r="H169" s="603"/>
      <c r="I169" s="562"/>
      <c r="J169" s="562"/>
      <c r="K169" s="562"/>
      <c r="L169" s="562"/>
      <c r="M169" s="562"/>
      <c r="N169" s="562"/>
      <c r="O169" s="562"/>
      <c r="P169" s="562"/>
      <c r="Q169" s="562"/>
      <c r="R169" s="562"/>
      <c r="S169" s="562"/>
      <c r="T169" s="562"/>
      <c r="U169" s="562"/>
      <c r="V169" s="562"/>
      <c r="W169" s="562"/>
      <c r="X169" s="562"/>
      <c r="Y169" s="562"/>
      <c r="Z169" s="562"/>
      <c r="AA169" s="562"/>
      <c r="AB169" s="562"/>
      <c r="AC169" s="563"/>
      <c r="AD169" s="629">
        <f t="shared" si="8"/>
        <v>0</v>
      </c>
      <c r="AE169" s="629">
        <f t="shared" si="9"/>
        <v>0</v>
      </c>
      <c r="AF169" s="634">
        <f t="shared" si="10"/>
        <v>0</v>
      </c>
      <c r="AG169" s="43">
        <f t="shared" si="11"/>
        <v>0</v>
      </c>
      <c r="AH169" s="7">
        <f t="shared" si="12"/>
        <v>0</v>
      </c>
      <c r="AI169" s="7">
        <f t="shared" si="13"/>
        <v>0</v>
      </c>
      <c r="AJ169" s="7">
        <f t="shared" si="14"/>
        <v>0</v>
      </c>
      <c r="AK169" s="7">
        <f t="shared" si="15"/>
        <v>0</v>
      </c>
      <c r="AL169" s="7">
        <f t="shared" si="16"/>
        <v>0</v>
      </c>
      <c r="AM169" s="7">
        <f t="shared" si="17"/>
        <v>0</v>
      </c>
      <c r="AN169" s="7">
        <f t="shared" si="18"/>
        <v>0</v>
      </c>
      <c r="AO169" s="7">
        <f t="shared" si="19"/>
        <v>0</v>
      </c>
      <c r="AP169" s="7">
        <f t="shared" si="20"/>
        <v>0</v>
      </c>
      <c r="AQ169" s="7">
        <f t="shared" si="21"/>
        <v>0</v>
      </c>
      <c r="AR169" s="7">
        <f t="shared" si="22"/>
        <v>0</v>
      </c>
      <c r="AS169" s="7">
        <f t="shared" si="23"/>
        <v>0</v>
      </c>
      <c r="AT169" s="7">
        <f t="shared" si="24"/>
        <v>0</v>
      </c>
      <c r="AU169" s="7">
        <f t="shared" si="25"/>
        <v>0</v>
      </c>
      <c r="AV169" s="7">
        <f t="shared" si="26"/>
        <v>0</v>
      </c>
      <c r="AW169" s="7">
        <f t="shared" si="27"/>
        <v>0</v>
      </c>
      <c r="AX169" s="7">
        <f t="shared" si="28"/>
        <v>0</v>
      </c>
      <c r="AY169" s="7">
        <f t="shared" si="29"/>
        <v>0</v>
      </c>
      <c r="AZ169" s="7">
        <f t="shared" si="30"/>
        <v>0</v>
      </c>
      <c r="BA169" s="7">
        <f t="shared" si="31"/>
        <v>0</v>
      </c>
      <c r="BB169" s="7">
        <f t="shared" si="32"/>
        <v>0</v>
      </c>
      <c r="BC169" s="7">
        <f>IF(OR(ISERROR(+#REF!/($D169+$E169-$G169)*$G169+#REF!),LEFT(AA169,1)="x"),0,+#REF!/($D169+$E169-$G169)*$G169+#REF!)</f>
        <v>0</v>
      </c>
      <c r="BD169" s="7">
        <f>IF(OR(ISERROR(+#REF!/($D169+$E169-$G169)*$G169+#REF!),LEFT(AB169,1)="x"),0,+#REF!/($D169+$E169-$G169)*$G169+#REF!)</f>
        <v>0</v>
      </c>
      <c r="BE169" s="7" t="e">
        <f>IF(OR(ISERROR(+AC169/($D169+$E169-$G169)*$G169+AC169),LEFT(#REF!,1)="x"),0,+AC169/($D169+$E169-$G169)*$G169+AC169)</f>
        <v>#REF!</v>
      </c>
    </row>
    <row r="170" spans="1:57" hidden="1">
      <c r="A170" s="555"/>
      <c r="B170" s="623"/>
      <c r="C170" s="607"/>
      <c r="D170" s="609"/>
      <c r="E170" s="609"/>
      <c r="F170" s="608"/>
      <c r="G170" s="609"/>
      <c r="H170" s="603"/>
      <c r="I170" s="562"/>
      <c r="J170" s="562"/>
      <c r="K170" s="562"/>
      <c r="L170" s="562"/>
      <c r="M170" s="562"/>
      <c r="N170" s="562"/>
      <c r="O170" s="562"/>
      <c r="P170" s="562"/>
      <c r="Q170" s="562"/>
      <c r="R170" s="562"/>
      <c r="S170" s="562"/>
      <c r="T170" s="562"/>
      <c r="U170" s="562"/>
      <c r="V170" s="562"/>
      <c r="W170" s="562"/>
      <c r="X170" s="562"/>
      <c r="Y170" s="562"/>
      <c r="Z170" s="562"/>
      <c r="AA170" s="562"/>
      <c r="AB170" s="562"/>
      <c r="AC170" s="563"/>
      <c r="AD170" s="629">
        <f t="shared" si="8"/>
        <v>0</v>
      </c>
      <c r="AE170" s="629">
        <f t="shared" si="9"/>
        <v>0</v>
      </c>
      <c r="AF170" s="634">
        <f t="shared" si="10"/>
        <v>0</v>
      </c>
      <c r="AG170" s="43">
        <f t="shared" si="11"/>
        <v>0</v>
      </c>
      <c r="AH170" s="7">
        <f t="shared" si="12"/>
        <v>0</v>
      </c>
      <c r="AI170" s="7">
        <f t="shared" si="13"/>
        <v>0</v>
      </c>
      <c r="AJ170" s="7">
        <f t="shared" si="14"/>
        <v>0</v>
      </c>
      <c r="AK170" s="7">
        <f t="shared" si="15"/>
        <v>0</v>
      </c>
      <c r="AL170" s="7">
        <f t="shared" si="16"/>
        <v>0</v>
      </c>
      <c r="AM170" s="7">
        <f t="shared" si="17"/>
        <v>0</v>
      </c>
      <c r="AN170" s="7">
        <f t="shared" si="18"/>
        <v>0</v>
      </c>
      <c r="AO170" s="7">
        <f t="shared" si="19"/>
        <v>0</v>
      </c>
      <c r="AP170" s="7">
        <f t="shared" si="20"/>
        <v>0</v>
      </c>
      <c r="AQ170" s="7">
        <f t="shared" si="21"/>
        <v>0</v>
      </c>
      <c r="AR170" s="7">
        <f t="shared" si="22"/>
        <v>0</v>
      </c>
      <c r="AS170" s="7">
        <f t="shared" si="23"/>
        <v>0</v>
      </c>
      <c r="AT170" s="7">
        <f t="shared" si="24"/>
        <v>0</v>
      </c>
      <c r="AU170" s="7">
        <f t="shared" si="25"/>
        <v>0</v>
      </c>
      <c r="AV170" s="7">
        <f t="shared" si="26"/>
        <v>0</v>
      </c>
      <c r="AW170" s="7">
        <f t="shared" si="27"/>
        <v>0</v>
      </c>
      <c r="AX170" s="7">
        <f t="shared" si="28"/>
        <v>0</v>
      </c>
      <c r="AY170" s="7">
        <f t="shared" si="29"/>
        <v>0</v>
      </c>
      <c r="AZ170" s="7">
        <f t="shared" si="30"/>
        <v>0</v>
      </c>
      <c r="BA170" s="7">
        <f t="shared" si="31"/>
        <v>0</v>
      </c>
      <c r="BB170" s="7">
        <f t="shared" si="32"/>
        <v>0</v>
      </c>
      <c r="BC170" s="7">
        <f>IF(OR(ISERROR(+#REF!/($D170+$E170-$G170)*$G170+#REF!),LEFT(AA170,1)="x"),0,+#REF!/($D170+$E170-$G170)*$G170+#REF!)</f>
        <v>0</v>
      </c>
      <c r="BD170" s="7">
        <f>IF(OR(ISERROR(+#REF!/($D170+$E170-$G170)*$G170+#REF!),LEFT(AB170,1)="x"),0,+#REF!/($D170+$E170-$G170)*$G170+#REF!)</f>
        <v>0</v>
      </c>
      <c r="BE170" s="7" t="e">
        <f>IF(OR(ISERROR(+AC170/($D170+$E170-$G170)*$G170+AC170),LEFT(#REF!,1)="x"),0,+AC170/($D170+$E170-$G170)*$G170+AC170)</f>
        <v>#REF!</v>
      </c>
    </row>
    <row r="171" spans="1:57" hidden="1">
      <c r="A171" s="555"/>
      <c r="B171" s="623"/>
      <c r="C171" s="607"/>
      <c r="D171" s="609"/>
      <c r="E171" s="609"/>
      <c r="F171" s="608"/>
      <c r="G171" s="609"/>
      <c r="H171" s="603"/>
      <c r="I171" s="562"/>
      <c r="J171" s="562"/>
      <c r="K171" s="562"/>
      <c r="L171" s="562"/>
      <c r="M171" s="562"/>
      <c r="N171" s="562"/>
      <c r="O171" s="562"/>
      <c r="P171" s="562"/>
      <c r="Q171" s="562"/>
      <c r="R171" s="562"/>
      <c r="S171" s="562"/>
      <c r="T171" s="562"/>
      <c r="U171" s="562"/>
      <c r="V171" s="562"/>
      <c r="W171" s="562"/>
      <c r="X171" s="562"/>
      <c r="Y171" s="562"/>
      <c r="Z171" s="562"/>
      <c r="AA171" s="562"/>
      <c r="AB171" s="562"/>
      <c r="AC171" s="563"/>
      <c r="AD171" s="629">
        <f t="shared" si="8"/>
        <v>0</v>
      </c>
      <c r="AE171" s="629">
        <f t="shared" si="9"/>
        <v>0</v>
      </c>
      <c r="AF171" s="634">
        <f t="shared" si="10"/>
        <v>0</v>
      </c>
      <c r="AG171" s="43">
        <f t="shared" si="11"/>
        <v>0</v>
      </c>
      <c r="AH171" s="7">
        <f t="shared" si="12"/>
        <v>0</v>
      </c>
      <c r="AI171" s="7">
        <f t="shared" si="13"/>
        <v>0</v>
      </c>
      <c r="AJ171" s="7">
        <f t="shared" si="14"/>
        <v>0</v>
      </c>
      <c r="AK171" s="7">
        <f t="shared" si="15"/>
        <v>0</v>
      </c>
      <c r="AL171" s="7">
        <f t="shared" si="16"/>
        <v>0</v>
      </c>
      <c r="AM171" s="7">
        <f t="shared" si="17"/>
        <v>0</v>
      </c>
      <c r="AN171" s="7">
        <f t="shared" si="18"/>
        <v>0</v>
      </c>
      <c r="AO171" s="7">
        <f t="shared" si="19"/>
        <v>0</v>
      </c>
      <c r="AP171" s="7">
        <f t="shared" si="20"/>
        <v>0</v>
      </c>
      <c r="AQ171" s="7">
        <f t="shared" si="21"/>
        <v>0</v>
      </c>
      <c r="AR171" s="7">
        <f t="shared" si="22"/>
        <v>0</v>
      </c>
      <c r="AS171" s="7">
        <f t="shared" si="23"/>
        <v>0</v>
      </c>
      <c r="AT171" s="7">
        <f t="shared" si="24"/>
        <v>0</v>
      </c>
      <c r="AU171" s="7">
        <f t="shared" si="25"/>
        <v>0</v>
      </c>
      <c r="AV171" s="7">
        <f t="shared" si="26"/>
        <v>0</v>
      </c>
      <c r="AW171" s="7">
        <f t="shared" si="27"/>
        <v>0</v>
      </c>
      <c r="AX171" s="7">
        <f t="shared" si="28"/>
        <v>0</v>
      </c>
      <c r="AY171" s="7">
        <f t="shared" si="29"/>
        <v>0</v>
      </c>
      <c r="AZ171" s="7">
        <f t="shared" si="30"/>
        <v>0</v>
      </c>
      <c r="BA171" s="7">
        <f t="shared" si="31"/>
        <v>0</v>
      </c>
      <c r="BB171" s="7">
        <f t="shared" si="32"/>
        <v>0</v>
      </c>
      <c r="BC171" s="7">
        <f>IF(OR(ISERROR(+#REF!/($D171+$E171-$G171)*$G171+#REF!),LEFT(AA171,1)="x"),0,+#REF!/($D171+$E171-$G171)*$G171+#REF!)</f>
        <v>0</v>
      </c>
      <c r="BD171" s="7">
        <f>IF(OR(ISERROR(+#REF!/($D171+$E171-$G171)*$G171+#REF!),LEFT(AB171,1)="x"),0,+#REF!/($D171+$E171-$G171)*$G171+#REF!)</f>
        <v>0</v>
      </c>
      <c r="BE171" s="7" t="e">
        <f>IF(OR(ISERROR(+AC171/($D171+$E171-$G171)*$G171+AC171),LEFT(#REF!,1)="x"),0,+AC171/($D171+$E171-$G171)*$G171+AC171)</f>
        <v>#REF!</v>
      </c>
    </row>
    <row r="172" spans="1:57" hidden="1">
      <c r="A172" s="555"/>
      <c r="B172" s="623"/>
      <c r="C172" s="607"/>
      <c r="D172" s="609"/>
      <c r="E172" s="609"/>
      <c r="F172" s="608"/>
      <c r="G172" s="609"/>
      <c r="H172" s="603"/>
      <c r="I172" s="562"/>
      <c r="J172" s="562"/>
      <c r="K172" s="562"/>
      <c r="L172" s="562"/>
      <c r="M172" s="562"/>
      <c r="N172" s="562"/>
      <c r="O172" s="562"/>
      <c r="P172" s="562"/>
      <c r="Q172" s="562"/>
      <c r="R172" s="562"/>
      <c r="S172" s="562"/>
      <c r="T172" s="562"/>
      <c r="U172" s="562"/>
      <c r="V172" s="562"/>
      <c r="W172" s="562"/>
      <c r="X172" s="562"/>
      <c r="Y172" s="562"/>
      <c r="Z172" s="562"/>
      <c r="AA172" s="562"/>
      <c r="AB172" s="562"/>
      <c r="AC172" s="563"/>
      <c r="AD172" s="629">
        <f t="shared" si="8"/>
        <v>0</v>
      </c>
      <c r="AE172" s="629">
        <f t="shared" si="9"/>
        <v>0</v>
      </c>
      <c r="AF172" s="634">
        <f t="shared" si="10"/>
        <v>0</v>
      </c>
      <c r="AG172" s="43">
        <f t="shared" si="11"/>
        <v>0</v>
      </c>
      <c r="AH172" s="7">
        <f t="shared" si="12"/>
        <v>0</v>
      </c>
      <c r="AI172" s="7">
        <f t="shared" si="13"/>
        <v>0</v>
      </c>
      <c r="AJ172" s="7">
        <f t="shared" si="14"/>
        <v>0</v>
      </c>
      <c r="AK172" s="7">
        <f t="shared" si="15"/>
        <v>0</v>
      </c>
      <c r="AL172" s="7">
        <f t="shared" si="16"/>
        <v>0</v>
      </c>
      <c r="AM172" s="7">
        <f t="shared" si="17"/>
        <v>0</v>
      </c>
      <c r="AN172" s="7">
        <f t="shared" si="18"/>
        <v>0</v>
      </c>
      <c r="AO172" s="7">
        <f t="shared" si="19"/>
        <v>0</v>
      </c>
      <c r="AP172" s="7">
        <f t="shared" si="20"/>
        <v>0</v>
      </c>
      <c r="AQ172" s="7">
        <f t="shared" si="21"/>
        <v>0</v>
      </c>
      <c r="AR172" s="7">
        <f t="shared" si="22"/>
        <v>0</v>
      </c>
      <c r="AS172" s="7">
        <f t="shared" si="23"/>
        <v>0</v>
      </c>
      <c r="AT172" s="7">
        <f t="shared" si="24"/>
        <v>0</v>
      </c>
      <c r="AU172" s="7">
        <f t="shared" si="25"/>
        <v>0</v>
      </c>
      <c r="AV172" s="7">
        <f t="shared" si="26"/>
        <v>0</v>
      </c>
      <c r="AW172" s="7">
        <f t="shared" si="27"/>
        <v>0</v>
      </c>
      <c r="AX172" s="7">
        <f t="shared" si="28"/>
        <v>0</v>
      </c>
      <c r="AY172" s="7">
        <f t="shared" si="29"/>
        <v>0</v>
      </c>
      <c r="AZ172" s="7">
        <f t="shared" si="30"/>
        <v>0</v>
      </c>
      <c r="BA172" s="7">
        <f t="shared" si="31"/>
        <v>0</v>
      </c>
      <c r="BB172" s="7">
        <f t="shared" si="32"/>
        <v>0</v>
      </c>
      <c r="BC172" s="7">
        <f>IF(OR(ISERROR(+#REF!/($D172+$E172-$G172)*$G172+#REF!),LEFT(AA172,1)="x"),0,+#REF!/($D172+$E172-$G172)*$G172+#REF!)</f>
        <v>0</v>
      </c>
      <c r="BD172" s="7">
        <f>IF(OR(ISERROR(+#REF!/($D172+$E172-$G172)*$G172+#REF!),LEFT(AB172,1)="x"),0,+#REF!/($D172+$E172-$G172)*$G172+#REF!)</f>
        <v>0</v>
      </c>
      <c r="BE172" s="7" t="e">
        <f>IF(OR(ISERROR(+AC172/($D172+$E172-$G172)*$G172+AC172),LEFT(#REF!,1)="x"),0,+AC172/($D172+$E172-$G172)*$G172+AC172)</f>
        <v>#REF!</v>
      </c>
    </row>
    <row r="173" spans="1:57" hidden="1">
      <c r="A173" s="555"/>
      <c r="B173" s="623"/>
      <c r="C173" s="607"/>
      <c r="D173" s="609"/>
      <c r="E173" s="609"/>
      <c r="F173" s="608"/>
      <c r="G173" s="609"/>
      <c r="H173" s="603"/>
      <c r="I173" s="562"/>
      <c r="J173" s="562"/>
      <c r="K173" s="562"/>
      <c r="L173" s="562"/>
      <c r="M173" s="562"/>
      <c r="N173" s="562"/>
      <c r="O173" s="562"/>
      <c r="P173" s="562"/>
      <c r="Q173" s="562"/>
      <c r="R173" s="562"/>
      <c r="S173" s="562"/>
      <c r="T173" s="562"/>
      <c r="U173" s="562"/>
      <c r="V173" s="562"/>
      <c r="W173" s="562"/>
      <c r="X173" s="562"/>
      <c r="Y173" s="562"/>
      <c r="Z173" s="562"/>
      <c r="AA173" s="562"/>
      <c r="AB173" s="562"/>
      <c r="AC173" s="563"/>
      <c r="AD173" s="629">
        <f t="shared" si="8"/>
        <v>0</v>
      </c>
      <c r="AE173" s="629">
        <f t="shared" si="9"/>
        <v>0</v>
      </c>
      <c r="AF173" s="634">
        <f t="shared" si="10"/>
        <v>0</v>
      </c>
      <c r="AG173" s="43">
        <f t="shared" si="11"/>
        <v>0</v>
      </c>
      <c r="AH173" s="7">
        <f t="shared" si="12"/>
        <v>0</v>
      </c>
      <c r="AI173" s="7">
        <f t="shared" si="13"/>
        <v>0</v>
      </c>
      <c r="AJ173" s="7">
        <f t="shared" si="14"/>
        <v>0</v>
      </c>
      <c r="AK173" s="7">
        <f t="shared" si="15"/>
        <v>0</v>
      </c>
      <c r="AL173" s="7">
        <f t="shared" si="16"/>
        <v>0</v>
      </c>
      <c r="AM173" s="7">
        <f t="shared" si="17"/>
        <v>0</v>
      </c>
      <c r="AN173" s="7">
        <f t="shared" si="18"/>
        <v>0</v>
      </c>
      <c r="AO173" s="7">
        <f t="shared" si="19"/>
        <v>0</v>
      </c>
      <c r="AP173" s="7">
        <f t="shared" si="20"/>
        <v>0</v>
      </c>
      <c r="AQ173" s="7">
        <f t="shared" si="21"/>
        <v>0</v>
      </c>
      <c r="AR173" s="7">
        <f t="shared" si="22"/>
        <v>0</v>
      </c>
      <c r="AS173" s="7">
        <f t="shared" si="23"/>
        <v>0</v>
      </c>
      <c r="AT173" s="7">
        <f t="shared" si="24"/>
        <v>0</v>
      </c>
      <c r="AU173" s="7">
        <f t="shared" si="25"/>
        <v>0</v>
      </c>
      <c r="AV173" s="7">
        <f t="shared" si="26"/>
        <v>0</v>
      </c>
      <c r="AW173" s="7">
        <f t="shared" si="27"/>
        <v>0</v>
      </c>
      <c r="AX173" s="7">
        <f t="shared" si="28"/>
        <v>0</v>
      </c>
      <c r="AY173" s="7">
        <f t="shared" si="29"/>
        <v>0</v>
      </c>
      <c r="AZ173" s="7">
        <f t="shared" si="30"/>
        <v>0</v>
      </c>
      <c r="BA173" s="7">
        <f t="shared" si="31"/>
        <v>0</v>
      </c>
      <c r="BB173" s="7">
        <f t="shared" si="32"/>
        <v>0</v>
      </c>
      <c r="BC173" s="7">
        <f>IF(OR(ISERROR(+#REF!/($D173+$E173-$G173)*$G173+#REF!),LEFT(AA173,1)="x"),0,+#REF!/($D173+$E173-$G173)*$G173+#REF!)</f>
        <v>0</v>
      </c>
      <c r="BD173" s="7">
        <f>IF(OR(ISERROR(+#REF!/($D173+$E173-$G173)*$G173+#REF!),LEFT(AB173,1)="x"),0,+#REF!/($D173+$E173-$G173)*$G173+#REF!)</f>
        <v>0</v>
      </c>
      <c r="BE173" s="7" t="e">
        <f>IF(OR(ISERROR(+AC173/($D173+$E173-$G173)*$G173+AC173),LEFT(#REF!,1)="x"),0,+AC173/($D173+$E173-$G173)*$G173+AC173)</f>
        <v>#REF!</v>
      </c>
    </row>
    <row r="174" spans="1:57" hidden="1">
      <c r="A174" s="555"/>
      <c r="B174" s="623"/>
      <c r="C174" s="607"/>
      <c r="D174" s="609"/>
      <c r="E174" s="609"/>
      <c r="F174" s="608"/>
      <c r="G174" s="609"/>
      <c r="H174" s="603"/>
      <c r="I174" s="562"/>
      <c r="J174" s="562"/>
      <c r="K174" s="562"/>
      <c r="L174" s="562"/>
      <c r="M174" s="562"/>
      <c r="N174" s="562"/>
      <c r="O174" s="562"/>
      <c r="P174" s="562"/>
      <c r="Q174" s="562"/>
      <c r="R174" s="562"/>
      <c r="S174" s="562"/>
      <c r="T174" s="562"/>
      <c r="U174" s="562"/>
      <c r="V174" s="562"/>
      <c r="W174" s="562"/>
      <c r="X174" s="562"/>
      <c r="Y174" s="562"/>
      <c r="Z174" s="562"/>
      <c r="AA174" s="562"/>
      <c r="AB174" s="562"/>
      <c r="AC174" s="563"/>
      <c r="AD174" s="629">
        <f t="shared" si="8"/>
        <v>0</v>
      </c>
      <c r="AE174" s="629">
        <f t="shared" si="9"/>
        <v>0</v>
      </c>
      <c r="AF174" s="634">
        <f t="shared" si="10"/>
        <v>0</v>
      </c>
      <c r="AG174" s="43">
        <f t="shared" si="11"/>
        <v>0</v>
      </c>
      <c r="AH174" s="7">
        <f t="shared" si="12"/>
        <v>0</v>
      </c>
      <c r="AI174" s="7">
        <f t="shared" si="13"/>
        <v>0</v>
      </c>
      <c r="AJ174" s="7">
        <f t="shared" si="14"/>
        <v>0</v>
      </c>
      <c r="AK174" s="7">
        <f t="shared" si="15"/>
        <v>0</v>
      </c>
      <c r="AL174" s="7">
        <f t="shared" si="16"/>
        <v>0</v>
      </c>
      <c r="AM174" s="7">
        <f t="shared" si="17"/>
        <v>0</v>
      </c>
      <c r="AN174" s="7">
        <f t="shared" si="18"/>
        <v>0</v>
      </c>
      <c r="AO174" s="7">
        <f t="shared" si="19"/>
        <v>0</v>
      </c>
      <c r="AP174" s="7">
        <f t="shared" si="20"/>
        <v>0</v>
      </c>
      <c r="AQ174" s="7">
        <f t="shared" si="21"/>
        <v>0</v>
      </c>
      <c r="AR174" s="7">
        <f t="shared" si="22"/>
        <v>0</v>
      </c>
      <c r="AS174" s="7">
        <f t="shared" si="23"/>
        <v>0</v>
      </c>
      <c r="AT174" s="7">
        <f t="shared" si="24"/>
        <v>0</v>
      </c>
      <c r="AU174" s="7">
        <f t="shared" si="25"/>
        <v>0</v>
      </c>
      <c r="AV174" s="7">
        <f t="shared" si="26"/>
        <v>0</v>
      </c>
      <c r="AW174" s="7">
        <f t="shared" si="27"/>
        <v>0</v>
      </c>
      <c r="AX174" s="7">
        <f t="shared" si="28"/>
        <v>0</v>
      </c>
      <c r="AY174" s="7">
        <f t="shared" si="29"/>
        <v>0</v>
      </c>
      <c r="AZ174" s="7">
        <f t="shared" si="30"/>
        <v>0</v>
      </c>
      <c r="BA174" s="7">
        <f t="shared" si="31"/>
        <v>0</v>
      </c>
      <c r="BB174" s="7">
        <f t="shared" si="32"/>
        <v>0</v>
      </c>
      <c r="BC174" s="7">
        <f>IF(OR(ISERROR(+#REF!/($D174+$E174-$G174)*$G174+#REF!),LEFT(AA174,1)="x"),0,+#REF!/($D174+$E174-$G174)*$G174+#REF!)</f>
        <v>0</v>
      </c>
      <c r="BD174" s="7">
        <f>IF(OR(ISERROR(+#REF!/($D174+$E174-$G174)*$G174+#REF!),LEFT(AB174,1)="x"),0,+#REF!/($D174+$E174-$G174)*$G174+#REF!)</f>
        <v>0</v>
      </c>
      <c r="BE174" s="7" t="e">
        <f>IF(OR(ISERROR(+AC174/($D174+$E174-$G174)*$G174+AC174),LEFT(#REF!,1)="x"),0,+AC174/($D174+$E174-$G174)*$G174+AC174)</f>
        <v>#REF!</v>
      </c>
    </row>
    <row r="175" spans="1:57" hidden="1">
      <c r="A175" s="555"/>
      <c r="B175" s="623"/>
      <c r="C175" s="607"/>
      <c r="D175" s="609"/>
      <c r="E175" s="609"/>
      <c r="F175" s="608"/>
      <c r="G175" s="609"/>
      <c r="H175" s="603"/>
      <c r="I175" s="562"/>
      <c r="J175" s="562"/>
      <c r="K175" s="562"/>
      <c r="L175" s="562"/>
      <c r="M175" s="562"/>
      <c r="N175" s="562"/>
      <c r="O175" s="562"/>
      <c r="P175" s="562"/>
      <c r="Q175" s="562"/>
      <c r="R175" s="562"/>
      <c r="S175" s="562"/>
      <c r="T175" s="562"/>
      <c r="U175" s="562"/>
      <c r="V175" s="562"/>
      <c r="W175" s="562"/>
      <c r="X175" s="562"/>
      <c r="Y175" s="562"/>
      <c r="Z175" s="562"/>
      <c r="AA175" s="562"/>
      <c r="AB175" s="562"/>
      <c r="AC175" s="563"/>
      <c r="AD175" s="629">
        <f t="shared" si="8"/>
        <v>0</v>
      </c>
      <c r="AE175" s="629">
        <f t="shared" si="9"/>
        <v>0</v>
      </c>
      <c r="AF175" s="634">
        <f t="shared" si="10"/>
        <v>0</v>
      </c>
      <c r="AG175" s="43">
        <f t="shared" si="11"/>
        <v>0</v>
      </c>
      <c r="AH175" s="7">
        <f t="shared" si="12"/>
        <v>0</v>
      </c>
      <c r="AI175" s="7">
        <f t="shared" si="13"/>
        <v>0</v>
      </c>
      <c r="AJ175" s="7">
        <f t="shared" si="14"/>
        <v>0</v>
      </c>
      <c r="AK175" s="7">
        <f t="shared" si="15"/>
        <v>0</v>
      </c>
      <c r="AL175" s="7">
        <f t="shared" si="16"/>
        <v>0</v>
      </c>
      <c r="AM175" s="7">
        <f t="shared" si="17"/>
        <v>0</v>
      </c>
      <c r="AN175" s="7">
        <f t="shared" si="18"/>
        <v>0</v>
      </c>
      <c r="AO175" s="7">
        <f t="shared" si="19"/>
        <v>0</v>
      </c>
      <c r="AP175" s="7">
        <f t="shared" si="20"/>
        <v>0</v>
      </c>
      <c r="AQ175" s="7">
        <f t="shared" si="21"/>
        <v>0</v>
      </c>
      <c r="AR175" s="7">
        <f t="shared" si="22"/>
        <v>0</v>
      </c>
      <c r="AS175" s="7">
        <f t="shared" si="23"/>
        <v>0</v>
      </c>
      <c r="AT175" s="7">
        <f t="shared" si="24"/>
        <v>0</v>
      </c>
      <c r="AU175" s="7">
        <f t="shared" si="25"/>
        <v>0</v>
      </c>
      <c r="AV175" s="7">
        <f t="shared" si="26"/>
        <v>0</v>
      </c>
      <c r="AW175" s="7">
        <f t="shared" si="27"/>
        <v>0</v>
      </c>
      <c r="AX175" s="7">
        <f t="shared" si="28"/>
        <v>0</v>
      </c>
      <c r="AY175" s="7">
        <f t="shared" si="29"/>
        <v>0</v>
      </c>
      <c r="AZ175" s="7">
        <f t="shared" si="30"/>
        <v>0</v>
      </c>
      <c r="BA175" s="7">
        <f t="shared" si="31"/>
        <v>0</v>
      </c>
      <c r="BB175" s="7">
        <f t="shared" si="32"/>
        <v>0</v>
      </c>
      <c r="BC175" s="7">
        <f>IF(OR(ISERROR(+#REF!/($D175+$E175-$G175)*$G175+#REF!),LEFT(AA175,1)="x"),0,+#REF!/($D175+$E175-$G175)*$G175+#REF!)</f>
        <v>0</v>
      </c>
      <c r="BD175" s="7">
        <f>IF(OR(ISERROR(+#REF!/($D175+$E175-$G175)*$G175+#REF!),LEFT(AB175,1)="x"),0,+#REF!/($D175+$E175-$G175)*$G175+#REF!)</f>
        <v>0</v>
      </c>
      <c r="BE175" s="7" t="e">
        <f>IF(OR(ISERROR(+AC175/($D175+$E175-$G175)*$G175+AC175),LEFT(#REF!,1)="x"),0,+AC175/($D175+$E175-$G175)*$G175+AC175)</f>
        <v>#REF!</v>
      </c>
    </row>
    <row r="176" spans="1:57" hidden="1">
      <c r="A176" s="555"/>
      <c r="B176" s="623"/>
      <c r="C176" s="607"/>
      <c r="D176" s="609"/>
      <c r="E176" s="609"/>
      <c r="F176" s="608"/>
      <c r="G176" s="609"/>
      <c r="H176" s="585"/>
      <c r="I176" s="562"/>
      <c r="J176" s="562"/>
      <c r="K176" s="562"/>
      <c r="L176" s="562"/>
      <c r="M176" s="562"/>
      <c r="N176" s="562"/>
      <c r="O176" s="562"/>
      <c r="P176" s="562"/>
      <c r="Q176" s="562"/>
      <c r="R176" s="562"/>
      <c r="S176" s="562"/>
      <c r="T176" s="562"/>
      <c r="U176" s="562"/>
      <c r="V176" s="562"/>
      <c r="W176" s="562"/>
      <c r="X176" s="562"/>
      <c r="Y176" s="562"/>
      <c r="Z176" s="562"/>
      <c r="AA176" s="562"/>
      <c r="AB176" s="562"/>
      <c r="AC176" s="563"/>
      <c r="AD176" s="629">
        <f t="shared" si="8"/>
        <v>0</v>
      </c>
      <c r="AE176" s="629">
        <f t="shared" si="9"/>
        <v>0</v>
      </c>
      <c r="AF176" s="634">
        <f t="shared" si="10"/>
        <v>0</v>
      </c>
      <c r="AG176" s="43">
        <f t="shared" si="11"/>
        <v>0</v>
      </c>
      <c r="AH176" s="7">
        <f t="shared" si="12"/>
        <v>0</v>
      </c>
      <c r="AI176" s="7">
        <f t="shared" si="13"/>
        <v>0</v>
      </c>
      <c r="AJ176" s="7">
        <f t="shared" si="14"/>
        <v>0</v>
      </c>
      <c r="AK176" s="7">
        <f t="shared" si="15"/>
        <v>0</v>
      </c>
      <c r="AL176" s="7">
        <f t="shared" si="16"/>
        <v>0</v>
      </c>
      <c r="AM176" s="7">
        <f t="shared" si="17"/>
        <v>0</v>
      </c>
      <c r="AN176" s="7">
        <f t="shared" si="18"/>
        <v>0</v>
      </c>
      <c r="AO176" s="7">
        <f t="shared" si="19"/>
        <v>0</v>
      </c>
      <c r="AP176" s="7">
        <f t="shared" si="20"/>
        <v>0</v>
      </c>
      <c r="AQ176" s="7">
        <f t="shared" si="21"/>
        <v>0</v>
      </c>
      <c r="AR176" s="7">
        <f t="shared" si="22"/>
        <v>0</v>
      </c>
      <c r="AS176" s="7">
        <f t="shared" si="23"/>
        <v>0</v>
      </c>
      <c r="AT176" s="7">
        <f t="shared" si="24"/>
        <v>0</v>
      </c>
      <c r="AU176" s="7">
        <f t="shared" si="25"/>
        <v>0</v>
      </c>
      <c r="AV176" s="7">
        <f t="shared" si="26"/>
        <v>0</v>
      </c>
      <c r="AW176" s="7">
        <f t="shared" si="27"/>
        <v>0</v>
      </c>
      <c r="AX176" s="7">
        <f t="shared" si="28"/>
        <v>0</v>
      </c>
      <c r="AY176" s="7">
        <f t="shared" si="29"/>
        <v>0</v>
      </c>
      <c r="AZ176" s="7">
        <f t="shared" si="30"/>
        <v>0</v>
      </c>
      <c r="BA176" s="7">
        <f t="shared" si="31"/>
        <v>0</v>
      </c>
      <c r="BB176" s="7">
        <f t="shared" si="32"/>
        <v>0</v>
      </c>
      <c r="BC176" s="7">
        <f>IF(OR(ISERROR(+#REF!/($D176+$E176-$G176)*$G176+#REF!),LEFT(AA176,1)="x"),0,+#REF!/($D176+$E176-$G176)*$G176+#REF!)</f>
        <v>0</v>
      </c>
      <c r="BD176" s="7">
        <f>IF(OR(ISERROR(+#REF!/($D176+$E176-$G176)*$G176+#REF!),LEFT(AB176,1)="x"),0,+#REF!/($D176+$E176-$G176)*$G176+#REF!)</f>
        <v>0</v>
      </c>
      <c r="BE176" s="7" t="e">
        <f>IF(OR(ISERROR(+AC176/($D176+$E176-$G176)*$G176+AC176),LEFT(#REF!,1)="x"),0,+AC176/($D176+$E176-$G176)*$G176+AC176)</f>
        <v>#REF!</v>
      </c>
    </row>
    <row r="177" spans="1:57" hidden="1">
      <c r="A177" s="555"/>
      <c r="B177" s="623"/>
      <c r="C177" s="607"/>
      <c r="D177" s="609"/>
      <c r="E177" s="609"/>
      <c r="F177" s="608"/>
      <c r="G177" s="609"/>
      <c r="H177" s="585"/>
      <c r="I177" s="562"/>
      <c r="J177" s="562"/>
      <c r="K177" s="562"/>
      <c r="L177" s="562"/>
      <c r="M177" s="562"/>
      <c r="N177" s="562"/>
      <c r="O177" s="562"/>
      <c r="P177" s="562"/>
      <c r="Q177" s="562"/>
      <c r="R177" s="562"/>
      <c r="S177" s="562"/>
      <c r="T177" s="562"/>
      <c r="U177" s="562"/>
      <c r="V177" s="562"/>
      <c r="W177" s="562"/>
      <c r="X177" s="562"/>
      <c r="Y177" s="562"/>
      <c r="Z177" s="562"/>
      <c r="AA177" s="562"/>
      <c r="AB177" s="562"/>
      <c r="AC177" s="563"/>
      <c r="AD177" s="629">
        <f t="shared" si="8"/>
        <v>0</v>
      </c>
      <c r="AE177" s="629">
        <f t="shared" si="9"/>
        <v>0</v>
      </c>
      <c r="AF177" s="634">
        <f t="shared" si="10"/>
        <v>0</v>
      </c>
      <c r="AG177" s="43">
        <f t="shared" si="11"/>
        <v>0</v>
      </c>
      <c r="AH177" s="7">
        <f t="shared" si="12"/>
        <v>0</v>
      </c>
      <c r="AI177" s="7">
        <f t="shared" si="13"/>
        <v>0</v>
      </c>
      <c r="AJ177" s="7">
        <f t="shared" si="14"/>
        <v>0</v>
      </c>
      <c r="AK177" s="7">
        <f t="shared" si="15"/>
        <v>0</v>
      </c>
      <c r="AL177" s="7">
        <f t="shared" si="16"/>
        <v>0</v>
      </c>
      <c r="AM177" s="7">
        <f t="shared" si="17"/>
        <v>0</v>
      </c>
      <c r="AN177" s="7">
        <f t="shared" si="18"/>
        <v>0</v>
      </c>
      <c r="AO177" s="7">
        <f t="shared" si="19"/>
        <v>0</v>
      </c>
      <c r="AP177" s="7">
        <f t="shared" si="20"/>
        <v>0</v>
      </c>
      <c r="AQ177" s="7">
        <f t="shared" si="21"/>
        <v>0</v>
      </c>
      <c r="AR177" s="7">
        <f t="shared" si="22"/>
        <v>0</v>
      </c>
      <c r="AS177" s="7">
        <f t="shared" si="23"/>
        <v>0</v>
      </c>
      <c r="AT177" s="7">
        <f t="shared" si="24"/>
        <v>0</v>
      </c>
      <c r="AU177" s="7">
        <f t="shared" si="25"/>
        <v>0</v>
      </c>
      <c r="AV177" s="7">
        <f t="shared" si="26"/>
        <v>0</v>
      </c>
      <c r="AW177" s="7">
        <f t="shared" si="27"/>
        <v>0</v>
      </c>
      <c r="AX177" s="7">
        <f t="shared" si="28"/>
        <v>0</v>
      </c>
      <c r="AY177" s="7">
        <f t="shared" si="29"/>
        <v>0</v>
      </c>
      <c r="AZ177" s="7">
        <f t="shared" si="30"/>
        <v>0</v>
      </c>
      <c r="BA177" s="7">
        <f t="shared" si="31"/>
        <v>0</v>
      </c>
      <c r="BB177" s="7">
        <f t="shared" si="32"/>
        <v>0</v>
      </c>
      <c r="BC177" s="7">
        <f>IF(OR(ISERROR(+#REF!/($D177+$E177-$G177)*$G177+#REF!),LEFT(AA177,1)="x"),0,+#REF!/($D177+$E177-$G177)*$G177+#REF!)</f>
        <v>0</v>
      </c>
      <c r="BD177" s="7">
        <f>IF(OR(ISERROR(+#REF!/($D177+$E177-$G177)*$G177+#REF!),LEFT(AB177,1)="x"),0,+#REF!/($D177+$E177-$G177)*$G177+#REF!)</f>
        <v>0</v>
      </c>
      <c r="BE177" s="7" t="e">
        <f>IF(OR(ISERROR(+AC177/($D177+$E177-$G177)*$G177+AC177),LEFT(#REF!,1)="x"),0,+AC177/($D177+$E177-$G177)*$G177+AC177)</f>
        <v>#REF!</v>
      </c>
    </row>
    <row r="178" spans="1:57" hidden="1">
      <c r="A178" s="555"/>
      <c r="B178" s="623"/>
      <c r="C178" s="607"/>
      <c r="D178" s="609"/>
      <c r="E178" s="609"/>
      <c r="F178" s="608"/>
      <c r="G178" s="609"/>
      <c r="H178" s="585"/>
      <c r="I178" s="562"/>
      <c r="J178" s="562"/>
      <c r="K178" s="562"/>
      <c r="L178" s="562"/>
      <c r="M178" s="562"/>
      <c r="N178" s="562"/>
      <c r="O178" s="562"/>
      <c r="P178" s="562"/>
      <c r="Q178" s="562"/>
      <c r="R178" s="562"/>
      <c r="S178" s="562"/>
      <c r="T178" s="562"/>
      <c r="U178" s="562"/>
      <c r="V178" s="562"/>
      <c r="W178" s="562"/>
      <c r="X178" s="562"/>
      <c r="Y178" s="562"/>
      <c r="Z178" s="562"/>
      <c r="AA178" s="562"/>
      <c r="AB178" s="562"/>
      <c r="AC178" s="563"/>
      <c r="AD178" s="629">
        <f t="shared" si="8"/>
        <v>0</v>
      </c>
      <c r="AE178" s="629">
        <f t="shared" si="9"/>
        <v>0</v>
      </c>
      <c r="AF178" s="634">
        <f t="shared" si="10"/>
        <v>0</v>
      </c>
      <c r="AG178" s="43">
        <f t="shared" si="11"/>
        <v>0</v>
      </c>
      <c r="AH178" s="7">
        <f t="shared" si="12"/>
        <v>0</v>
      </c>
      <c r="AI178" s="7">
        <f t="shared" si="13"/>
        <v>0</v>
      </c>
      <c r="AJ178" s="7">
        <f t="shared" si="14"/>
        <v>0</v>
      </c>
      <c r="AK178" s="7">
        <f t="shared" si="15"/>
        <v>0</v>
      </c>
      <c r="AL178" s="7">
        <f t="shared" si="16"/>
        <v>0</v>
      </c>
      <c r="AM178" s="7">
        <f t="shared" si="17"/>
        <v>0</v>
      </c>
      <c r="AN178" s="7">
        <f t="shared" si="18"/>
        <v>0</v>
      </c>
      <c r="AO178" s="7">
        <f t="shared" si="19"/>
        <v>0</v>
      </c>
      <c r="AP178" s="7">
        <f t="shared" si="20"/>
        <v>0</v>
      </c>
      <c r="AQ178" s="7">
        <f t="shared" si="21"/>
        <v>0</v>
      </c>
      <c r="AR178" s="7">
        <f t="shared" si="22"/>
        <v>0</v>
      </c>
      <c r="AS178" s="7">
        <f t="shared" si="23"/>
        <v>0</v>
      </c>
      <c r="AT178" s="7">
        <f t="shared" si="24"/>
        <v>0</v>
      </c>
      <c r="AU178" s="7">
        <f t="shared" si="25"/>
        <v>0</v>
      </c>
      <c r="AV178" s="7">
        <f t="shared" si="26"/>
        <v>0</v>
      </c>
      <c r="AW178" s="7">
        <f t="shared" si="27"/>
        <v>0</v>
      </c>
      <c r="AX178" s="7">
        <f t="shared" si="28"/>
        <v>0</v>
      </c>
      <c r="AY178" s="7">
        <f t="shared" si="29"/>
        <v>0</v>
      </c>
      <c r="AZ178" s="7">
        <f t="shared" si="30"/>
        <v>0</v>
      </c>
      <c r="BA178" s="7">
        <f t="shared" si="31"/>
        <v>0</v>
      </c>
      <c r="BB178" s="7">
        <f t="shared" si="32"/>
        <v>0</v>
      </c>
      <c r="BC178" s="7">
        <f>IF(OR(ISERROR(+#REF!/($D178+$E178-$G178)*$G178+#REF!),LEFT(AA178,1)="x"),0,+#REF!/($D178+$E178-$G178)*$G178+#REF!)</f>
        <v>0</v>
      </c>
      <c r="BD178" s="7">
        <f>IF(OR(ISERROR(+#REF!/($D178+$E178-$G178)*$G178+#REF!),LEFT(AB178,1)="x"),0,+#REF!/($D178+$E178-$G178)*$G178+#REF!)</f>
        <v>0</v>
      </c>
      <c r="BE178" s="7" t="e">
        <f>IF(OR(ISERROR(+AC178/($D178+$E178-$G178)*$G178+AC178),LEFT(#REF!,1)="x"),0,+AC178/($D178+$E178-$G178)*$G178+AC178)</f>
        <v>#REF!</v>
      </c>
    </row>
    <row r="179" spans="1:57" hidden="1">
      <c r="A179" s="555"/>
      <c r="B179" s="623"/>
      <c r="C179" s="607"/>
      <c r="D179" s="609"/>
      <c r="E179" s="609"/>
      <c r="F179" s="608"/>
      <c r="G179" s="609"/>
      <c r="H179" s="585"/>
      <c r="I179" s="562"/>
      <c r="J179" s="562"/>
      <c r="K179" s="562"/>
      <c r="L179" s="562"/>
      <c r="M179" s="562"/>
      <c r="N179" s="562"/>
      <c r="O179" s="562"/>
      <c r="P179" s="562"/>
      <c r="Q179" s="562"/>
      <c r="R179" s="562"/>
      <c r="S179" s="562"/>
      <c r="T179" s="562"/>
      <c r="U179" s="562"/>
      <c r="V179" s="562"/>
      <c r="W179" s="562"/>
      <c r="X179" s="562"/>
      <c r="Y179" s="562"/>
      <c r="Z179" s="562"/>
      <c r="AA179" s="562"/>
      <c r="AB179" s="562"/>
      <c r="AC179" s="563"/>
      <c r="AD179" s="629">
        <f t="shared" si="8"/>
        <v>0</v>
      </c>
      <c r="AE179" s="629">
        <f t="shared" si="9"/>
        <v>0</v>
      </c>
      <c r="AF179" s="634">
        <f t="shared" si="10"/>
        <v>0</v>
      </c>
      <c r="AG179" s="43">
        <f t="shared" si="11"/>
        <v>0</v>
      </c>
      <c r="AH179" s="7">
        <f t="shared" si="12"/>
        <v>0</v>
      </c>
      <c r="AI179" s="7">
        <f t="shared" si="13"/>
        <v>0</v>
      </c>
      <c r="AJ179" s="7">
        <f t="shared" si="14"/>
        <v>0</v>
      </c>
      <c r="AK179" s="7">
        <f t="shared" si="15"/>
        <v>0</v>
      </c>
      <c r="AL179" s="7">
        <f t="shared" si="16"/>
        <v>0</v>
      </c>
      <c r="AM179" s="7">
        <f t="shared" si="17"/>
        <v>0</v>
      </c>
      <c r="AN179" s="7">
        <f t="shared" si="18"/>
        <v>0</v>
      </c>
      <c r="AO179" s="7">
        <f t="shared" si="19"/>
        <v>0</v>
      </c>
      <c r="AP179" s="7">
        <f t="shared" si="20"/>
        <v>0</v>
      </c>
      <c r="AQ179" s="7">
        <f t="shared" si="21"/>
        <v>0</v>
      </c>
      <c r="AR179" s="7">
        <f t="shared" si="22"/>
        <v>0</v>
      </c>
      <c r="AS179" s="7">
        <f t="shared" si="23"/>
        <v>0</v>
      </c>
      <c r="AT179" s="7">
        <f t="shared" si="24"/>
        <v>0</v>
      </c>
      <c r="AU179" s="7">
        <f t="shared" si="25"/>
        <v>0</v>
      </c>
      <c r="AV179" s="7">
        <f t="shared" si="26"/>
        <v>0</v>
      </c>
      <c r="AW179" s="7">
        <f t="shared" si="27"/>
        <v>0</v>
      </c>
      <c r="AX179" s="7">
        <f t="shared" si="28"/>
        <v>0</v>
      </c>
      <c r="AY179" s="7">
        <f t="shared" si="29"/>
        <v>0</v>
      </c>
      <c r="AZ179" s="7">
        <f t="shared" si="30"/>
        <v>0</v>
      </c>
      <c r="BA179" s="7">
        <f t="shared" si="31"/>
        <v>0</v>
      </c>
      <c r="BB179" s="7">
        <f t="shared" si="32"/>
        <v>0</v>
      </c>
      <c r="BC179" s="7">
        <f>IF(OR(ISERROR(+#REF!/($D179+$E179-$G179)*$G179+#REF!),LEFT(AA179,1)="x"),0,+#REF!/($D179+$E179-$G179)*$G179+#REF!)</f>
        <v>0</v>
      </c>
      <c r="BD179" s="7">
        <f>IF(OR(ISERROR(+#REF!/($D179+$E179-$G179)*$G179+#REF!),LEFT(AB179,1)="x"),0,+#REF!/($D179+$E179-$G179)*$G179+#REF!)</f>
        <v>0</v>
      </c>
      <c r="BE179" s="7" t="e">
        <f>IF(OR(ISERROR(+AC179/($D179+$E179-$G179)*$G179+AC179),LEFT(#REF!,1)="x"),0,+AC179/($D179+$E179-$G179)*$G179+AC179)</f>
        <v>#REF!</v>
      </c>
    </row>
    <row r="180" spans="1:57" hidden="1">
      <c r="A180" s="555"/>
      <c r="B180" s="623"/>
      <c r="C180" s="607"/>
      <c r="D180" s="609"/>
      <c r="E180" s="609"/>
      <c r="F180" s="608"/>
      <c r="G180" s="609"/>
      <c r="H180" s="585"/>
      <c r="I180" s="562"/>
      <c r="J180" s="562"/>
      <c r="K180" s="562"/>
      <c r="L180" s="562"/>
      <c r="M180" s="562"/>
      <c r="N180" s="562"/>
      <c r="O180" s="562"/>
      <c r="P180" s="562"/>
      <c r="Q180" s="562"/>
      <c r="R180" s="562"/>
      <c r="S180" s="562"/>
      <c r="T180" s="562"/>
      <c r="U180" s="562"/>
      <c r="V180" s="562"/>
      <c r="W180" s="562"/>
      <c r="X180" s="562"/>
      <c r="Y180" s="562"/>
      <c r="Z180" s="562"/>
      <c r="AA180" s="562"/>
      <c r="AB180" s="562"/>
      <c r="AC180" s="563"/>
      <c r="AD180" s="629">
        <f t="shared" si="8"/>
        <v>0</v>
      </c>
      <c r="AE180" s="629">
        <f t="shared" si="9"/>
        <v>0</v>
      </c>
      <c r="AF180" s="634">
        <f t="shared" si="10"/>
        <v>0</v>
      </c>
      <c r="AG180" s="43">
        <f t="shared" si="11"/>
        <v>0</v>
      </c>
      <c r="AH180" s="7">
        <f t="shared" si="12"/>
        <v>0</v>
      </c>
      <c r="AI180" s="7">
        <f t="shared" si="13"/>
        <v>0</v>
      </c>
      <c r="AJ180" s="7">
        <f t="shared" si="14"/>
        <v>0</v>
      </c>
      <c r="AK180" s="7">
        <f t="shared" si="15"/>
        <v>0</v>
      </c>
      <c r="AL180" s="7">
        <f t="shared" si="16"/>
        <v>0</v>
      </c>
      <c r="AM180" s="7">
        <f t="shared" si="17"/>
        <v>0</v>
      </c>
      <c r="AN180" s="7">
        <f t="shared" si="18"/>
        <v>0</v>
      </c>
      <c r="AO180" s="7">
        <f t="shared" si="19"/>
        <v>0</v>
      </c>
      <c r="AP180" s="7">
        <f t="shared" si="20"/>
        <v>0</v>
      </c>
      <c r="AQ180" s="7">
        <f t="shared" si="21"/>
        <v>0</v>
      </c>
      <c r="AR180" s="7">
        <f t="shared" si="22"/>
        <v>0</v>
      </c>
      <c r="AS180" s="7">
        <f t="shared" si="23"/>
        <v>0</v>
      </c>
      <c r="AT180" s="7">
        <f t="shared" si="24"/>
        <v>0</v>
      </c>
      <c r="AU180" s="7">
        <f t="shared" si="25"/>
        <v>0</v>
      </c>
      <c r="AV180" s="7">
        <f t="shared" si="26"/>
        <v>0</v>
      </c>
      <c r="AW180" s="7">
        <f t="shared" si="27"/>
        <v>0</v>
      </c>
      <c r="AX180" s="7">
        <f t="shared" si="28"/>
        <v>0</v>
      </c>
      <c r="AY180" s="7">
        <f t="shared" si="29"/>
        <v>0</v>
      </c>
      <c r="AZ180" s="7">
        <f t="shared" si="30"/>
        <v>0</v>
      </c>
      <c r="BA180" s="7">
        <f t="shared" si="31"/>
        <v>0</v>
      </c>
      <c r="BB180" s="7">
        <f t="shared" si="32"/>
        <v>0</v>
      </c>
      <c r="BC180" s="7">
        <f>IF(OR(ISERROR(+#REF!/($D180+$E180-$G180)*$G180+#REF!),LEFT(AA180,1)="x"),0,+#REF!/($D180+$E180-$G180)*$G180+#REF!)</f>
        <v>0</v>
      </c>
      <c r="BD180" s="7">
        <f>IF(OR(ISERROR(+#REF!/($D180+$E180-$G180)*$G180+#REF!),LEFT(AB180,1)="x"),0,+#REF!/($D180+$E180-$G180)*$G180+#REF!)</f>
        <v>0</v>
      </c>
      <c r="BE180" s="7" t="e">
        <f>IF(OR(ISERROR(+AC180/($D180+$E180-$G180)*$G180+AC180),LEFT(#REF!,1)="x"),0,+AC180/($D180+$E180-$G180)*$G180+AC180)</f>
        <v>#REF!</v>
      </c>
    </row>
    <row r="181" spans="1:57" hidden="1">
      <c r="A181" s="555"/>
      <c r="B181" s="623"/>
      <c r="C181" s="607"/>
      <c r="D181" s="609"/>
      <c r="E181" s="609"/>
      <c r="F181" s="608"/>
      <c r="G181" s="609"/>
      <c r="H181" s="585"/>
      <c r="I181" s="562"/>
      <c r="J181" s="562"/>
      <c r="K181" s="562"/>
      <c r="L181" s="562"/>
      <c r="M181" s="562"/>
      <c r="N181" s="562"/>
      <c r="O181" s="562"/>
      <c r="P181" s="562"/>
      <c r="Q181" s="562"/>
      <c r="R181" s="562"/>
      <c r="S181" s="562"/>
      <c r="T181" s="562"/>
      <c r="U181" s="562"/>
      <c r="V181" s="562"/>
      <c r="W181" s="562"/>
      <c r="X181" s="562"/>
      <c r="Y181" s="562"/>
      <c r="Z181" s="562"/>
      <c r="AA181" s="562"/>
      <c r="AB181" s="562"/>
      <c r="AC181" s="563"/>
      <c r="AD181" s="629">
        <f t="shared" si="8"/>
        <v>0</v>
      </c>
      <c r="AE181" s="629">
        <f t="shared" si="9"/>
        <v>0</v>
      </c>
      <c r="AF181" s="634">
        <f t="shared" si="10"/>
        <v>0</v>
      </c>
      <c r="AG181" s="43">
        <f t="shared" si="11"/>
        <v>0</v>
      </c>
      <c r="AH181" s="7">
        <f t="shared" si="12"/>
        <v>0</v>
      </c>
      <c r="AI181" s="7">
        <f t="shared" si="13"/>
        <v>0</v>
      </c>
      <c r="AJ181" s="7">
        <f t="shared" si="14"/>
        <v>0</v>
      </c>
      <c r="AK181" s="7">
        <f t="shared" si="15"/>
        <v>0</v>
      </c>
      <c r="AL181" s="7">
        <f t="shared" si="16"/>
        <v>0</v>
      </c>
      <c r="AM181" s="7">
        <f t="shared" si="17"/>
        <v>0</v>
      </c>
      <c r="AN181" s="7">
        <f t="shared" si="18"/>
        <v>0</v>
      </c>
      <c r="AO181" s="7">
        <f t="shared" si="19"/>
        <v>0</v>
      </c>
      <c r="AP181" s="7">
        <f t="shared" si="20"/>
        <v>0</v>
      </c>
      <c r="AQ181" s="7">
        <f t="shared" si="21"/>
        <v>0</v>
      </c>
      <c r="AR181" s="7">
        <f t="shared" si="22"/>
        <v>0</v>
      </c>
      <c r="AS181" s="7">
        <f t="shared" si="23"/>
        <v>0</v>
      </c>
      <c r="AT181" s="7">
        <f t="shared" si="24"/>
        <v>0</v>
      </c>
      <c r="AU181" s="7">
        <f t="shared" si="25"/>
        <v>0</v>
      </c>
      <c r="AV181" s="7">
        <f t="shared" si="26"/>
        <v>0</v>
      </c>
      <c r="AW181" s="7">
        <f t="shared" si="27"/>
        <v>0</v>
      </c>
      <c r="AX181" s="7">
        <f t="shared" si="28"/>
        <v>0</v>
      </c>
      <c r="AY181" s="7">
        <f t="shared" si="29"/>
        <v>0</v>
      </c>
      <c r="AZ181" s="7">
        <f t="shared" si="30"/>
        <v>0</v>
      </c>
      <c r="BA181" s="7">
        <f t="shared" si="31"/>
        <v>0</v>
      </c>
      <c r="BB181" s="7">
        <f t="shared" si="32"/>
        <v>0</v>
      </c>
      <c r="BC181" s="7">
        <f>IF(OR(ISERROR(+#REF!/($D181+$E181-$G181)*$G181+#REF!),LEFT(AA181,1)="x"),0,+#REF!/($D181+$E181-$G181)*$G181+#REF!)</f>
        <v>0</v>
      </c>
      <c r="BD181" s="7">
        <f>IF(OR(ISERROR(+#REF!/($D181+$E181-$G181)*$G181+#REF!),LEFT(AB181,1)="x"),0,+#REF!/($D181+$E181-$G181)*$G181+#REF!)</f>
        <v>0</v>
      </c>
      <c r="BE181" s="7" t="e">
        <f>IF(OR(ISERROR(+AC181/($D181+$E181-$G181)*$G181+AC181),LEFT(#REF!,1)="x"),0,+AC181/($D181+$E181-$G181)*$G181+AC181)</f>
        <v>#REF!</v>
      </c>
    </row>
    <row r="182" spans="1:57" hidden="1">
      <c r="A182" s="555"/>
      <c r="B182" s="623"/>
      <c r="C182" s="607"/>
      <c r="D182" s="609"/>
      <c r="E182" s="609"/>
      <c r="F182" s="608"/>
      <c r="G182" s="609"/>
      <c r="H182" s="585"/>
      <c r="I182" s="562"/>
      <c r="J182" s="562"/>
      <c r="K182" s="562"/>
      <c r="L182" s="562"/>
      <c r="M182" s="562"/>
      <c r="N182" s="562"/>
      <c r="O182" s="562"/>
      <c r="P182" s="562"/>
      <c r="Q182" s="562"/>
      <c r="R182" s="562"/>
      <c r="S182" s="562"/>
      <c r="T182" s="562"/>
      <c r="U182" s="562"/>
      <c r="V182" s="562"/>
      <c r="W182" s="562"/>
      <c r="X182" s="562"/>
      <c r="Y182" s="562"/>
      <c r="Z182" s="562"/>
      <c r="AA182" s="562"/>
      <c r="AB182" s="562"/>
      <c r="AC182" s="563"/>
      <c r="AD182" s="629">
        <f t="shared" si="8"/>
        <v>0</v>
      </c>
      <c r="AE182" s="629">
        <f t="shared" si="9"/>
        <v>0</v>
      </c>
      <c r="AF182" s="634">
        <f t="shared" si="10"/>
        <v>0</v>
      </c>
      <c r="AG182" s="43">
        <f t="shared" si="11"/>
        <v>0</v>
      </c>
      <c r="AH182" s="7">
        <f t="shared" si="12"/>
        <v>0</v>
      </c>
      <c r="AI182" s="7">
        <f t="shared" si="13"/>
        <v>0</v>
      </c>
      <c r="AJ182" s="7">
        <f t="shared" si="14"/>
        <v>0</v>
      </c>
      <c r="AK182" s="7">
        <f t="shared" si="15"/>
        <v>0</v>
      </c>
      <c r="AL182" s="7">
        <f t="shared" si="16"/>
        <v>0</v>
      </c>
      <c r="AM182" s="7">
        <f t="shared" si="17"/>
        <v>0</v>
      </c>
      <c r="AN182" s="7">
        <f t="shared" si="18"/>
        <v>0</v>
      </c>
      <c r="AO182" s="7">
        <f t="shared" si="19"/>
        <v>0</v>
      </c>
      <c r="AP182" s="7">
        <f t="shared" si="20"/>
        <v>0</v>
      </c>
      <c r="AQ182" s="7">
        <f t="shared" si="21"/>
        <v>0</v>
      </c>
      <c r="AR182" s="7">
        <f t="shared" si="22"/>
        <v>0</v>
      </c>
      <c r="AS182" s="7">
        <f t="shared" si="23"/>
        <v>0</v>
      </c>
      <c r="AT182" s="7">
        <f t="shared" si="24"/>
        <v>0</v>
      </c>
      <c r="AU182" s="7">
        <f t="shared" si="25"/>
        <v>0</v>
      </c>
      <c r="AV182" s="7">
        <f t="shared" si="26"/>
        <v>0</v>
      </c>
      <c r="AW182" s="7">
        <f t="shared" si="27"/>
        <v>0</v>
      </c>
      <c r="AX182" s="7">
        <f t="shared" si="28"/>
        <v>0</v>
      </c>
      <c r="AY182" s="7">
        <f t="shared" si="29"/>
        <v>0</v>
      </c>
      <c r="AZ182" s="7">
        <f t="shared" si="30"/>
        <v>0</v>
      </c>
      <c r="BA182" s="7">
        <f t="shared" si="31"/>
        <v>0</v>
      </c>
      <c r="BB182" s="7">
        <f t="shared" si="32"/>
        <v>0</v>
      </c>
      <c r="BC182" s="7">
        <f>IF(OR(ISERROR(+#REF!/($D182+$E182-$G182)*$G182+#REF!),LEFT(AA182,1)="x"),0,+#REF!/($D182+$E182-$G182)*$G182+#REF!)</f>
        <v>0</v>
      </c>
      <c r="BD182" s="7">
        <f>IF(OR(ISERROR(+#REF!/($D182+$E182-$G182)*$G182+#REF!),LEFT(AB182,1)="x"),0,+#REF!/($D182+$E182-$G182)*$G182+#REF!)</f>
        <v>0</v>
      </c>
      <c r="BE182" s="7" t="e">
        <f>IF(OR(ISERROR(+AC182/($D182+$E182-$G182)*$G182+AC182),LEFT(#REF!,1)="x"),0,+AC182/($D182+$E182-$G182)*$G182+AC182)</f>
        <v>#REF!</v>
      </c>
    </row>
    <row r="183" spans="1:57" hidden="1">
      <c r="A183" s="555"/>
      <c r="B183" s="623"/>
      <c r="C183" s="607"/>
      <c r="D183" s="609"/>
      <c r="E183" s="609"/>
      <c r="F183" s="608"/>
      <c r="G183" s="609"/>
      <c r="H183" s="585"/>
      <c r="I183" s="562"/>
      <c r="J183" s="562"/>
      <c r="K183" s="562"/>
      <c r="L183" s="562"/>
      <c r="M183" s="562"/>
      <c r="N183" s="562"/>
      <c r="O183" s="562"/>
      <c r="P183" s="562"/>
      <c r="Q183" s="562"/>
      <c r="R183" s="562"/>
      <c r="S183" s="562"/>
      <c r="T183" s="562"/>
      <c r="U183" s="562"/>
      <c r="V183" s="562"/>
      <c r="W183" s="562"/>
      <c r="X183" s="562"/>
      <c r="Y183" s="562"/>
      <c r="Z183" s="562"/>
      <c r="AA183" s="562"/>
      <c r="AB183" s="562"/>
      <c r="AC183" s="563"/>
      <c r="AD183" s="629">
        <f t="shared" si="8"/>
        <v>0</v>
      </c>
      <c r="AE183" s="629">
        <f t="shared" si="9"/>
        <v>0</v>
      </c>
      <c r="AF183" s="634">
        <f t="shared" si="10"/>
        <v>0</v>
      </c>
      <c r="AG183" s="43">
        <f t="shared" si="11"/>
        <v>0</v>
      </c>
      <c r="AH183" s="7">
        <f t="shared" si="12"/>
        <v>0</v>
      </c>
      <c r="AI183" s="7">
        <f t="shared" si="13"/>
        <v>0</v>
      </c>
      <c r="AJ183" s="7">
        <f t="shared" si="14"/>
        <v>0</v>
      </c>
      <c r="AK183" s="7">
        <f t="shared" si="15"/>
        <v>0</v>
      </c>
      <c r="AL183" s="7">
        <f t="shared" si="16"/>
        <v>0</v>
      </c>
      <c r="AM183" s="7">
        <f t="shared" si="17"/>
        <v>0</v>
      </c>
      <c r="AN183" s="7">
        <f t="shared" si="18"/>
        <v>0</v>
      </c>
      <c r="AO183" s="7">
        <f t="shared" si="19"/>
        <v>0</v>
      </c>
      <c r="AP183" s="7">
        <f t="shared" si="20"/>
        <v>0</v>
      </c>
      <c r="AQ183" s="7">
        <f t="shared" si="21"/>
        <v>0</v>
      </c>
      <c r="AR183" s="7">
        <f t="shared" si="22"/>
        <v>0</v>
      </c>
      <c r="AS183" s="7">
        <f t="shared" si="23"/>
        <v>0</v>
      </c>
      <c r="AT183" s="7">
        <f t="shared" si="24"/>
        <v>0</v>
      </c>
      <c r="AU183" s="7">
        <f t="shared" si="25"/>
        <v>0</v>
      </c>
      <c r="AV183" s="7">
        <f t="shared" si="26"/>
        <v>0</v>
      </c>
      <c r="AW183" s="7">
        <f t="shared" si="27"/>
        <v>0</v>
      </c>
      <c r="AX183" s="7">
        <f t="shared" si="28"/>
        <v>0</v>
      </c>
      <c r="AY183" s="7">
        <f t="shared" si="29"/>
        <v>0</v>
      </c>
      <c r="AZ183" s="7">
        <f t="shared" si="30"/>
        <v>0</v>
      </c>
      <c r="BA183" s="7">
        <f t="shared" si="31"/>
        <v>0</v>
      </c>
      <c r="BB183" s="7">
        <f t="shared" si="32"/>
        <v>0</v>
      </c>
      <c r="BC183" s="7">
        <f>IF(OR(ISERROR(+#REF!/($D183+$E183-$G183)*$G183+#REF!),LEFT(AA183,1)="x"),0,+#REF!/($D183+$E183-$G183)*$G183+#REF!)</f>
        <v>0</v>
      </c>
      <c r="BD183" s="7">
        <f>IF(OR(ISERROR(+#REF!/($D183+$E183-$G183)*$G183+#REF!),LEFT(AB183,1)="x"),0,+#REF!/($D183+$E183-$G183)*$G183+#REF!)</f>
        <v>0</v>
      </c>
      <c r="BE183" s="7" t="e">
        <f>IF(OR(ISERROR(+AC183/($D183+$E183-$G183)*$G183+AC183),LEFT(#REF!,1)="x"),0,+AC183/($D183+$E183-$G183)*$G183+AC183)</f>
        <v>#REF!</v>
      </c>
    </row>
    <row r="184" spans="1:57" hidden="1">
      <c r="A184" s="555"/>
      <c r="B184" s="623"/>
      <c r="C184" s="607"/>
      <c r="D184" s="609"/>
      <c r="E184" s="609"/>
      <c r="F184" s="608"/>
      <c r="G184" s="609"/>
      <c r="H184" s="585"/>
      <c r="I184" s="562"/>
      <c r="J184" s="562"/>
      <c r="K184" s="562"/>
      <c r="L184" s="562"/>
      <c r="M184" s="562"/>
      <c r="N184" s="562"/>
      <c r="O184" s="562"/>
      <c r="P184" s="562"/>
      <c r="Q184" s="562"/>
      <c r="R184" s="562"/>
      <c r="S184" s="562"/>
      <c r="T184" s="562"/>
      <c r="U184" s="562"/>
      <c r="V184" s="562"/>
      <c r="W184" s="562"/>
      <c r="X184" s="562"/>
      <c r="Y184" s="562"/>
      <c r="Z184" s="562"/>
      <c r="AA184" s="562"/>
      <c r="AB184" s="562"/>
      <c r="AC184" s="563"/>
      <c r="AD184" s="629">
        <f t="shared" si="8"/>
        <v>0</v>
      </c>
      <c r="AE184" s="629">
        <f t="shared" si="9"/>
        <v>0</v>
      </c>
      <c r="AF184" s="634">
        <f t="shared" si="10"/>
        <v>0</v>
      </c>
      <c r="AG184" s="43">
        <f t="shared" si="11"/>
        <v>0</v>
      </c>
      <c r="AH184" s="7">
        <f t="shared" si="12"/>
        <v>0</v>
      </c>
      <c r="AI184" s="7">
        <f t="shared" si="13"/>
        <v>0</v>
      </c>
      <c r="AJ184" s="7">
        <f t="shared" si="14"/>
        <v>0</v>
      </c>
      <c r="AK184" s="7">
        <f t="shared" si="15"/>
        <v>0</v>
      </c>
      <c r="AL184" s="7">
        <f t="shared" si="16"/>
        <v>0</v>
      </c>
      <c r="AM184" s="7">
        <f t="shared" si="17"/>
        <v>0</v>
      </c>
      <c r="AN184" s="7">
        <f t="shared" si="18"/>
        <v>0</v>
      </c>
      <c r="AO184" s="7">
        <f t="shared" si="19"/>
        <v>0</v>
      </c>
      <c r="AP184" s="7">
        <f t="shared" si="20"/>
        <v>0</v>
      </c>
      <c r="AQ184" s="7">
        <f t="shared" si="21"/>
        <v>0</v>
      </c>
      <c r="AR184" s="7">
        <f t="shared" si="22"/>
        <v>0</v>
      </c>
      <c r="AS184" s="7">
        <f t="shared" si="23"/>
        <v>0</v>
      </c>
      <c r="AT184" s="7">
        <f t="shared" si="24"/>
        <v>0</v>
      </c>
      <c r="AU184" s="7">
        <f t="shared" si="25"/>
        <v>0</v>
      </c>
      <c r="AV184" s="7">
        <f t="shared" si="26"/>
        <v>0</v>
      </c>
      <c r="AW184" s="7">
        <f t="shared" si="27"/>
        <v>0</v>
      </c>
      <c r="AX184" s="7">
        <f t="shared" si="28"/>
        <v>0</v>
      </c>
      <c r="AY184" s="7">
        <f t="shared" si="29"/>
        <v>0</v>
      </c>
      <c r="AZ184" s="7">
        <f t="shared" si="30"/>
        <v>0</v>
      </c>
      <c r="BA184" s="7">
        <f t="shared" si="31"/>
        <v>0</v>
      </c>
      <c r="BB184" s="7">
        <f t="shared" si="32"/>
        <v>0</v>
      </c>
      <c r="BC184" s="7">
        <f>IF(OR(ISERROR(+#REF!/($D184+$E184-$G184)*$G184+#REF!),LEFT(AA184,1)="x"),0,+#REF!/($D184+$E184-$G184)*$G184+#REF!)</f>
        <v>0</v>
      </c>
      <c r="BD184" s="7">
        <f>IF(OR(ISERROR(+#REF!/($D184+$E184-$G184)*$G184+#REF!),LEFT(AB184,1)="x"),0,+#REF!/($D184+$E184-$G184)*$G184+#REF!)</f>
        <v>0</v>
      </c>
      <c r="BE184" s="7" t="e">
        <f>IF(OR(ISERROR(+AC184/($D184+$E184-$G184)*$G184+AC184),LEFT(#REF!,1)="x"),0,+AC184/($D184+$E184-$G184)*$G184+AC184)</f>
        <v>#REF!</v>
      </c>
    </row>
    <row r="185" spans="1:57" hidden="1">
      <c r="A185" s="555"/>
      <c r="B185" s="623"/>
      <c r="C185" s="607"/>
      <c r="D185" s="609"/>
      <c r="E185" s="609"/>
      <c r="F185" s="608"/>
      <c r="G185" s="609"/>
      <c r="H185" s="585"/>
      <c r="I185" s="562"/>
      <c r="J185" s="562"/>
      <c r="K185" s="562"/>
      <c r="L185" s="562"/>
      <c r="M185" s="562"/>
      <c r="N185" s="562"/>
      <c r="O185" s="562"/>
      <c r="P185" s="562"/>
      <c r="Q185" s="562"/>
      <c r="R185" s="562"/>
      <c r="S185" s="562"/>
      <c r="T185" s="562"/>
      <c r="U185" s="562"/>
      <c r="V185" s="562"/>
      <c r="W185" s="562"/>
      <c r="X185" s="562"/>
      <c r="Y185" s="562"/>
      <c r="Z185" s="562"/>
      <c r="AA185" s="562"/>
      <c r="AB185" s="562"/>
      <c r="AC185" s="563"/>
      <c r="AD185" s="629">
        <f t="shared" si="8"/>
        <v>0</v>
      </c>
      <c r="AE185" s="629">
        <f t="shared" si="9"/>
        <v>0</v>
      </c>
      <c r="AF185" s="634">
        <f t="shared" si="10"/>
        <v>0</v>
      </c>
      <c r="AG185" s="43"/>
    </row>
    <row r="186" spans="1:57" hidden="1">
      <c r="A186" s="555"/>
      <c r="B186" s="623"/>
      <c r="C186" s="607"/>
      <c r="D186" s="609"/>
      <c r="E186" s="609"/>
      <c r="F186" s="608"/>
      <c r="G186" s="609"/>
      <c r="H186" s="585"/>
      <c r="I186" s="562"/>
      <c r="J186" s="562"/>
      <c r="K186" s="562"/>
      <c r="L186" s="562"/>
      <c r="M186" s="562"/>
      <c r="N186" s="562"/>
      <c r="O186" s="562"/>
      <c r="P186" s="562"/>
      <c r="Q186" s="562"/>
      <c r="R186" s="562"/>
      <c r="S186" s="562"/>
      <c r="T186" s="562"/>
      <c r="U186" s="562"/>
      <c r="V186" s="562"/>
      <c r="W186" s="562"/>
      <c r="X186" s="562"/>
      <c r="Y186" s="562"/>
      <c r="Z186" s="562"/>
      <c r="AA186" s="562"/>
      <c r="AB186" s="562"/>
      <c r="AC186" s="563"/>
      <c r="AD186" s="629">
        <f t="shared" si="8"/>
        <v>0</v>
      </c>
      <c r="AE186" s="629">
        <f t="shared" si="9"/>
        <v>0</v>
      </c>
      <c r="AF186" s="634">
        <f t="shared" si="10"/>
        <v>0</v>
      </c>
      <c r="AG186" s="43"/>
    </row>
    <row r="187" spans="1:57" hidden="1">
      <c r="A187" s="555"/>
      <c r="B187" s="623"/>
      <c r="C187" s="607"/>
      <c r="D187" s="609"/>
      <c r="E187" s="609"/>
      <c r="F187" s="608"/>
      <c r="G187" s="609"/>
      <c r="H187" s="585"/>
      <c r="I187" s="562"/>
      <c r="J187" s="562"/>
      <c r="K187" s="562"/>
      <c r="L187" s="562"/>
      <c r="M187" s="562"/>
      <c r="N187" s="562"/>
      <c r="O187" s="562"/>
      <c r="P187" s="562"/>
      <c r="Q187" s="562"/>
      <c r="R187" s="562"/>
      <c r="S187" s="562"/>
      <c r="T187" s="562"/>
      <c r="U187" s="562"/>
      <c r="V187" s="562"/>
      <c r="W187" s="562"/>
      <c r="X187" s="562"/>
      <c r="Y187" s="562"/>
      <c r="Z187" s="562"/>
      <c r="AA187" s="562"/>
      <c r="AB187" s="562"/>
      <c r="AC187" s="563"/>
      <c r="AD187" s="629">
        <f t="shared" si="8"/>
        <v>0</v>
      </c>
      <c r="AE187" s="629">
        <f t="shared" si="9"/>
        <v>0</v>
      </c>
      <c r="AF187" s="634">
        <f t="shared" si="10"/>
        <v>0</v>
      </c>
      <c r="AG187" s="43"/>
    </row>
    <row r="188" spans="1:57" hidden="1">
      <c r="A188" s="555"/>
      <c r="B188" s="623"/>
      <c r="C188" s="607"/>
      <c r="D188" s="609"/>
      <c r="E188" s="609"/>
      <c r="F188" s="608"/>
      <c r="G188" s="609"/>
      <c r="H188" s="585"/>
      <c r="I188" s="562"/>
      <c r="J188" s="562"/>
      <c r="K188" s="562"/>
      <c r="L188" s="562"/>
      <c r="M188" s="562"/>
      <c r="N188" s="562"/>
      <c r="O188" s="562"/>
      <c r="P188" s="562"/>
      <c r="Q188" s="562"/>
      <c r="R188" s="562"/>
      <c r="S188" s="562"/>
      <c r="T188" s="562"/>
      <c r="U188" s="562"/>
      <c r="V188" s="562"/>
      <c r="W188" s="562"/>
      <c r="X188" s="562"/>
      <c r="Y188" s="562"/>
      <c r="Z188" s="562"/>
      <c r="AA188" s="562"/>
      <c r="AB188" s="562"/>
      <c r="AC188" s="563"/>
      <c r="AD188" s="629">
        <f t="shared" si="8"/>
        <v>0</v>
      </c>
      <c r="AE188" s="629">
        <f t="shared" si="9"/>
        <v>0</v>
      </c>
      <c r="AF188" s="634">
        <f t="shared" si="10"/>
        <v>0</v>
      </c>
      <c r="AG188" s="43">
        <f>IF(AF188=0,0,"ERROR HERE")</f>
        <v>0</v>
      </c>
      <c r="AH188" s="7">
        <f t="shared" ref="AH188:AQ189" si="33">IF(OR(ISERROR(+H188/($D188+$E188-$G188)*$G188+H188),LEFT(F188,1)="x"),0,+H188/($D188+$E188-$G188)*$G188+H188)</f>
        <v>0</v>
      </c>
      <c r="AI188" s="7">
        <f t="shared" si="33"/>
        <v>0</v>
      </c>
      <c r="AJ188" s="7">
        <f t="shared" si="33"/>
        <v>0</v>
      </c>
      <c r="AK188" s="7">
        <f t="shared" si="33"/>
        <v>0</v>
      </c>
      <c r="AL188" s="7">
        <f t="shared" si="33"/>
        <v>0</v>
      </c>
      <c r="AM188" s="7">
        <f t="shared" si="33"/>
        <v>0</v>
      </c>
      <c r="AN188" s="7">
        <f t="shared" si="33"/>
        <v>0</v>
      </c>
      <c r="AO188" s="7">
        <f t="shared" si="33"/>
        <v>0</v>
      </c>
      <c r="AP188" s="7">
        <f t="shared" si="33"/>
        <v>0</v>
      </c>
      <c r="AQ188" s="7">
        <f t="shared" si="33"/>
        <v>0</v>
      </c>
      <c r="AR188" s="7">
        <f t="shared" ref="AR188:BA189" si="34">IF(OR(ISERROR(+R188/($D188+$E188-$G188)*$G188+R188),LEFT(P188,1)="x"),0,+R188/($D188+$E188-$G188)*$G188+R188)</f>
        <v>0</v>
      </c>
      <c r="AS188" s="7">
        <f t="shared" si="34"/>
        <v>0</v>
      </c>
      <c r="AT188" s="7">
        <f t="shared" si="34"/>
        <v>0</v>
      </c>
      <c r="AU188" s="7">
        <f t="shared" si="34"/>
        <v>0</v>
      </c>
      <c r="AV188" s="7">
        <f t="shared" si="34"/>
        <v>0</v>
      </c>
      <c r="AW188" s="7">
        <f t="shared" si="34"/>
        <v>0</v>
      </c>
      <c r="AX188" s="7">
        <f t="shared" si="34"/>
        <v>0</v>
      </c>
      <c r="AY188" s="7">
        <f t="shared" si="34"/>
        <v>0</v>
      </c>
      <c r="AZ188" s="7">
        <f t="shared" si="34"/>
        <v>0</v>
      </c>
      <c r="BA188" s="7">
        <f t="shared" si="34"/>
        <v>0</v>
      </c>
      <c r="BB188" s="7">
        <f>IF(OR(ISERROR(+AB188/($D188+$E188-$G188)*$G188+AB188),LEFT(Z188,1)="x"),0,+AB188/($D188+$E188-$G188)*$G188+AB188)</f>
        <v>0</v>
      </c>
      <c r="BC188" s="7">
        <f>IF(OR(ISERROR(+#REF!/($D188+$E188-$G188)*$G188+#REF!),LEFT(AA188,1)="x"),0,+#REF!/($D188+$E188-$G188)*$G188+#REF!)</f>
        <v>0</v>
      </c>
      <c r="BD188" s="7">
        <f>IF(OR(ISERROR(+#REF!/($D188+$E188-$G188)*$G188+#REF!),LEFT(AB188,1)="x"),0,+#REF!/($D188+$E188-$G188)*$G188+#REF!)</f>
        <v>0</v>
      </c>
      <c r="BE188" s="7" t="e">
        <f>IF(OR(ISERROR(+AC188/($D188+$E188-$G188)*$G188+AC188),LEFT(#REF!,1)="x"),0,+AC188/($D188+$E188-$G188)*$G188+AC188)</f>
        <v>#REF!</v>
      </c>
    </row>
    <row r="189" spans="1:57" hidden="1">
      <c r="A189" s="555"/>
      <c r="B189" s="623"/>
      <c r="C189" s="607"/>
      <c r="D189" s="609"/>
      <c r="E189" s="609"/>
      <c r="F189" s="608"/>
      <c r="G189" s="609"/>
      <c r="H189" s="585"/>
      <c r="I189" s="562"/>
      <c r="J189" s="562"/>
      <c r="K189" s="562"/>
      <c r="L189" s="562"/>
      <c r="M189" s="562"/>
      <c r="N189" s="562"/>
      <c r="O189" s="562"/>
      <c r="P189" s="562"/>
      <c r="Q189" s="562"/>
      <c r="R189" s="562"/>
      <c r="S189" s="562"/>
      <c r="T189" s="562"/>
      <c r="U189" s="562"/>
      <c r="V189" s="562"/>
      <c r="W189" s="562"/>
      <c r="X189" s="562"/>
      <c r="Y189" s="562"/>
      <c r="Z189" s="562"/>
      <c r="AA189" s="562"/>
      <c r="AB189" s="562"/>
      <c r="AC189" s="563"/>
      <c r="AD189" s="629">
        <f t="shared" si="8"/>
        <v>0</v>
      </c>
      <c r="AE189" s="629">
        <f t="shared" si="9"/>
        <v>0</v>
      </c>
      <c r="AF189" s="634">
        <f t="shared" si="10"/>
        <v>0</v>
      </c>
      <c r="AG189" s="43">
        <f>IF(AF189=0,0,"ERROR HERE")</f>
        <v>0</v>
      </c>
      <c r="AH189" s="7">
        <f t="shared" si="33"/>
        <v>0</v>
      </c>
      <c r="AI189" s="7">
        <f t="shared" si="33"/>
        <v>0</v>
      </c>
      <c r="AJ189" s="7">
        <f t="shared" si="33"/>
        <v>0</v>
      </c>
      <c r="AK189" s="7">
        <f t="shared" si="33"/>
        <v>0</v>
      </c>
      <c r="AL189" s="7">
        <f t="shared" si="33"/>
        <v>0</v>
      </c>
      <c r="AM189" s="7">
        <f t="shared" si="33"/>
        <v>0</v>
      </c>
      <c r="AN189" s="7">
        <f t="shared" si="33"/>
        <v>0</v>
      </c>
      <c r="AO189" s="7">
        <f t="shared" si="33"/>
        <v>0</v>
      </c>
      <c r="AP189" s="7">
        <f t="shared" si="33"/>
        <v>0</v>
      </c>
      <c r="AQ189" s="7">
        <f t="shared" si="33"/>
        <v>0</v>
      </c>
      <c r="AR189" s="7">
        <f t="shared" si="34"/>
        <v>0</v>
      </c>
      <c r="AS189" s="7">
        <f t="shared" si="34"/>
        <v>0</v>
      </c>
      <c r="AT189" s="7">
        <f t="shared" si="34"/>
        <v>0</v>
      </c>
      <c r="AU189" s="7">
        <f t="shared" si="34"/>
        <v>0</v>
      </c>
      <c r="AV189" s="7">
        <f t="shared" si="34"/>
        <v>0</v>
      </c>
      <c r="AW189" s="7">
        <f t="shared" si="34"/>
        <v>0</v>
      </c>
      <c r="AX189" s="7">
        <f t="shared" si="34"/>
        <v>0</v>
      </c>
      <c r="AY189" s="7">
        <f t="shared" si="34"/>
        <v>0</v>
      </c>
      <c r="AZ189" s="7">
        <f t="shared" si="34"/>
        <v>0</v>
      </c>
      <c r="BA189" s="7">
        <f t="shared" si="34"/>
        <v>0</v>
      </c>
      <c r="BB189" s="7">
        <f>IF(OR(ISERROR(+AB189/($D189+$E189-$G189)*$G189+AB189),LEFT(Z189,1)="x"),0,+AB189/($D189+$E189-$G189)*$G189+AB189)</f>
        <v>0</v>
      </c>
      <c r="BC189" s="7">
        <f>IF(OR(ISERROR(+#REF!/($D189+$E189-$G189)*$G189+#REF!),LEFT(AA189,1)="x"),0,+#REF!/($D189+$E189-$G189)*$G189+#REF!)</f>
        <v>0</v>
      </c>
      <c r="BD189" s="7">
        <f>IF(OR(ISERROR(+#REF!/($D189+$E189-$G189)*$G189+#REF!),LEFT(AB189,1)="x"),0,+#REF!/($D189+$E189-$G189)*$G189+#REF!)</f>
        <v>0</v>
      </c>
      <c r="BE189" s="7" t="e">
        <f>IF(OR(ISERROR(+AC189/($D189+$E189-$G189)*$G189+AC189),LEFT(#REF!,1)="x"),0,+AC189/($D189+$E189-$G189)*$G189+AC189)</f>
        <v>#REF!</v>
      </c>
    </row>
    <row r="190" spans="1:57" hidden="1">
      <c r="A190" s="555"/>
      <c r="B190" s="623"/>
      <c r="C190" s="607"/>
      <c r="D190" s="609"/>
      <c r="E190" s="609"/>
      <c r="F190" s="608"/>
      <c r="G190" s="609"/>
      <c r="H190" s="585"/>
      <c r="I190" s="562"/>
      <c r="J190" s="562"/>
      <c r="K190" s="562"/>
      <c r="L190" s="562"/>
      <c r="M190" s="562"/>
      <c r="N190" s="562"/>
      <c r="O190" s="562"/>
      <c r="P190" s="562"/>
      <c r="Q190" s="562"/>
      <c r="R190" s="562"/>
      <c r="S190" s="562"/>
      <c r="T190" s="562"/>
      <c r="U190" s="562"/>
      <c r="V190" s="562"/>
      <c r="W190" s="562"/>
      <c r="X190" s="562"/>
      <c r="Y190" s="562"/>
      <c r="Z190" s="562"/>
      <c r="AA190" s="562"/>
      <c r="AB190" s="562"/>
      <c r="AC190" s="563"/>
      <c r="AD190" s="629">
        <f t="shared" si="8"/>
        <v>0</v>
      </c>
      <c r="AE190" s="629">
        <f t="shared" si="9"/>
        <v>0</v>
      </c>
      <c r="AF190" s="634">
        <f t="shared" si="10"/>
        <v>0</v>
      </c>
      <c r="AG190" s="43"/>
    </row>
    <row r="191" spans="1:57" hidden="1">
      <c r="A191" s="555"/>
      <c r="B191" s="623"/>
      <c r="C191" s="607"/>
      <c r="D191" s="609"/>
      <c r="E191" s="609"/>
      <c r="F191" s="608"/>
      <c r="G191" s="609"/>
      <c r="H191" s="585"/>
      <c r="I191" s="562"/>
      <c r="J191" s="562"/>
      <c r="K191" s="562"/>
      <c r="L191" s="562"/>
      <c r="M191" s="562"/>
      <c r="N191" s="562"/>
      <c r="O191" s="562"/>
      <c r="P191" s="562"/>
      <c r="Q191" s="562"/>
      <c r="R191" s="562"/>
      <c r="S191" s="562"/>
      <c r="T191" s="562"/>
      <c r="U191" s="562"/>
      <c r="V191" s="562"/>
      <c r="W191" s="562"/>
      <c r="X191" s="562"/>
      <c r="Y191" s="562"/>
      <c r="Z191" s="562"/>
      <c r="AA191" s="562"/>
      <c r="AB191" s="562"/>
      <c r="AC191" s="563"/>
      <c r="AD191" s="629">
        <f t="shared" si="8"/>
        <v>0</v>
      </c>
      <c r="AE191" s="629">
        <f t="shared" si="9"/>
        <v>0</v>
      </c>
      <c r="AF191" s="634">
        <f t="shared" si="10"/>
        <v>0</v>
      </c>
      <c r="AG191" s="43"/>
    </row>
    <row r="192" spans="1:57" hidden="1">
      <c r="A192" s="555"/>
      <c r="B192" s="623"/>
      <c r="C192" s="607"/>
      <c r="D192" s="609"/>
      <c r="E192" s="609"/>
      <c r="F192" s="608"/>
      <c r="G192" s="609"/>
      <c r="H192" s="585"/>
      <c r="I192" s="562"/>
      <c r="J192" s="562"/>
      <c r="K192" s="562"/>
      <c r="L192" s="562"/>
      <c r="M192" s="562"/>
      <c r="N192" s="562"/>
      <c r="O192" s="562"/>
      <c r="P192" s="562"/>
      <c r="Q192" s="562"/>
      <c r="R192" s="562"/>
      <c r="S192" s="562"/>
      <c r="T192" s="562"/>
      <c r="U192" s="562"/>
      <c r="V192" s="562"/>
      <c r="W192" s="562"/>
      <c r="X192" s="562"/>
      <c r="Y192" s="562"/>
      <c r="Z192" s="562"/>
      <c r="AA192" s="562"/>
      <c r="AB192" s="562"/>
      <c r="AC192" s="563"/>
      <c r="AD192" s="629">
        <f t="shared" si="8"/>
        <v>0</v>
      </c>
      <c r="AE192" s="629">
        <f t="shared" si="9"/>
        <v>0</v>
      </c>
      <c r="AF192" s="634">
        <f t="shared" si="10"/>
        <v>0</v>
      </c>
      <c r="AG192" s="43">
        <f>IF(AF192=0,0,"ERROR HERE")</f>
        <v>0</v>
      </c>
      <c r="AH192" s="7">
        <f t="shared" ref="AH192:AQ196" si="35">IF(OR(ISERROR(+H192/($D192+$E192-$G192)*$G192+H192),LEFT(F192,1)="x"),0,+H192/($D192+$E192-$G192)*$G192+H192)</f>
        <v>0</v>
      </c>
      <c r="AI192" s="7">
        <f t="shared" si="35"/>
        <v>0</v>
      </c>
      <c r="AJ192" s="7">
        <f t="shared" si="35"/>
        <v>0</v>
      </c>
      <c r="AK192" s="7">
        <f t="shared" si="35"/>
        <v>0</v>
      </c>
      <c r="AL192" s="7">
        <f t="shared" si="35"/>
        <v>0</v>
      </c>
      <c r="AM192" s="7">
        <f t="shared" si="35"/>
        <v>0</v>
      </c>
      <c r="AN192" s="7">
        <f t="shared" si="35"/>
        <v>0</v>
      </c>
      <c r="AO192" s="7">
        <f t="shared" si="35"/>
        <v>0</v>
      </c>
      <c r="AP192" s="7">
        <f t="shared" si="35"/>
        <v>0</v>
      </c>
      <c r="AQ192" s="7">
        <f t="shared" si="35"/>
        <v>0</v>
      </c>
      <c r="AR192" s="7">
        <f t="shared" ref="AR192:BA196" si="36">IF(OR(ISERROR(+R192/($D192+$E192-$G192)*$G192+R192),LEFT(P192,1)="x"),0,+R192/($D192+$E192-$G192)*$G192+R192)</f>
        <v>0</v>
      </c>
      <c r="AS192" s="7">
        <f t="shared" si="36"/>
        <v>0</v>
      </c>
      <c r="AT192" s="7">
        <f t="shared" si="36"/>
        <v>0</v>
      </c>
      <c r="AU192" s="7">
        <f t="shared" si="36"/>
        <v>0</v>
      </c>
      <c r="AV192" s="7">
        <f t="shared" si="36"/>
        <v>0</v>
      </c>
      <c r="AW192" s="7">
        <f t="shared" si="36"/>
        <v>0</v>
      </c>
      <c r="AX192" s="7">
        <f t="shared" si="36"/>
        <v>0</v>
      </c>
      <c r="AY192" s="7">
        <f t="shared" si="36"/>
        <v>0</v>
      </c>
      <c r="AZ192" s="7">
        <f t="shared" si="36"/>
        <v>0</v>
      </c>
      <c r="BA192" s="7">
        <f t="shared" si="36"/>
        <v>0</v>
      </c>
      <c r="BB192" s="7">
        <f>IF(OR(ISERROR(+AB192/($D192+$E192-$G192)*$G192+AB192),LEFT(Z192,1)="x"),0,+AB192/($D192+$E192-$G192)*$G192+AB192)</f>
        <v>0</v>
      </c>
      <c r="BC192" s="7">
        <f>IF(OR(ISERROR(+#REF!/($D192+$E192-$G192)*$G192+#REF!),LEFT(AA192,1)="x"),0,+#REF!/($D192+$E192-$G192)*$G192+#REF!)</f>
        <v>0</v>
      </c>
      <c r="BD192" s="7">
        <f>IF(OR(ISERROR(+#REF!/($D192+$E192-$G192)*$G192+#REF!),LEFT(AB192,1)="x"),0,+#REF!/($D192+$E192-$G192)*$G192+#REF!)</f>
        <v>0</v>
      </c>
      <c r="BE192" s="7" t="e">
        <f>IF(OR(ISERROR(+AC192/($D192+$E192-$G192)*$G192+AC192),LEFT(#REF!,1)="x"),0,+AC192/($D192+$E192-$G192)*$G192+AC192)</f>
        <v>#REF!</v>
      </c>
    </row>
    <row r="193" spans="1:57" hidden="1">
      <c r="A193" s="555"/>
      <c r="B193" s="623"/>
      <c r="C193" s="607"/>
      <c r="D193" s="609"/>
      <c r="E193" s="609"/>
      <c r="F193" s="608"/>
      <c r="G193" s="609"/>
      <c r="H193" s="585"/>
      <c r="I193" s="562"/>
      <c r="J193" s="562"/>
      <c r="K193" s="562"/>
      <c r="L193" s="562"/>
      <c r="M193" s="562"/>
      <c r="N193" s="562"/>
      <c r="O193" s="562"/>
      <c r="P193" s="562"/>
      <c r="Q193" s="562"/>
      <c r="R193" s="562"/>
      <c r="S193" s="562"/>
      <c r="T193" s="562"/>
      <c r="U193" s="562"/>
      <c r="V193" s="562"/>
      <c r="W193" s="562"/>
      <c r="X193" s="562"/>
      <c r="Y193" s="562"/>
      <c r="Z193" s="562"/>
      <c r="AA193" s="562"/>
      <c r="AB193" s="562"/>
      <c r="AC193" s="563"/>
      <c r="AD193" s="629">
        <f t="shared" si="8"/>
        <v>0</v>
      </c>
      <c r="AE193" s="629">
        <f t="shared" si="9"/>
        <v>0</v>
      </c>
      <c r="AF193" s="634">
        <f t="shared" si="10"/>
        <v>0</v>
      </c>
      <c r="AG193" s="43">
        <f>IF(AF193=0,0,"ERROR HERE")</f>
        <v>0</v>
      </c>
      <c r="AH193" s="7">
        <f t="shared" si="35"/>
        <v>0</v>
      </c>
      <c r="AI193" s="7">
        <f t="shared" si="35"/>
        <v>0</v>
      </c>
      <c r="AJ193" s="7">
        <f t="shared" si="35"/>
        <v>0</v>
      </c>
      <c r="AK193" s="7">
        <f t="shared" si="35"/>
        <v>0</v>
      </c>
      <c r="AL193" s="7">
        <f t="shared" si="35"/>
        <v>0</v>
      </c>
      <c r="AM193" s="7">
        <f t="shared" si="35"/>
        <v>0</v>
      </c>
      <c r="AN193" s="7">
        <f t="shared" si="35"/>
        <v>0</v>
      </c>
      <c r="AO193" s="7">
        <f t="shared" si="35"/>
        <v>0</v>
      </c>
      <c r="AP193" s="7">
        <f t="shared" si="35"/>
        <v>0</v>
      </c>
      <c r="AQ193" s="7">
        <f t="shared" si="35"/>
        <v>0</v>
      </c>
      <c r="AR193" s="7">
        <f t="shared" si="36"/>
        <v>0</v>
      </c>
      <c r="AS193" s="7">
        <f t="shared" si="36"/>
        <v>0</v>
      </c>
      <c r="AT193" s="7">
        <f t="shared" si="36"/>
        <v>0</v>
      </c>
      <c r="AU193" s="7">
        <f t="shared" si="36"/>
        <v>0</v>
      </c>
      <c r="AV193" s="7">
        <f t="shared" si="36"/>
        <v>0</v>
      </c>
      <c r="AW193" s="7">
        <f t="shared" si="36"/>
        <v>0</v>
      </c>
      <c r="AX193" s="7">
        <f t="shared" si="36"/>
        <v>0</v>
      </c>
      <c r="AY193" s="7">
        <f t="shared" si="36"/>
        <v>0</v>
      </c>
      <c r="AZ193" s="7">
        <f t="shared" si="36"/>
        <v>0</v>
      </c>
      <c r="BA193" s="7">
        <f t="shared" si="36"/>
        <v>0</v>
      </c>
      <c r="BB193" s="7">
        <f>IF(OR(ISERROR(+AB193/($D193+$E193-$G193)*$G193+AB193),LEFT(Z193,1)="x"),0,+AB193/($D193+$E193-$G193)*$G193+AB193)</f>
        <v>0</v>
      </c>
      <c r="BC193" s="7">
        <f>IF(OR(ISERROR(+#REF!/($D193+$E193-$G193)*$G193+#REF!),LEFT(AA193,1)="x"),0,+#REF!/($D193+$E193-$G193)*$G193+#REF!)</f>
        <v>0</v>
      </c>
      <c r="BD193" s="7">
        <f>IF(OR(ISERROR(+#REF!/($D193+$E193-$G193)*$G193+#REF!),LEFT(AB193,1)="x"),0,+#REF!/($D193+$E193-$G193)*$G193+#REF!)</f>
        <v>0</v>
      </c>
      <c r="BE193" s="7" t="e">
        <f>IF(OR(ISERROR(+AC193/($D193+$E193-$G193)*$G193+AC193),LEFT(#REF!,1)="x"),0,+AC193/($D193+$E193-$G193)*$G193+AC193)</f>
        <v>#REF!</v>
      </c>
    </row>
    <row r="194" spans="1:57" hidden="1">
      <c r="A194" s="555"/>
      <c r="B194" s="623"/>
      <c r="C194" s="607"/>
      <c r="D194" s="609"/>
      <c r="E194" s="609"/>
      <c r="F194" s="608"/>
      <c r="G194" s="609"/>
      <c r="H194" s="585"/>
      <c r="I194" s="562"/>
      <c r="J194" s="562"/>
      <c r="K194" s="562"/>
      <c r="L194" s="562"/>
      <c r="M194" s="562"/>
      <c r="N194" s="562"/>
      <c r="O194" s="562"/>
      <c r="P194" s="562"/>
      <c r="Q194" s="562"/>
      <c r="R194" s="562"/>
      <c r="S194" s="562"/>
      <c r="T194" s="562"/>
      <c r="U194" s="562"/>
      <c r="V194" s="562"/>
      <c r="W194" s="562"/>
      <c r="X194" s="562"/>
      <c r="Y194" s="562"/>
      <c r="Z194" s="562"/>
      <c r="AA194" s="562"/>
      <c r="AB194" s="562"/>
      <c r="AC194" s="563"/>
      <c r="AD194" s="629">
        <f t="shared" si="8"/>
        <v>0</v>
      </c>
      <c r="AE194" s="629">
        <f t="shared" si="9"/>
        <v>0</v>
      </c>
      <c r="AF194" s="634">
        <f t="shared" si="10"/>
        <v>0</v>
      </c>
      <c r="AG194" s="43">
        <f>IF(AF194=0,0,"ERROR HERE")</f>
        <v>0</v>
      </c>
      <c r="AH194" s="7">
        <f t="shared" si="35"/>
        <v>0</v>
      </c>
      <c r="AI194" s="7">
        <f t="shared" si="35"/>
        <v>0</v>
      </c>
      <c r="AJ194" s="7">
        <f t="shared" si="35"/>
        <v>0</v>
      </c>
      <c r="AK194" s="7">
        <f t="shared" si="35"/>
        <v>0</v>
      </c>
      <c r="AL194" s="7">
        <f t="shared" si="35"/>
        <v>0</v>
      </c>
      <c r="AM194" s="7">
        <f t="shared" si="35"/>
        <v>0</v>
      </c>
      <c r="AN194" s="7">
        <f t="shared" si="35"/>
        <v>0</v>
      </c>
      <c r="AO194" s="7">
        <f t="shared" si="35"/>
        <v>0</v>
      </c>
      <c r="AP194" s="7">
        <f t="shared" si="35"/>
        <v>0</v>
      </c>
      <c r="AQ194" s="7">
        <f t="shared" si="35"/>
        <v>0</v>
      </c>
      <c r="AR194" s="7">
        <f t="shared" si="36"/>
        <v>0</v>
      </c>
      <c r="AS194" s="7">
        <f t="shared" si="36"/>
        <v>0</v>
      </c>
      <c r="AT194" s="7">
        <f t="shared" si="36"/>
        <v>0</v>
      </c>
      <c r="AU194" s="7">
        <f t="shared" si="36"/>
        <v>0</v>
      </c>
      <c r="AV194" s="7">
        <f t="shared" si="36"/>
        <v>0</v>
      </c>
      <c r="AW194" s="7">
        <f t="shared" si="36"/>
        <v>0</v>
      </c>
      <c r="AX194" s="7">
        <f t="shared" si="36"/>
        <v>0</v>
      </c>
      <c r="AY194" s="7">
        <f t="shared" si="36"/>
        <v>0</v>
      </c>
      <c r="AZ194" s="7">
        <f t="shared" si="36"/>
        <v>0</v>
      </c>
      <c r="BA194" s="7">
        <f t="shared" si="36"/>
        <v>0</v>
      </c>
      <c r="BB194" s="7">
        <f>IF(OR(ISERROR(+AB194/($D194+$E194-$G194)*$G194+AB194),LEFT(Z194,1)="x"),0,+AB194/($D194+$E194-$G194)*$G194+AB194)</f>
        <v>0</v>
      </c>
      <c r="BC194" s="7">
        <f>IF(OR(ISERROR(+#REF!/($D194+$E194-$G194)*$G194+#REF!),LEFT(AA194,1)="x"),0,+#REF!/($D194+$E194-$G194)*$G194+#REF!)</f>
        <v>0</v>
      </c>
      <c r="BD194" s="7">
        <f>IF(OR(ISERROR(+#REF!/($D194+$E194-$G194)*$G194+#REF!),LEFT(AB194,1)="x"),0,+#REF!/($D194+$E194-$G194)*$G194+#REF!)</f>
        <v>0</v>
      </c>
      <c r="BE194" s="7" t="e">
        <f>IF(OR(ISERROR(+AC194/($D194+$E194-$G194)*$G194+AC194),LEFT(#REF!,1)="x"),0,+AC194/($D194+$E194-$G194)*$G194+AC194)</f>
        <v>#REF!</v>
      </c>
    </row>
    <row r="195" spans="1:57" hidden="1">
      <c r="A195" s="555"/>
      <c r="B195" s="623"/>
      <c r="C195" s="607"/>
      <c r="D195" s="609"/>
      <c r="E195" s="609"/>
      <c r="F195" s="608"/>
      <c r="G195" s="609"/>
      <c r="H195" s="585"/>
      <c r="I195" s="562"/>
      <c r="J195" s="562"/>
      <c r="K195" s="562"/>
      <c r="L195" s="562"/>
      <c r="M195" s="562"/>
      <c r="N195" s="562"/>
      <c r="O195" s="562"/>
      <c r="P195" s="562"/>
      <c r="Q195" s="562"/>
      <c r="R195" s="562"/>
      <c r="S195" s="562"/>
      <c r="T195" s="562"/>
      <c r="U195" s="562"/>
      <c r="V195" s="562"/>
      <c r="W195" s="562"/>
      <c r="X195" s="562"/>
      <c r="Y195" s="562"/>
      <c r="Z195" s="562"/>
      <c r="AA195" s="562"/>
      <c r="AB195" s="562"/>
      <c r="AC195" s="563"/>
      <c r="AD195" s="629">
        <f t="shared" si="8"/>
        <v>0</v>
      </c>
      <c r="AE195" s="629">
        <f t="shared" si="9"/>
        <v>0</v>
      </c>
      <c r="AF195" s="634">
        <f t="shared" si="10"/>
        <v>0</v>
      </c>
      <c r="AG195" s="43">
        <f>IF(AF195=0,0,"ERROR HERE")</f>
        <v>0</v>
      </c>
      <c r="AH195" s="7">
        <f t="shared" si="35"/>
        <v>0</v>
      </c>
      <c r="AI195" s="7">
        <f t="shared" si="35"/>
        <v>0</v>
      </c>
      <c r="AJ195" s="7">
        <f t="shared" si="35"/>
        <v>0</v>
      </c>
      <c r="AK195" s="7">
        <f t="shared" si="35"/>
        <v>0</v>
      </c>
      <c r="AL195" s="7">
        <f t="shared" si="35"/>
        <v>0</v>
      </c>
      <c r="AM195" s="7">
        <f t="shared" si="35"/>
        <v>0</v>
      </c>
      <c r="AN195" s="7">
        <f t="shared" si="35"/>
        <v>0</v>
      </c>
      <c r="AO195" s="7">
        <f t="shared" si="35"/>
        <v>0</v>
      </c>
      <c r="AP195" s="7">
        <f t="shared" si="35"/>
        <v>0</v>
      </c>
      <c r="AQ195" s="7">
        <f t="shared" si="35"/>
        <v>0</v>
      </c>
      <c r="AR195" s="7">
        <f t="shared" si="36"/>
        <v>0</v>
      </c>
      <c r="AS195" s="7">
        <f t="shared" si="36"/>
        <v>0</v>
      </c>
      <c r="AT195" s="7">
        <f t="shared" si="36"/>
        <v>0</v>
      </c>
      <c r="AU195" s="7">
        <f t="shared" si="36"/>
        <v>0</v>
      </c>
      <c r="AV195" s="7">
        <f t="shared" si="36"/>
        <v>0</v>
      </c>
      <c r="AW195" s="7">
        <f t="shared" si="36"/>
        <v>0</v>
      </c>
      <c r="AX195" s="7">
        <f t="shared" si="36"/>
        <v>0</v>
      </c>
      <c r="AY195" s="7">
        <f t="shared" si="36"/>
        <v>0</v>
      </c>
      <c r="AZ195" s="7">
        <f t="shared" si="36"/>
        <v>0</v>
      </c>
      <c r="BA195" s="7">
        <f t="shared" si="36"/>
        <v>0</v>
      </c>
      <c r="BB195" s="7">
        <f>IF(OR(ISERROR(+AB195/($D195+$E195-$G195)*$G195+AB195),LEFT(Z195,1)="x"),0,+AB195/($D195+$E195-$G195)*$G195+AB195)</f>
        <v>0</v>
      </c>
      <c r="BC195" s="7">
        <f>IF(OR(ISERROR(+#REF!/($D195+$E195-$G195)*$G195+#REF!),LEFT(AA195,1)="x"),0,+#REF!/($D195+$E195-$G195)*$G195+#REF!)</f>
        <v>0</v>
      </c>
      <c r="BD195" s="7">
        <f>IF(OR(ISERROR(+#REF!/($D195+$E195-$G195)*$G195+#REF!),LEFT(AB195,1)="x"),0,+#REF!/($D195+$E195-$G195)*$G195+#REF!)</f>
        <v>0</v>
      </c>
      <c r="BE195" s="7" t="e">
        <f>IF(OR(ISERROR(+AC195/($D195+$E195-$G195)*$G195+AC195),LEFT(#REF!,1)="x"),0,+AC195/($D195+$E195-$G195)*$G195+AC195)</f>
        <v>#REF!</v>
      </c>
    </row>
    <row r="196" spans="1:57" ht="13.5" hidden="1" thickBot="1">
      <c r="A196" s="556"/>
      <c r="B196" s="624"/>
      <c r="C196" s="611"/>
      <c r="D196" s="610"/>
      <c r="E196" s="610"/>
      <c r="F196" s="612"/>
      <c r="G196" s="610"/>
      <c r="H196" s="586"/>
      <c r="I196" s="564"/>
      <c r="J196" s="564"/>
      <c r="K196" s="564"/>
      <c r="L196" s="564"/>
      <c r="M196" s="564"/>
      <c r="N196" s="564"/>
      <c r="O196" s="564"/>
      <c r="P196" s="564"/>
      <c r="Q196" s="564"/>
      <c r="R196" s="564"/>
      <c r="S196" s="564"/>
      <c r="T196" s="564"/>
      <c r="U196" s="564"/>
      <c r="V196" s="564"/>
      <c r="W196" s="564"/>
      <c r="X196" s="564"/>
      <c r="Y196" s="564"/>
      <c r="Z196" s="564"/>
      <c r="AA196" s="564"/>
      <c r="AB196" s="564"/>
      <c r="AC196" s="587"/>
      <c r="AD196" s="629">
        <f t="shared" si="8"/>
        <v>0</v>
      </c>
      <c r="AE196" s="629">
        <f t="shared" si="9"/>
        <v>0</v>
      </c>
      <c r="AF196" s="634">
        <f t="shared" si="10"/>
        <v>0</v>
      </c>
      <c r="AG196" s="43">
        <f>IF(AF196=0,0,"ERROR HERE")</f>
        <v>0</v>
      </c>
      <c r="AH196" s="7">
        <f t="shared" si="35"/>
        <v>0</v>
      </c>
      <c r="AI196" s="7">
        <f t="shared" si="35"/>
        <v>0</v>
      </c>
      <c r="AJ196" s="7">
        <f t="shared" si="35"/>
        <v>0</v>
      </c>
      <c r="AK196" s="7">
        <f t="shared" si="35"/>
        <v>0</v>
      </c>
      <c r="AL196" s="7">
        <f t="shared" si="35"/>
        <v>0</v>
      </c>
      <c r="AM196" s="7">
        <f t="shared" si="35"/>
        <v>0</v>
      </c>
      <c r="AN196" s="7">
        <f t="shared" si="35"/>
        <v>0</v>
      </c>
      <c r="AO196" s="7">
        <f t="shared" si="35"/>
        <v>0</v>
      </c>
      <c r="AP196" s="7">
        <f t="shared" si="35"/>
        <v>0</v>
      </c>
      <c r="AQ196" s="7">
        <f t="shared" si="35"/>
        <v>0</v>
      </c>
      <c r="AR196" s="7">
        <f t="shared" si="36"/>
        <v>0</v>
      </c>
      <c r="AS196" s="7">
        <f t="shared" si="36"/>
        <v>0</v>
      </c>
      <c r="AT196" s="7">
        <f t="shared" si="36"/>
        <v>0</v>
      </c>
      <c r="AU196" s="7">
        <f t="shared" si="36"/>
        <v>0</v>
      </c>
      <c r="AV196" s="7">
        <f t="shared" si="36"/>
        <v>0</v>
      </c>
      <c r="AW196" s="7">
        <f t="shared" si="36"/>
        <v>0</v>
      </c>
      <c r="AX196" s="7">
        <f t="shared" si="36"/>
        <v>0</v>
      </c>
      <c r="AY196" s="7">
        <f t="shared" si="36"/>
        <v>0</v>
      </c>
      <c r="AZ196" s="7">
        <f t="shared" si="36"/>
        <v>0</v>
      </c>
      <c r="BA196" s="7">
        <f t="shared" si="36"/>
        <v>0</v>
      </c>
      <c r="BB196" s="7">
        <f>IF(OR(ISERROR(+AB196/($D196+$E196-$G196)*$G196+AB196),LEFT(Z196,1)="x"),0,+AB196/($D196+$E196-$G196)*$G196+AB196)</f>
        <v>0</v>
      </c>
      <c r="BC196" s="7">
        <f>IF(OR(ISERROR(+#REF!/($D196+$E196-$G196)*$G196+#REF!),LEFT(AA196,1)="x"),0,+#REF!/($D196+$E196-$G196)*$G196+#REF!)</f>
        <v>0</v>
      </c>
      <c r="BD196" s="7">
        <f>IF(OR(ISERROR(+#REF!/($D196+$E196-$G196)*$G196+#REF!),LEFT(AB196,1)="x"),0,+#REF!/($D196+$E196-$G196)*$G196+#REF!)</f>
        <v>0</v>
      </c>
      <c r="BE196" s="7" t="e">
        <f>IF(OR(ISERROR(+AC196/($D196+$E196-$G196)*$G196+AC196),LEFT(#REF!,1)="x"),0,+AC196/($D196+$E196-$G196)*$G196+AC196)</f>
        <v>#REF!</v>
      </c>
    </row>
    <row r="197" spans="1:57" ht="14.25">
      <c r="A197" s="99" t="s">
        <v>20</v>
      </c>
      <c r="B197" s="100"/>
      <c r="C197" s="97" t="s">
        <v>26</v>
      </c>
      <c r="D197" s="92">
        <f>SUM(D80:D196)</f>
        <v>1906.04</v>
      </c>
      <c r="E197" s="92">
        <f>SUM(E80:E196)</f>
        <v>635</v>
      </c>
      <c r="F197" s="208">
        <f>SUM(F80:F196)</f>
        <v>0</v>
      </c>
      <c r="G197" s="92">
        <f t="shared" ref="G197:AA197" si="37">SUM(G80:G196)</f>
        <v>0</v>
      </c>
      <c r="H197" s="92">
        <f t="shared" si="37"/>
        <v>128</v>
      </c>
      <c r="I197" s="92">
        <f t="shared" si="37"/>
        <v>164</v>
      </c>
      <c r="J197" s="92">
        <f t="shared" si="37"/>
        <v>65</v>
      </c>
      <c r="K197" s="92">
        <f t="shared" si="37"/>
        <v>0</v>
      </c>
      <c r="L197" s="92">
        <f t="shared" si="37"/>
        <v>1612</v>
      </c>
      <c r="M197" s="92">
        <f t="shared" si="37"/>
        <v>150.54</v>
      </c>
      <c r="N197" s="92">
        <f t="shared" si="37"/>
        <v>0</v>
      </c>
      <c r="O197" s="92">
        <f t="shared" si="37"/>
        <v>0</v>
      </c>
      <c r="P197" s="92">
        <f t="shared" si="37"/>
        <v>8</v>
      </c>
      <c r="Q197" s="92">
        <f t="shared" si="37"/>
        <v>780</v>
      </c>
      <c r="R197" s="92">
        <f t="shared" si="37"/>
        <v>-715</v>
      </c>
      <c r="S197" s="92">
        <f t="shared" si="37"/>
        <v>55</v>
      </c>
      <c r="T197" s="92">
        <f t="shared" si="37"/>
        <v>85</v>
      </c>
      <c r="U197" s="92">
        <f t="shared" si="37"/>
        <v>138</v>
      </c>
      <c r="V197" s="92">
        <f t="shared" si="37"/>
        <v>5.5</v>
      </c>
      <c r="W197" s="92">
        <f t="shared" si="37"/>
        <v>65</v>
      </c>
      <c r="X197" s="92">
        <f t="shared" si="37"/>
        <v>0</v>
      </c>
      <c r="Y197" s="92">
        <f t="shared" si="37"/>
        <v>0</v>
      </c>
      <c r="Z197" s="92">
        <f t="shared" si="37"/>
        <v>0</v>
      </c>
      <c r="AA197" s="92">
        <f t="shared" si="37"/>
        <v>0</v>
      </c>
      <c r="AB197" s="92">
        <f>SUM(AB80:AB196)</f>
        <v>0</v>
      </c>
      <c r="AC197" s="208">
        <f>SUM(AC80:AC196)</f>
        <v>0</v>
      </c>
    </row>
    <row r="198" spans="1:57" ht="13.5" thickBot="1">
      <c r="A198" s="50" t="s">
        <v>20</v>
      </c>
      <c r="B198" s="51"/>
      <c r="C198" s="39" t="s">
        <v>78</v>
      </c>
      <c r="D198" s="643">
        <f>SUM(D79:D196)</f>
        <v>227573.34000000005</v>
      </c>
      <c r="E198" s="643">
        <f>SUM(E79:E196)</f>
        <v>1166</v>
      </c>
      <c r="F198" s="644">
        <f>SUM(F79:F196)</f>
        <v>0</v>
      </c>
      <c r="G198" s="643">
        <f t="shared" ref="G198:AA198" si="38">SUM(G79:G196)</f>
        <v>0</v>
      </c>
      <c r="H198" s="643">
        <f t="shared" si="38"/>
        <v>2483</v>
      </c>
      <c r="I198" s="643">
        <f t="shared" si="38"/>
        <v>1980</v>
      </c>
      <c r="J198" s="643">
        <f t="shared" si="38"/>
        <v>630</v>
      </c>
      <c r="K198" s="643">
        <f t="shared" si="38"/>
        <v>0</v>
      </c>
      <c r="L198" s="643">
        <f t="shared" si="38"/>
        <v>22440</v>
      </c>
      <c r="M198" s="643">
        <f t="shared" si="38"/>
        <v>414.56999999999994</v>
      </c>
      <c r="N198" s="643">
        <f t="shared" si="38"/>
        <v>50000</v>
      </c>
      <c r="O198" s="643">
        <f t="shared" si="38"/>
        <v>0</v>
      </c>
      <c r="P198" s="643">
        <f t="shared" si="38"/>
        <v>198</v>
      </c>
      <c r="Q198" s="643">
        <f t="shared" si="38"/>
        <v>780</v>
      </c>
      <c r="R198" s="643">
        <f t="shared" si="38"/>
        <v>0</v>
      </c>
      <c r="S198" s="643">
        <f t="shared" si="38"/>
        <v>691</v>
      </c>
      <c r="T198" s="643">
        <f t="shared" si="38"/>
        <v>1020</v>
      </c>
      <c r="U198" s="643">
        <f t="shared" si="38"/>
        <v>1656</v>
      </c>
      <c r="V198" s="643">
        <f t="shared" si="38"/>
        <v>71.3</v>
      </c>
      <c r="W198" s="643">
        <f t="shared" si="38"/>
        <v>1060</v>
      </c>
      <c r="X198" s="643">
        <f t="shared" si="38"/>
        <v>101239.34</v>
      </c>
      <c r="Y198" s="643">
        <f t="shared" si="38"/>
        <v>21997.8</v>
      </c>
      <c r="Z198" s="643">
        <f t="shared" si="38"/>
        <v>21280.33</v>
      </c>
      <c r="AA198" s="643">
        <f t="shared" si="38"/>
        <v>0</v>
      </c>
      <c r="AB198" s="643">
        <f>SUM(AB79:AB196)</f>
        <v>785</v>
      </c>
      <c r="AC198" s="645">
        <f>SUM(AC79:AC196)</f>
        <v>13</v>
      </c>
      <c r="AD198" s="629">
        <f>SUM(G198:AC198)</f>
        <v>228739.34000000003</v>
      </c>
      <c r="AE198" s="629">
        <f>SUM(D198:F198)</f>
        <v>228739.34000000005</v>
      </c>
      <c r="AF198" s="634">
        <f>AD198-AE198</f>
        <v>0</v>
      </c>
      <c r="AG198" s="57"/>
    </row>
    <row r="199" spans="1:57">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57">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57">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57" ht="15.75">
      <c r="A202" s="52" t="s">
        <v>226</v>
      </c>
      <c r="B202" s="52"/>
      <c r="C202" s="52"/>
      <c r="D202" s="19">
        <f>E202-H202</f>
        <v>0</v>
      </c>
      <c r="E202" s="53">
        <f>D197+E197+F197</f>
        <v>2541.04</v>
      </c>
      <c r="F202" s="53" t="s">
        <v>20</v>
      </c>
      <c r="G202" s="17"/>
      <c r="H202" s="53">
        <f>SUM(G197:AC197)</f>
        <v>2541.04</v>
      </c>
      <c r="I202" s="17"/>
      <c r="J202" s="17"/>
      <c r="K202" s="17"/>
      <c r="L202" s="17"/>
      <c r="M202" s="17"/>
      <c r="N202" s="17"/>
      <c r="O202" s="17"/>
      <c r="P202" s="17"/>
      <c r="Q202" s="17"/>
      <c r="R202" s="17"/>
      <c r="S202" s="17"/>
      <c r="T202" s="17"/>
      <c r="U202" s="17"/>
      <c r="V202" s="17"/>
      <c r="W202" s="17"/>
      <c r="X202" s="17"/>
      <c r="Y202" s="17"/>
      <c r="Z202" s="17"/>
      <c r="AA202" s="17"/>
      <c r="AB202" s="17"/>
      <c r="AC202" s="17"/>
    </row>
    <row r="203" spans="1:57" ht="15">
      <c r="A203" s="17"/>
      <c r="B203" s="17"/>
      <c r="C203" s="17"/>
      <c r="D203" s="54">
        <f>IF(D202=0,0,"Error - check totals do not balance, please see column AF - at the right side of the expenditure table for corrections to be made")</f>
        <v>0</v>
      </c>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57" ht="20.25">
      <c r="A204" s="160" t="s">
        <v>308</v>
      </c>
      <c r="B204" s="160"/>
      <c r="C204" s="160"/>
      <c r="D204" s="160"/>
      <c r="E204" s="160"/>
      <c r="F204" s="160"/>
      <c r="G204" s="160"/>
      <c r="H204" s="324"/>
      <c r="I204" s="325"/>
      <c r="J204" s="17"/>
      <c r="K204" s="17"/>
      <c r="L204" s="17"/>
      <c r="M204" s="17"/>
      <c r="N204" s="17"/>
      <c r="O204" s="17"/>
      <c r="P204" s="17"/>
      <c r="Q204" s="17"/>
      <c r="R204" s="17"/>
      <c r="S204" s="17"/>
      <c r="T204" s="17"/>
      <c r="U204" s="17"/>
      <c r="V204" s="17"/>
      <c r="W204" s="17"/>
      <c r="X204" s="17"/>
      <c r="Y204" s="17"/>
      <c r="Z204" s="17"/>
      <c r="AA204" s="17"/>
      <c r="AB204" s="17"/>
      <c r="AC204" s="17"/>
    </row>
    <row r="205" spans="1:57" ht="15">
      <c r="A205" s="17"/>
      <c r="B205" s="17"/>
      <c r="C205" s="17"/>
      <c r="D205" s="54"/>
      <c r="E205" s="5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57">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57" ht="15.75">
      <c r="A207" s="55" t="s">
        <v>62</v>
      </c>
      <c r="B207" s="17"/>
      <c r="C207" s="17"/>
      <c r="D207" s="17"/>
      <c r="E207" s="262" t="s">
        <v>71</v>
      </c>
      <c r="F207" s="261" t="s">
        <v>19</v>
      </c>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57">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32">
      <c r="A209" s="161" t="s">
        <v>166</v>
      </c>
      <c r="B209" s="17"/>
      <c r="C209" s="17"/>
      <c r="D209" s="17"/>
      <c r="E209" s="639">
        <f>'Nov 17'!K10+L54+M54+N54+O54-D198</f>
        <v>55661.309999999969</v>
      </c>
      <c r="F209" s="639">
        <f>'Nov 17'!K11+P54+X198-O54</f>
        <v>87044.4</v>
      </c>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32">
      <c r="A210" s="161"/>
      <c r="B210" s="17"/>
      <c r="C210" s="73"/>
      <c r="D210" s="73"/>
      <c r="E210" s="637"/>
      <c r="F210" s="63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32">
      <c r="A211" s="161" t="s">
        <v>63</v>
      </c>
      <c r="B211" s="17"/>
      <c r="C211" s="642"/>
      <c r="D211" s="642"/>
      <c r="E211" s="637" t="s">
        <v>20</v>
      </c>
      <c r="F211" s="63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32">
      <c r="B212" s="162" t="s">
        <v>187</v>
      </c>
      <c r="C212" s="642"/>
      <c r="D212" s="642"/>
      <c r="E212" s="637" t="s">
        <v>20</v>
      </c>
      <c r="F212" s="63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32">
      <c r="A213" s="17"/>
      <c r="B213" s="162" t="s">
        <v>164</v>
      </c>
      <c r="C213" s="642"/>
      <c r="D213" s="642"/>
      <c r="E213" s="637" t="s">
        <v>20</v>
      </c>
      <c r="F213" s="63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32">
      <c r="A214" s="17"/>
      <c r="B214" s="162" t="s">
        <v>189</v>
      </c>
      <c r="C214" s="642"/>
      <c r="D214" s="642"/>
      <c r="E214" s="637"/>
      <c r="F214" s="63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32">
      <c r="A215" s="17"/>
      <c r="B215" s="17"/>
      <c r="C215" s="642"/>
      <c r="D215" s="642"/>
      <c r="E215" s="637"/>
      <c r="F215" s="63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32" ht="13.5" thickBot="1">
      <c r="A216" s="56" t="s">
        <v>165</v>
      </c>
      <c r="B216" s="56"/>
      <c r="C216" s="17"/>
      <c r="D216" s="17"/>
      <c r="E216" s="641">
        <f>E209+SUM(E211:E215)</f>
        <v>55661.309999999969</v>
      </c>
      <c r="F216" s="641">
        <f>F209+SUM(F211:F215)</f>
        <v>87044.4</v>
      </c>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32" ht="13.5" thickTop="1">
      <c r="C217" s="17"/>
      <c r="D217" s="17"/>
      <c r="E217" s="53"/>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32" s="17" customFormat="1">
      <c r="A218" s="56"/>
      <c r="E218" s="53"/>
      <c r="AD218" s="346"/>
      <c r="AE218" s="346"/>
      <c r="AF218" s="636"/>
    </row>
    <row r="219" spans="1:3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32" hidden="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32" hidden="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32" hidden="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32" ht="15" hidden="1">
      <c r="A223" s="211" t="s">
        <v>452</v>
      </c>
      <c r="B223" s="213"/>
      <c r="C223" s="18"/>
      <c r="D223" s="18"/>
      <c r="E223" s="18"/>
      <c r="F223" s="215"/>
      <c r="G223" s="18"/>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32" ht="15" hidden="1">
      <c r="B224" s="213"/>
      <c r="C224" s="18"/>
      <c r="D224" s="18"/>
      <c r="E224" s="18"/>
      <c r="F224" s="215"/>
      <c r="G224" s="18"/>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2:29" ht="15" hidden="1">
      <c r="B225" s="213" t="s">
        <v>196</v>
      </c>
      <c r="C225" s="214"/>
      <c r="D225" s="214">
        <f>$C$58+$C$59-D227</f>
        <v>0</v>
      </c>
      <c r="E225" s="18"/>
      <c r="F225" s="215" t="s">
        <v>197</v>
      </c>
      <c r="G225" s="18"/>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2:29" hidden="1">
      <c r="B226" s="216" t="s">
        <v>64</v>
      </c>
      <c r="C226" s="18">
        <f>($C$58+$C$59-676)/113.8*13.8</f>
        <v>-81.975395430579965</v>
      </c>
      <c r="D226" s="18"/>
      <c r="E226" s="7"/>
      <c r="F226" s="393" t="s">
        <v>454</v>
      </c>
      <c r="G226" s="18"/>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2:29" hidden="1">
      <c r="B227" s="216"/>
      <c r="C227" s="214">
        <v>0</v>
      </c>
      <c r="D227" s="214">
        <f>MAX(C226:C227)</f>
        <v>0</v>
      </c>
      <c r="E227" s="7"/>
      <c r="F227" s="216"/>
      <c r="G227" s="18"/>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2:29" hidden="1">
      <c r="B228" s="216" t="s">
        <v>65</v>
      </c>
      <c r="C228" s="18">
        <f>IF((D225&lt;3532.08), ((D225-671.67)*0.12),((3532.08-671.67)*0.12))</f>
        <v>-80.600399999999993</v>
      </c>
      <c r="D228" s="18"/>
      <c r="E228" s="7"/>
      <c r="F228" s="393" t="s">
        <v>453</v>
      </c>
      <c r="G228" s="18"/>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2:29" hidden="1">
      <c r="B229" s="216"/>
      <c r="C229" s="214">
        <v>0</v>
      </c>
      <c r="D229" s="214">
        <f>MAX(C228:C229)</f>
        <v>0</v>
      </c>
      <c r="E229" s="7"/>
      <c r="G229" s="18"/>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2:29" hidden="1">
      <c r="B230" s="216" t="s">
        <v>120</v>
      </c>
      <c r="C230" s="18">
        <f>(D225-3532.08)*0.02</f>
        <v>-70.641599999999997</v>
      </c>
      <c r="D230" s="18"/>
      <c r="E230" s="7"/>
      <c r="F230" s="393" t="s">
        <v>455</v>
      </c>
      <c r="G230" s="18"/>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2:29" hidden="1">
      <c r="B231" s="217"/>
      <c r="C231" s="214">
        <v>0</v>
      </c>
      <c r="D231" s="214">
        <f>MAX(C230:C231)</f>
        <v>0</v>
      </c>
      <c r="E231" s="7"/>
      <c r="F231" s="216"/>
      <c r="G231" s="18"/>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2:29" ht="15" hidden="1">
      <c r="B232" s="218" t="s">
        <v>198</v>
      </c>
      <c r="C232" s="71"/>
      <c r="D232" s="71"/>
      <c r="E232" s="219">
        <f>D231+D229+D227</f>
        <v>0</v>
      </c>
      <c r="F232" s="216"/>
      <c r="G232" s="18"/>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2:29" ht="15" hidden="1">
      <c r="D233" s="18"/>
      <c r="E233" s="220"/>
      <c r="F233" s="327" t="s">
        <v>210</v>
      </c>
      <c r="G233" s="18"/>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2:29" ht="15" hidden="1">
      <c r="B234" s="217" t="s">
        <v>199</v>
      </c>
      <c r="C234" s="328">
        <f>IF((D225&lt;12500),0,((D225-12500)*0.45))</f>
        <v>0</v>
      </c>
      <c r="D234" s="214">
        <f>C234</f>
        <v>0</v>
      </c>
      <c r="E234" s="220"/>
      <c r="F234" s="216"/>
      <c r="G234" s="18"/>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2:29" ht="15" hidden="1">
      <c r="B235" s="217" t="s">
        <v>200</v>
      </c>
      <c r="C235" s="20">
        <f>IF((D225&lt;12500),(((D225-8333.33)*0.4)+(883.33*0.4)),(((12500-8333.33)*0.4)+(883.33*0.4)))</f>
        <v>-2980.0000000000005</v>
      </c>
      <c r="D235" s="18"/>
      <c r="E235" s="220"/>
      <c r="F235" s="327" t="s">
        <v>209</v>
      </c>
      <c r="G235" s="18"/>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2:29" ht="15" hidden="1">
      <c r="B236" s="217"/>
      <c r="C236" s="214">
        <v>0</v>
      </c>
      <c r="D236" s="214">
        <f>MAX(C235:C236)</f>
        <v>0</v>
      </c>
      <c r="E236" s="220"/>
      <c r="F236" s="217"/>
      <c r="G236" s="18"/>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2:29" ht="15" hidden="1">
      <c r="B237" s="216" t="s">
        <v>201</v>
      </c>
      <c r="C237" s="20">
        <f>IF((D225&lt;8333.33),((D225-3532.08)*0.4),((8333.33-3532.08)*0.4))</f>
        <v>-1412.8320000000001</v>
      </c>
      <c r="D237" s="18"/>
      <c r="E237" s="220"/>
      <c r="F237" s="393" t="s">
        <v>456</v>
      </c>
      <c r="G237" s="18"/>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2:29" ht="15" hidden="1">
      <c r="B238" s="216"/>
      <c r="C238" s="214">
        <v>0</v>
      </c>
      <c r="D238" s="214">
        <f>MAX(C237:C238)</f>
        <v>0</v>
      </c>
      <c r="E238" s="220"/>
      <c r="F238" s="393" t="s">
        <v>457</v>
      </c>
      <c r="G238" s="18"/>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2:29" ht="15" hidden="1">
      <c r="B239" s="216" t="s">
        <v>202</v>
      </c>
      <c r="C239" s="20">
        <f>IF((D225&lt;3532.08),((D225-883.33)*0.2),(2648.75*0.2))</f>
        <v>-176.66600000000003</v>
      </c>
      <c r="D239" s="18"/>
      <c r="E239" s="221"/>
      <c r="F239" s="393" t="s">
        <v>458</v>
      </c>
      <c r="G239" s="18"/>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2:29" ht="15" hidden="1">
      <c r="B240" s="216"/>
      <c r="C240" s="214">
        <v>0</v>
      </c>
      <c r="D240" s="214">
        <f>MAX(C239:C240)</f>
        <v>0</v>
      </c>
      <c r="E240" s="220"/>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5" hidden="1">
      <c r="B241" s="216" t="s">
        <v>203</v>
      </c>
      <c r="C241" s="329">
        <v>0</v>
      </c>
      <c r="D241" s="329">
        <v>0</v>
      </c>
      <c r="E241" s="220"/>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5" hidden="1">
      <c r="B242" s="330" t="s">
        <v>204</v>
      </c>
      <c r="C242" s="20"/>
      <c r="E242" s="219">
        <f>D241+D240+D238+D236+D234</f>
        <v>0</v>
      </c>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5.75" hidden="1" thickBot="1">
      <c r="B243" s="330" t="s">
        <v>69</v>
      </c>
      <c r="C243" s="20"/>
      <c r="E243" s="331">
        <f>E232+E242</f>
        <v>0</v>
      </c>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5.75" hidden="1" thickTop="1">
      <c r="B244" s="213"/>
      <c r="C244" s="18"/>
      <c r="D244" s="18"/>
      <c r="E244" s="18"/>
      <c r="F244" s="215"/>
      <c r="G244" s="18"/>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5" hidden="1">
      <c r="A245" s="211" t="s">
        <v>396</v>
      </c>
      <c r="B245" s="213"/>
      <c r="C245" s="18"/>
      <c r="D245" s="18"/>
      <c r="E245" s="18"/>
      <c r="F245" s="215"/>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5" hidden="1">
      <c r="B246" s="213"/>
      <c r="C246" s="18"/>
      <c r="D246" s="18"/>
      <c r="E246" s="18"/>
      <c r="F246" s="215"/>
      <c r="G246" s="18"/>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2.6" hidden="1" customHeight="1">
      <c r="B247" s="213" t="s">
        <v>196</v>
      </c>
      <c r="C247" s="214"/>
      <c r="D247" s="214">
        <f>$C$58+$C$59-D249</f>
        <v>0</v>
      </c>
      <c r="E247" s="18"/>
      <c r="F247" s="215" t="s">
        <v>197</v>
      </c>
      <c r="G247" s="18"/>
      <c r="H247" s="18"/>
      <c r="I247" s="18"/>
      <c r="J247" s="18"/>
      <c r="K247" s="18"/>
      <c r="L247" s="18"/>
      <c r="M247" s="18"/>
      <c r="N247" s="17"/>
      <c r="O247" s="17"/>
      <c r="P247" s="17"/>
      <c r="Q247" s="17"/>
      <c r="R247" s="17"/>
      <c r="S247" s="17"/>
      <c r="T247" s="17"/>
      <c r="U247" s="17"/>
      <c r="V247" s="17"/>
      <c r="W247" s="17"/>
      <c r="X247" s="17"/>
      <c r="Y247" s="17"/>
      <c r="Z247" s="17"/>
      <c r="AA247" s="17"/>
      <c r="AB247" s="17"/>
      <c r="AC247" s="17"/>
    </row>
    <row r="248" spans="1:29" ht="14.25" hidden="1" customHeight="1">
      <c r="B248" s="216" t="s">
        <v>64</v>
      </c>
      <c r="C248" s="18">
        <f>($C$58+$C$59-663)/113.8*13.8</f>
        <v>-80.398945518453431</v>
      </c>
      <c r="D248" s="18"/>
      <c r="E248" s="7"/>
      <c r="F248" s="393" t="s">
        <v>397</v>
      </c>
      <c r="G248" s="18"/>
      <c r="H248" s="18"/>
      <c r="I248" s="18"/>
      <c r="J248" s="18"/>
      <c r="K248" s="18"/>
      <c r="L248" s="18"/>
      <c r="M248" s="18"/>
      <c r="N248" s="17"/>
      <c r="O248" s="17"/>
      <c r="P248" s="17"/>
      <c r="Q248" s="17"/>
      <c r="R248" s="17"/>
      <c r="S248" s="17"/>
      <c r="T248" s="17"/>
      <c r="U248" s="17"/>
      <c r="V248" s="17"/>
      <c r="W248" s="17"/>
      <c r="X248" s="17"/>
      <c r="Y248" s="17"/>
      <c r="Z248" s="17"/>
      <c r="AA248" s="17"/>
      <c r="AB248" s="17"/>
      <c r="AC248" s="17"/>
    </row>
    <row r="249" spans="1:29" hidden="1">
      <c r="B249" s="216"/>
      <c r="C249" s="214">
        <v>0</v>
      </c>
      <c r="D249" s="214">
        <f>MAX(C248:C249)</f>
        <v>0</v>
      </c>
      <c r="E249" s="7"/>
      <c r="F249" s="216"/>
      <c r="G249" s="18"/>
      <c r="H249" s="18"/>
      <c r="I249" s="18"/>
      <c r="J249" s="18"/>
      <c r="K249" s="18"/>
      <c r="L249" s="18"/>
      <c r="M249" s="18"/>
      <c r="N249" s="17"/>
      <c r="O249" s="17"/>
      <c r="P249" s="17"/>
      <c r="Q249" s="17"/>
      <c r="R249" s="17"/>
      <c r="S249" s="17"/>
      <c r="T249" s="17"/>
      <c r="U249" s="17"/>
      <c r="V249" s="17"/>
      <c r="W249" s="17"/>
      <c r="X249" s="17"/>
      <c r="Y249" s="17"/>
      <c r="Z249" s="17"/>
      <c r="AA249" s="17"/>
      <c r="AB249" s="17"/>
      <c r="AC249" s="17"/>
    </row>
    <row r="250" spans="1:29" hidden="1">
      <c r="B250" s="216" t="s">
        <v>65</v>
      </c>
      <c r="C250" s="18">
        <f>IF((D247&lt;3488.75), ((D247-663)*0.12),((3488.75-663)*0.12))</f>
        <v>-79.56</v>
      </c>
      <c r="D250" s="18"/>
      <c r="E250" s="7"/>
      <c r="F250" s="393" t="s">
        <v>398</v>
      </c>
      <c r="G250" s="18"/>
      <c r="H250" s="18"/>
      <c r="I250" s="18"/>
      <c r="J250" s="18"/>
      <c r="K250" s="18"/>
      <c r="L250" s="18"/>
      <c r="M250" s="18"/>
      <c r="N250" s="17"/>
      <c r="O250" s="17"/>
      <c r="P250" s="17"/>
      <c r="Q250" s="17"/>
      <c r="R250" s="17"/>
      <c r="S250" s="17"/>
      <c r="T250" s="17"/>
      <c r="U250" s="17"/>
      <c r="V250" s="17"/>
      <c r="W250" s="17"/>
      <c r="X250" s="17"/>
      <c r="Y250" s="17"/>
      <c r="Z250" s="17"/>
      <c r="AA250" s="17"/>
      <c r="AB250" s="17"/>
      <c r="AC250" s="17"/>
    </row>
    <row r="251" spans="1:29" hidden="1">
      <c r="B251" s="216"/>
      <c r="C251" s="214">
        <v>0</v>
      </c>
      <c r="D251" s="214">
        <f>MAX(C250:C251)</f>
        <v>0</v>
      </c>
      <c r="E251" s="7"/>
      <c r="F251" s="216"/>
      <c r="G251" s="18"/>
      <c r="H251" s="18"/>
      <c r="I251" s="18"/>
      <c r="J251" s="18"/>
      <c r="K251" s="18"/>
      <c r="L251" s="18"/>
      <c r="M251" s="18"/>
      <c r="N251" s="17"/>
      <c r="O251" s="17"/>
      <c r="P251" s="17"/>
      <c r="Q251" s="17"/>
      <c r="R251" s="17"/>
      <c r="S251" s="17"/>
      <c r="T251" s="17"/>
      <c r="U251" s="17"/>
      <c r="V251" s="17"/>
      <c r="W251" s="17"/>
      <c r="X251" s="17"/>
      <c r="Y251" s="17"/>
      <c r="Z251" s="17"/>
      <c r="AA251" s="17"/>
      <c r="AB251" s="17"/>
      <c r="AC251" s="17"/>
    </row>
    <row r="252" spans="1:29" hidden="1">
      <c r="B252" s="216" t="s">
        <v>120</v>
      </c>
      <c r="C252" s="18">
        <f>(D247-3488.75)*0.02</f>
        <v>-69.775000000000006</v>
      </c>
      <c r="D252" s="18"/>
      <c r="E252" s="7"/>
      <c r="F252" s="393" t="s">
        <v>399</v>
      </c>
      <c r="G252" s="18"/>
      <c r="H252" s="18"/>
      <c r="I252" s="18"/>
      <c r="J252" s="18"/>
      <c r="K252" s="18"/>
      <c r="L252" s="18"/>
      <c r="M252" s="18"/>
      <c r="N252" s="17"/>
      <c r="O252" s="17"/>
      <c r="P252" s="17"/>
      <c r="Q252" s="17"/>
      <c r="R252" s="17"/>
      <c r="S252" s="17"/>
      <c r="T252" s="17"/>
      <c r="U252" s="17"/>
      <c r="V252" s="17"/>
      <c r="W252" s="17"/>
      <c r="X252" s="17"/>
      <c r="Y252" s="17"/>
      <c r="Z252" s="17"/>
      <c r="AA252" s="17"/>
      <c r="AB252" s="17"/>
      <c r="AC252" s="17"/>
    </row>
    <row r="253" spans="1:29" hidden="1">
      <c r="B253" s="217"/>
      <c r="C253" s="214">
        <v>0</v>
      </c>
      <c r="D253" s="214">
        <f>MAX(C252:C253)</f>
        <v>0</v>
      </c>
      <c r="E253" s="7"/>
      <c r="F253" s="216"/>
      <c r="G253" s="18"/>
      <c r="H253" s="18"/>
      <c r="I253" s="18"/>
      <c r="J253" s="18"/>
      <c r="K253" s="18"/>
      <c r="L253" s="18"/>
      <c r="M253" s="18"/>
      <c r="N253" s="17"/>
      <c r="O253" s="17"/>
      <c r="P253" s="17"/>
      <c r="Q253" s="17"/>
      <c r="R253" s="17"/>
      <c r="S253" s="17"/>
      <c r="T253" s="17"/>
      <c r="U253" s="17"/>
      <c r="V253" s="17"/>
      <c r="W253" s="17"/>
      <c r="X253" s="17"/>
      <c r="Y253" s="17"/>
      <c r="Z253" s="17"/>
      <c r="AA253" s="17"/>
      <c r="AB253" s="17"/>
      <c r="AC253" s="17"/>
    </row>
    <row r="254" spans="1:29" ht="15" hidden="1">
      <c r="B254" s="218" t="s">
        <v>198</v>
      </c>
      <c r="C254" s="71"/>
      <c r="D254" s="71"/>
      <c r="E254" s="219">
        <f>D253+D251+D249</f>
        <v>0</v>
      </c>
      <c r="F254" s="216"/>
      <c r="G254" s="18"/>
      <c r="H254" s="18"/>
      <c r="I254" s="18"/>
      <c r="J254" s="18"/>
      <c r="K254" s="18"/>
      <c r="L254" s="18"/>
      <c r="M254" s="18"/>
      <c r="N254" s="17"/>
      <c r="O254" s="17"/>
      <c r="P254" s="17"/>
      <c r="Q254" s="17"/>
      <c r="R254" s="17"/>
      <c r="S254" s="17"/>
      <c r="T254" s="17"/>
      <c r="U254" s="17"/>
      <c r="V254" s="17"/>
      <c r="W254" s="17"/>
      <c r="X254" s="17"/>
      <c r="Y254" s="17"/>
      <c r="Z254" s="17"/>
      <c r="AA254" s="17"/>
      <c r="AB254" s="17"/>
      <c r="AC254" s="17"/>
    </row>
    <row r="255" spans="1:29" ht="15" hidden="1">
      <c r="D255" s="18"/>
      <c r="E255" s="220"/>
      <c r="F255" s="327" t="s">
        <v>210</v>
      </c>
      <c r="G255" s="18"/>
      <c r="H255" s="18"/>
      <c r="I255" s="18"/>
      <c r="J255" s="18"/>
      <c r="K255" s="18"/>
      <c r="L255" s="18"/>
      <c r="M255" s="18"/>
      <c r="N255" s="17"/>
      <c r="O255" s="17"/>
      <c r="P255" s="17"/>
      <c r="Q255" s="17"/>
      <c r="R255" s="17"/>
      <c r="S255" s="17"/>
      <c r="T255" s="17"/>
      <c r="U255" s="17"/>
      <c r="V255" s="17"/>
      <c r="W255" s="17"/>
      <c r="X255" s="17"/>
      <c r="Y255" s="17"/>
      <c r="Z255" s="17"/>
      <c r="AA255" s="17"/>
      <c r="AB255" s="17"/>
      <c r="AC255" s="17"/>
    </row>
    <row r="256" spans="1:29" ht="15" hidden="1">
      <c r="B256" s="217" t="s">
        <v>199</v>
      </c>
      <c r="C256" s="328">
        <f>IF((D247&lt;12500),0,((D247-12500)*0.45))</f>
        <v>0</v>
      </c>
      <c r="D256" s="214">
        <f>C256</f>
        <v>0</v>
      </c>
      <c r="E256" s="220"/>
      <c r="F256" s="216"/>
      <c r="G256" s="18"/>
      <c r="H256" s="18"/>
      <c r="I256" s="18"/>
      <c r="J256" s="18"/>
      <c r="K256" s="18"/>
      <c r="L256" s="18"/>
      <c r="M256" s="18"/>
      <c r="N256" s="17"/>
      <c r="O256" s="17"/>
      <c r="P256" s="17"/>
      <c r="Q256" s="17"/>
      <c r="R256" s="17"/>
      <c r="S256" s="17"/>
      <c r="T256" s="17"/>
      <c r="U256" s="17"/>
      <c r="V256" s="17"/>
      <c r="W256" s="17"/>
      <c r="X256" s="17"/>
      <c r="Y256" s="17"/>
      <c r="Z256" s="17"/>
      <c r="AA256" s="17"/>
      <c r="AB256" s="17"/>
      <c r="AC256" s="17"/>
    </row>
    <row r="257" spans="1:29" ht="15" hidden="1">
      <c r="B257" s="217" t="s">
        <v>200</v>
      </c>
      <c r="C257" s="20">
        <f>IF((D247&lt;12500),(((D247-8333.33)*0.4)+(833.33*0.4)),(((12500-8333.33)*0.4)+(833.33*0.4)))</f>
        <v>-3000.0000000000005</v>
      </c>
      <c r="D257" s="18"/>
      <c r="E257" s="220"/>
      <c r="F257" s="327" t="s">
        <v>209</v>
      </c>
      <c r="G257" s="18"/>
      <c r="H257" s="18"/>
      <c r="I257" s="18"/>
      <c r="J257" s="18"/>
      <c r="K257" s="18"/>
      <c r="L257" s="18"/>
      <c r="M257" s="18"/>
      <c r="N257" s="17"/>
      <c r="O257" s="17"/>
      <c r="P257" s="17"/>
      <c r="Q257" s="17"/>
      <c r="R257" s="17"/>
      <c r="S257" s="17"/>
      <c r="T257" s="17"/>
      <c r="U257" s="17"/>
      <c r="V257" s="17"/>
      <c r="W257" s="17"/>
      <c r="X257" s="17"/>
      <c r="Y257" s="17"/>
      <c r="Z257" s="17"/>
      <c r="AA257" s="17"/>
      <c r="AB257" s="17"/>
      <c r="AC257" s="17"/>
    </row>
    <row r="258" spans="1:29" ht="15" hidden="1">
      <c r="B258" s="217"/>
      <c r="C258" s="214">
        <v>0</v>
      </c>
      <c r="D258" s="214">
        <f>MAX(C257:C258)</f>
        <v>0</v>
      </c>
      <c r="E258" s="220"/>
      <c r="F258" s="217"/>
      <c r="G258" s="18"/>
      <c r="H258" s="18"/>
      <c r="I258" s="18"/>
      <c r="J258" s="18"/>
      <c r="K258" s="18"/>
      <c r="L258" s="18"/>
      <c r="M258" s="18"/>
      <c r="N258" s="17"/>
      <c r="O258" s="17"/>
      <c r="P258" s="17"/>
      <c r="Q258" s="17"/>
      <c r="R258" s="17"/>
      <c r="S258" s="17"/>
      <c r="T258" s="17"/>
      <c r="U258" s="17"/>
      <c r="V258" s="17"/>
      <c r="W258" s="17"/>
      <c r="X258" s="17"/>
      <c r="Y258" s="17"/>
      <c r="Z258" s="17"/>
      <c r="AA258" s="17"/>
      <c r="AB258" s="17"/>
      <c r="AC258" s="17"/>
    </row>
    <row r="259" spans="1:29" ht="15" hidden="1">
      <c r="B259" s="216" t="s">
        <v>201</v>
      </c>
      <c r="C259" s="20">
        <f>IF((D247&lt;8333.33),((D247-3488.75)*0.4),((8333.33-3488.75)*0.4))</f>
        <v>-1395.5</v>
      </c>
      <c r="D259" s="18"/>
      <c r="E259" s="220"/>
      <c r="F259" s="393" t="s">
        <v>400</v>
      </c>
      <c r="G259" s="18"/>
      <c r="H259" s="18"/>
      <c r="I259" s="18"/>
      <c r="J259" s="18"/>
      <c r="K259" s="18"/>
      <c r="L259" s="18"/>
      <c r="M259" s="18"/>
      <c r="N259" s="17"/>
      <c r="O259" s="17"/>
      <c r="P259" s="17"/>
      <c r="Q259" s="17"/>
      <c r="R259" s="17"/>
      <c r="S259" s="17"/>
      <c r="T259" s="17"/>
      <c r="U259" s="17"/>
      <c r="V259" s="17"/>
      <c r="W259" s="17"/>
      <c r="X259" s="17"/>
      <c r="Y259" s="17"/>
      <c r="Z259" s="17"/>
      <c r="AA259" s="17"/>
      <c r="AB259" s="17"/>
      <c r="AC259" s="17"/>
    </row>
    <row r="260" spans="1:29" ht="15" hidden="1">
      <c r="B260" s="216"/>
      <c r="C260" s="214">
        <v>0</v>
      </c>
      <c r="D260" s="214">
        <f>MAX(C259:C260)</f>
        <v>0</v>
      </c>
      <c r="E260" s="220"/>
      <c r="F260" s="393" t="s">
        <v>401</v>
      </c>
      <c r="G260" s="18"/>
      <c r="H260" s="18"/>
      <c r="I260" s="18"/>
      <c r="J260" s="18"/>
      <c r="K260" s="18"/>
      <c r="L260" s="18"/>
      <c r="M260" s="18"/>
      <c r="N260" s="17"/>
      <c r="O260" s="17"/>
      <c r="P260" s="17"/>
      <c r="Q260" s="17"/>
      <c r="R260" s="17"/>
      <c r="S260" s="17"/>
      <c r="T260" s="17"/>
      <c r="U260" s="17"/>
      <c r="V260" s="17"/>
      <c r="W260" s="17"/>
      <c r="X260" s="17"/>
      <c r="Y260" s="17"/>
      <c r="Z260" s="17"/>
      <c r="AA260" s="17"/>
      <c r="AB260" s="17"/>
      <c r="AC260" s="17"/>
    </row>
    <row r="261" spans="1:29" ht="15" hidden="1">
      <c r="B261" s="216" t="s">
        <v>202</v>
      </c>
      <c r="C261" s="20">
        <f>IF((D247&lt;3488.75),((D247-833.33)*0.2),(2655.42*0.2))</f>
        <v>-166.66600000000003</v>
      </c>
      <c r="D261" s="18"/>
      <c r="E261" s="221"/>
      <c r="F261" s="393" t="s">
        <v>402</v>
      </c>
      <c r="G261" s="18"/>
      <c r="H261" s="18"/>
      <c r="I261" s="18"/>
      <c r="J261" s="18"/>
      <c r="K261" s="18"/>
      <c r="L261" s="18"/>
      <c r="M261" s="18"/>
      <c r="N261" s="17"/>
      <c r="O261" s="17"/>
      <c r="P261" s="17"/>
      <c r="Q261" s="17"/>
      <c r="R261" s="17"/>
      <c r="S261" s="17"/>
      <c r="T261" s="17"/>
      <c r="U261" s="17"/>
      <c r="V261" s="17"/>
      <c r="W261" s="17"/>
      <c r="X261" s="17"/>
      <c r="Y261" s="17"/>
      <c r="Z261" s="17"/>
      <c r="AA261" s="17"/>
      <c r="AB261" s="17"/>
      <c r="AC261" s="17"/>
    </row>
    <row r="262" spans="1:29" ht="15" hidden="1">
      <c r="B262" s="216"/>
      <c r="C262" s="214">
        <v>0</v>
      </c>
      <c r="D262" s="214">
        <f>MAX(C261:C262)</f>
        <v>0</v>
      </c>
      <c r="E262" s="220"/>
      <c r="H262" s="18"/>
      <c r="I262" s="18"/>
      <c r="J262" s="18"/>
      <c r="K262" s="18"/>
      <c r="L262" s="18"/>
      <c r="M262" s="18"/>
      <c r="N262" s="17"/>
      <c r="O262" s="17"/>
      <c r="P262" s="17"/>
      <c r="Q262" s="17"/>
      <c r="R262" s="17"/>
      <c r="S262" s="17"/>
      <c r="T262" s="17"/>
      <c r="U262" s="17"/>
      <c r="V262" s="17"/>
      <c r="W262" s="17"/>
      <c r="X262" s="17"/>
      <c r="Y262" s="17"/>
      <c r="Z262" s="17"/>
      <c r="AA262" s="17"/>
      <c r="AB262" s="17"/>
      <c r="AC262" s="17"/>
    </row>
    <row r="263" spans="1:29" ht="15" hidden="1">
      <c r="B263" s="216" t="s">
        <v>203</v>
      </c>
      <c r="C263" s="329">
        <v>0</v>
      </c>
      <c r="D263" s="329">
        <v>0</v>
      </c>
      <c r="E263" s="220"/>
    </row>
    <row r="264" spans="1:29" ht="15" hidden="1">
      <c r="B264" s="330" t="s">
        <v>204</v>
      </c>
      <c r="C264" s="20"/>
      <c r="E264" s="219">
        <f>D263+D262+D260+D258+D256</f>
        <v>0</v>
      </c>
    </row>
    <row r="265" spans="1:29" ht="15.75" hidden="1" thickBot="1">
      <c r="B265" s="330" t="s">
        <v>69</v>
      </c>
      <c r="C265" s="20"/>
      <c r="E265" s="331">
        <f>E254+E264</f>
        <v>0</v>
      </c>
    </row>
    <row r="266" spans="1:29" ht="13.5" hidden="1" thickTop="1"/>
    <row r="267" spans="1:29" hidden="1"/>
    <row r="268" spans="1:29" ht="15" hidden="1">
      <c r="A268" s="211" t="s">
        <v>318</v>
      </c>
      <c r="B268" s="17"/>
      <c r="D268" s="212"/>
      <c r="E268" s="17"/>
      <c r="F268" s="17"/>
    </row>
    <row r="269" spans="1:29" hidden="1">
      <c r="B269" s="18"/>
      <c r="C269" s="18"/>
      <c r="D269" s="18"/>
      <c r="E269" s="18"/>
      <c r="F269" s="18"/>
    </row>
    <row r="270" spans="1:29" ht="15" hidden="1">
      <c r="B270" s="213" t="s">
        <v>196</v>
      </c>
      <c r="C270" s="214"/>
      <c r="D270" s="214">
        <f>$C$58+$C$59-D272</f>
        <v>0</v>
      </c>
      <c r="E270" s="18"/>
      <c r="F270" s="215" t="s">
        <v>197</v>
      </c>
    </row>
    <row r="271" spans="1:29" hidden="1">
      <c r="B271" s="216" t="s">
        <v>64</v>
      </c>
      <c r="C271" s="18">
        <f>($C$58+$C$59-641)/113.8*13.8</f>
        <v>-77.7311072056239</v>
      </c>
      <c r="D271" s="18"/>
      <c r="E271" s="7"/>
      <c r="F271" s="393" t="s">
        <v>324</v>
      </c>
    </row>
    <row r="272" spans="1:29" hidden="1">
      <c r="B272" s="216"/>
      <c r="C272" s="214">
        <v>0</v>
      </c>
      <c r="D272" s="214">
        <f>MAX(C271:C272)</f>
        <v>0</v>
      </c>
      <c r="E272" s="7"/>
      <c r="F272" s="216"/>
    </row>
    <row r="273" spans="2:6" hidden="1">
      <c r="B273" s="216" t="s">
        <v>65</v>
      </c>
      <c r="C273" s="18">
        <f>IF((D248&lt;3454.17), ((D248-645)*0.12),((3539.58-645)*0.12))</f>
        <v>-77.399999999999991</v>
      </c>
      <c r="D273" s="18"/>
      <c r="E273" s="7"/>
      <c r="F273" s="393" t="s">
        <v>323</v>
      </c>
    </row>
    <row r="274" spans="2:6" hidden="1">
      <c r="B274" s="216"/>
      <c r="C274" s="214">
        <v>0</v>
      </c>
      <c r="D274" s="214">
        <f>MAX(C273:C274)</f>
        <v>0</v>
      </c>
      <c r="E274" s="7"/>
      <c r="F274" s="216"/>
    </row>
    <row r="275" spans="2:6" hidden="1">
      <c r="B275" s="216" t="s">
        <v>120</v>
      </c>
      <c r="C275" s="18">
        <f>(D248-3454.17)*0.02</f>
        <v>-69.083399999999997</v>
      </c>
      <c r="D275" s="18"/>
      <c r="E275" s="7"/>
      <c r="F275" s="393" t="s">
        <v>322</v>
      </c>
    </row>
    <row r="276" spans="2:6" hidden="1">
      <c r="B276" s="217"/>
      <c r="C276" s="214">
        <v>0</v>
      </c>
      <c r="D276" s="214">
        <f>MAX(C275:C276)</f>
        <v>0</v>
      </c>
      <c r="E276" s="7"/>
      <c r="F276" s="216"/>
    </row>
    <row r="277" spans="2:6" ht="15" hidden="1">
      <c r="B277" s="218" t="s">
        <v>198</v>
      </c>
      <c r="C277" s="71"/>
      <c r="D277" s="71"/>
      <c r="E277" s="219">
        <f>D276+D274+D272</f>
        <v>0</v>
      </c>
      <c r="F277" s="216"/>
    </row>
    <row r="278" spans="2:6" ht="15" hidden="1">
      <c r="D278" s="18"/>
      <c r="E278" s="220"/>
      <c r="F278" s="327" t="s">
        <v>210</v>
      </c>
    </row>
    <row r="279" spans="2:6" ht="15" hidden="1">
      <c r="B279" s="217" t="s">
        <v>199</v>
      </c>
      <c r="C279" s="328">
        <f>IF((D248&lt;12500),0,((D248-12500)*0.45))</f>
        <v>0</v>
      </c>
      <c r="D279" s="214">
        <f>C279</f>
        <v>0</v>
      </c>
      <c r="E279" s="220"/>
      <c r="F279" s="216"/>
    </row>
    <row r="280" spans="2:6" ht="15" hidden="1">
      <c r="B280" s="217" t="s">
        <v>200</v>
      </c>
      <c r="C280" s="20">
        <f>IF((D248&lt;12500),(((D248-8333.33)*0.4)+(786.67*0.4)),(((12500-8333.33)*0.4)+(786.67*0.4)))</f>
        <v>-3018.6640000000002</v>
      </c>
      <c r="D280" s="18"/>
      <c r="E280" s="220"/>
      <c r="F280" s="327" t="s">
        <v>209</v>
      </c>
    </row>
    <row r="281" spans="2:6" ht="15" hidden="1">
      <c r="B281" s="217"/>
      <c r="C281" s="214">
        <v>0</v>
      </c>
      <c r="D281" s="214">
        <f>MAX(C280:C281)</f>
        <v>0</v>
      </c>
      <c r="E281" s="220"/>
      <c r="F281" s="217"/>
    </row>
    <row r="282" spans="2:6" ht="15" hidden="1">
      <c r="B282" s="216" t="s">
        <v>201</v>
      </c>
      <c r="C282" s="20">
        <f>IF((D248&lt;8333.33),((D248-3454.17)*0.4),((8333.33-3454.17)*0.4))</f>
        <v>-1381.6680000000001</v>
      </c>
      <c r="D282" s="18"/>
      <c r="E282" s="220"/>
      <c r="F282" s="393" t="s">
        <v>321</v>
      </c>
    </row>
    <row r="283" spans="2:6" ht="15" hidden="1">
      <c r="B283" s="216"/>
      <c r="C283" s="214">
        <v>0</v>
      </c>
      <c r="D283" s="214">
        <f>MAX(C282:C283)</f>
        <v>0</v>
      </c>
      <c r="E283" s="220"/>
      <c r="F283" s="393" t="s">
        <v>320</v>
      </c>
    </row>
    <row r="284" spans="2:6" ht="15" hidden="1">
      <c r="B284" s="216" t="s">
        <v>202</v>
      </c>
      <c r="C284" s="20">
        <f>IF((D248&lt;3454.17),((D248-786.67)*0.2),(2667.5*0.2))</f>
        <v>-157.334</v>
      </c>
      <c r="D284" s="18"/>
      <c r="E284" s="221"/>
      <c r="F284" s="393" t="s">
        <v>319</v>
      </c>
    </row>
    <row r="285" spans="2:6" ht="15" hidden="1">
      <c r="B285" s="216"/>
      <c r="C285" s="214">
        <v>0</v>
      </c>
      <c r="D285" s="214">
        <f>MAX(C284:C285)</f>
        <v>0</v>
      </c>
      <c r="E285" s="220"/>
    </row>
    <row r="286" spans="2:6" ht="15" hidden="1">
      <c r="B286" s="216" t="s">
        <v>203</v>
      </c>
      <c r="C286" s="329">
        <v>0</v>
      </c>
      <c r="D286" s="329">
        <v>0</v>
      </c>
      <c r="E286" s="220"/>
    </row>
    <row r="287" spans="2:6" ht="15" hidden="1">
      <c r="B287" s="330" t="s">
        <v>204</v>
      </c>
      <c r="C287" s="20"/>
      <c r="E287" s="219">
        <f>D286+D285+D283+D281+D279</f>
        <v>0</v>
      </c>
    </row>
    <row r="288" spans="2:6" ht="15.75" hidden="1" thickBot="1">
      <c r="B288" s="330" t="s">
        <v>69</v>
      </c>
      <c r="C288" s="20"/>
      <c r="E288" s="331">
        <f>E277+E287</f>
        <v>0</v>
      </c>
    </row>
    <row r="289" spans="1:7" ht="13.5" hidden="1" thickTop="1">
      <c r="B289" s="20"/>
      <c r="C289" s="20"/>
    </row>
    <row r="290" spans="1:7">
      <c r="B290" s="20"/>
      <c r="C290" s="20"/>
    </row>
    <row r="291" spans="1:7" ht="15">
      <c r="A291" s="394"/>
      <c r="B291" s="344"/>
      <c r="C291" s="17"/>
      <c r="D291" s="344"/>
      <c r="E291" s="344"/>
      <c r="F291" s="215"/>
      <c r="G291" s="344"/>
    </row>
    <row r="292" spans="1:7" ht="15">
      <c r="A292" s="17"/>
      <c r="B292" s="213"/>
      <c r="C292" s="18"/>
      <c r="D292" s="18"/>
      <c r="E292" s="18"/>
      <c r="F292" s="216"/>
      <c r="G292" s="344"/>
    </row>
    <row r="293" spans="1:7">
      <c r="A293" s="17"/>
      <c r="B293" s="216"/>
      <c r="C293" s="18"/>
      <c r="D293" s="18"/>
      <c r="E293" s="17"/>
      <c r="F293" s="216"/>
      <c r="G293" s="344"/>
    </row>
    <row r="294" spans="1:7">
      <c r="A294" s="17"/>
      <c r="B294" s="216"/>
      <c r="C294" s="18"/>
      <c r="D294" s="18"/>
      <c r="E294" s="17"/>
      <c r="F294" s="216"/>
      <c r="G294" s="344"/>
    </row>
  </sheetData>
  <phoneticPr fontId="0" type="noConversion"/>
  <conditionalFormatting sqref="G165:G196">
    <cfRule type="expression" dxfId="44" priority="80" stopIfTrue="1">
      <formula>$E$12&gt;0</formula>
    </cfRule>
    <cfRule type="expression" priority="81" stopIfTrue="1">
      <formula>$E$12 &gt;0</formula>
    </cfRule>
  </conditionalFormatting>
  <conditionalFormatting sqref="G165:G196">
    <cfRule type="expression" dxfId="43" priority="79" stopIfTrue="1">
      <formula>$E$12&gt;0</formula>
    </cfRule>
  </conditionalFormatting>
  <conditionalFormatting sqref="G165:G196">
    <cfRule type="expression" dxfId="42" priority="78" stopIfTrue="1">
      <formula>"e12&gt;0"</formula>
    </cfRule>
  </conditionalFormatting>
  <conditionalFormatting sqref="G96:G164">
    <cfRule type="expression" dxfId="41" priority="76" stopIfTrue="1">
      <formula>$E$12&gt;0</formula>
    </cfRule>
    <cfRule type="expression" priority="77" stopIfTrue="1">
      <formula>$E$12 &gt;0</formula>
    </cfRule>
  </conditionalFormatting>
  <conditionalFormatting sqref="G96:G164">
    <cfRule type="expression" dxfId="40" priority="75" stopIfTrue="1">
      <formula>$E$12&gt;0</formula>
    </cfRule>
  </conditionalFormatting>
  <conditionalFormatting sqref="G96:G164">
    <cfRule type="expression" dxfId="39" priority="74" stopIfTrue="1">
      <formula>"e12&gt;0"</formula>
    </cfRule>
  </conditionalFormatting>
  <conditionalFormatting sqref="G94:G95">
    <cfRule type="expression" dxfId="38" priority="42" stopIfTrue="1">
      <formula>$E$12&gt;0</formula>
    </cfRule>
  </conditionalFormatting>
  <conditionalFormatting sqref="G94:G95">
    <cfRule type="expression" dxfId="37" priority="43" stopIfTrue="1">
      <formula>$E$12&gt;0</formula>
    </cfRule>
    <cfRule type="expression" priority="44" stopIfTrue="1">
      <formula>$E$12 &gt;0</formula>
    </cfRule>
  </conditionalFormatting>
  <conditionalFormatting sqref="G94:G95">
    <cfRule type="expression" dxfId="36" priority="41" stopIfTrue="1">
      <formula>"e12&gt;0"</formula>
    </cfRule>
  </conditionalFormatting>
  <conditionalFormatting sqref="G93">
    <cfRule type="expression" dxfId="35" priority="38" stopIfTrue="1">
      <formula>$E$12&gt;0</formula>
    </cfRule>
  </conditionalFormatting>
  <conditionalFormatting sqref="G93">
    <cfRule type="expression" dxfId="34" priority="39" stopIfTrue="1">
      <formula>$E$12&gt;0</formula>
    </cfRule>
    <cfRule type="expression" priority="40" stopIfTrue="1">
      <formula>$E$12 &gt;0</formula>
    </cfRule>
  </conditionalFormatting>
  <conditionalFormatting sqref="G93">
    <cfRule type="expression" dxfId="33" priority="37" stopIfTrue="1">
      <formula>"e12&gt;0"</formula>
    </cfRule>
  </conditionalFormatting>
  <conditionalFormatting sqref="G91">
    <cfRule type="expression" dxfId="32" priority="35" stopIfTrue="1">
      <formula>$E$12&gt;0</formula>
    </cfRule>
    <cfRule type="expression" priority="36" stopIfTrue="1">
      <formula>$E$12 &gt;0</formula>
    </cfRule>
  </conditionalFormatting>
  <conditionalFormatting sqref="G91">
    <cfRule type="expression" dxfId="31" priority="34" stopIfTrue="1">
      <formula>$E$12&gt;0</formula>
    </cfRule>
  </conditionalFormatting>
  <conditionalFormatting sqref="G91">
    <cfRule type="expression" dxfId="30" priority="33" stopIfTrue="1">
      <formula>"e12&gt;0"</formula>
    </cfRule>
  </conditionalFormatting>
  <conditionalFormatting sqref="G90">
    <cfRule type="expression" dxfId="29" priority="31" stopIfTrue="1">
      <formula>$E$12&gt;0</formula>
    </cfRule>
    <cfRule type="expression" priority="32" stopIfTrue="1">
      <formula>$E$12 &gt;0</formula>
    </cfRule>
  </conditionalFormatting>
  <conditionalFormatting sqref="G90">
    <cfRule type="expression" dxfId="28" priority="30" stopIfTrue="1">
      <formula>$E$12&gt;0</formula>
    </cfRule>
  </conditionalFormatting>
  <conditionalFormatting sqref="G90">
    <cfRule type="expression" dxfId="27" priority="29" stopIfTrue="1">
      <formula>"e12&gt;0"</formula>
    </cfRule>
  </conditionalFormatting>
  <conditionalFormatting sqref="G82 G87:G88">
    <cfRule type="expression" dxfId="26" priority="22">
      <formula>$E$12&gt;0</formula>
    </cfRule>
  </conditionalFormatting>
  <conditionalFormatting sqref="G82 G87:G88">
    <cfRule type="expression" dxfId="25" priority="23">
      <formula>$E$12&gt;0</formula>
    </cfRule>
  </conditionalFormatting>
  <conditionalFormatting sqref="G82 G87:G88">
    <cfRule type="expression" dxfId="24" priority="24">
      <formula>"e12&gt;0"</formula>
    </cfRule>
  </conditionalFormatting>
  <conditionalFormatting sqref="G82 G87:G88">
    <cfRule type="expression" dxfId="23" priority="25">
      <formula>$E$12&gt;0</formula>
    </cfRule>
  </conditionalFormatting>
  <conditionalFormatting sqref="G82 G87:G88">
    <cfRule type="expression" dxfId="22" priority="26">
      <formula>$E$12</formula>
    </cfRule>
  </conditionalFormatting>
  <conditionalFormatting sqref="G82 G87:G88">
    <cfRule type="expression" dxfId="21" priority="27">
      <formula>$E$12</formula>
    </cfRule>
  </conditionalFormatting>
  <conditionalFormatting sqref="G82 G87:G88">
    <cfRule type="expression" dxfId="20" priority="28">
      <formula>"e12&gt;0"</formula>
    </cfRule>
  </conditionalFormatting>
  <conditionalFormatting sqref="G89">
    <cfRule type="expression" dxfId="19" priority="19">
      <formula>$E$12&gt;0</formula>
    </cfRule>
  </conditionalFormatting>
  <conditionalFormatting sqref="G89">
    <cfRule type="expression" dxfId="18" priority="20">
      <formula>$E$12&gt;0</formula>
    </cfRule>
  </conditionalFormatting>
  <conditionalFormatting sqref="G89">
    <cfRule type="expression" dxfId="17" priority="21">
      <formula>"e12&gt;0"</formula>
    </cfRule>
  </conditionalFormatting>
  <conditionalFormatting sqref="G83:G86">
    <cfRule type="expression" dxfId="16" priority="12">
      <formula>$E$12&gt;0</formula>
    </cfRule>
  </conditionalFormatting>
  <conditionalFormatting sqref="G83:G86">
    <cfRule type="expression" dxfId="15" priority="13">
      <formula>$E$12&gt;0</formula>
    </cfRule>
  </conditionalFormatting>
  <conditionalFormatting sqref="G83:G86">
    <cfRule type="expression" dxfId="14" priority="14">
      <formula>"e12&gt;0"</formula>
    </cfRule>
  </conditionalFormatting>
  <conditionalFormatting sqref="G83:G86">
    <cfRule type="expression" dxfId="13" priority="15">
      <formula>$E$12&gt;0</formula>
    </cfRule>
  </conditionalFormatting>
  <conditionalFormatting sqref="G83:G86">
    <cfRule type="expression" dxfId="12" priority="16">
      <formula>$E$12</formula>
    </cfRule>
  </conditionalFormatting>
  <conditionalFormatting sqref="G83:G86">
    <cfRule type="expression" dxfId="11" priority="17">
      <formula>$E$12</formula>
    </cfRule>
  </conditionalFormatting>
  <conditionalFormatting sqref="G83:G86">
    <cfRule type="expression" dxfId="10" priority="18">
      <formula>"e12&gt;0"</formula>
    </cfRule>
  </conditionalFormatting>
  <conditionalFormatting sqref="G92">
    <cfRule type="expression" dxfId="9" priority="9" stopIfTrue="1">
      <formula>$E$12&gt;0</formula>
    </cfRule>
  </conditionalFormatting>
  <conditionalFormatting sqref="G92">
    <cfRule type="expression" dxfId="8" priority="10" stopIfTrue="1">
      <formula>$E$12&gt;0</formula>
    </cfRule>
    <cfRule type="expression" priority="11" stopIfTrue="1">
      <formula>$E$12 &gt;0</formula>
    </cfRule>
  </conditionalFormatting>
  <conditionalFormatting sqref="G92">
    <cfRule type="expression" dxfId="7" priority="8" stopIfTrue="1">
      <formula>"e12&gt;0"</formula>
    </cfRule>
  </conditionalFormatting>
  <conditionalFormatting sqref="G80:G81">
    <cfRule type="expression" dxfId="6" priority="1">
      <formula>$E$12&gt;0</formula>
    </cfRule>
  </conditionalFormatting>
  <conditionalFormatting sqref="G80:G81">
    <cfRule type="expression" dxfId="5" priority="2">
      <formula>$E$12&gt;0</formula>
    </cfRule>
  </conditionalFormatting>
  <conditionalFormatting sqref="G80:G81">
    <cfRule type="expression" dxfId="4" priority="3">
      <formula>"e12&gt;0"</formula>
    </cfRule>
  </conditionalFormatting>
  <conditionalFormatting sqref="G80:G81">
    <cfRule type="expression" dxfId="3" priority="4">
      <formula>$E$12&gt;0</formula>
    </cfRule>
  </conditionalFormatting>
  <conditionalFormatting sqref="G80:G81">
    <cfRule type="expression" dxfId="2" priority="5">
      <formula>$E$12</formula>
    </cfRule>
  </conditionalFormatting>
  <conditionalFormatting sqref="G80:G81">
    <cfRule type="expression" dxfId="1" priority="6">
      <formula>$E$12</formula>
    </cfRule>
  </conditionalFormatting>
  <conditionalFormatting sqref="G80:G81">
    <cfRule type="expression" dxfId="0" priority="7">
      <formula>"e12&gt;0"</formula>
    </cfRule>
  </conditionalFormatting>
  <pageMargins left="0.74803149606299213" right="0.74803149606299213" top="0.98425196850393704" bottom="0.98425196850393704" header="0.51181102362204722" footer="0.51181102362204722"/>
  <pageSetup paperSize="9" scale="47" fitToHeight="4" orientation="landscape" horizontalDpi="300" verticalDpi="300" r:id="rId1"/>
  <headerFooter alignWithMargins="0">
    <oddFooter>&amp;C&amp;"Bodoni Bd BT,Bold Italic"&amp;9Page &amp;P of &amp;N</oddFooter>
  </headerFooter>
  <ignoredErrors>
    <ignoredError sqref="E216:F216 D41:E52 B41 E9 E1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12" r:id="rId4" name="Check Box 20">
              <controlPr defaultSize="0" autoFill="0" autoLine="0" autoPict="0">
                <anchor moveWithCells="1">
                  <from>
                    <xdr:col>6</xdr:col>
                    <xdr:colOff>66675</xdr:colOff>
                    <xdr:row>214</xdr:row>
                    <xdr:rowOff>142875</xdr:rowOff>
                  </from>
                  <to>
                    <xdr:col>7</xdr:col>
                    <xdr:colOff>561975</xdr:colOff>
                    <xdr:row>216</xdr:row>
                    <xdr:rowOff>28575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993366"/>
    <pageSetUpPr fitToPage="1"/>
  </sheetPr>
  <dimension ref="A1:AE70"/>
  <sheetViews>
    <sheetView showZeros="0" tabSelected="1" topLeftCell="A34" zoomScale="115" zoomScaleNormal="115" workbookViewId="0">
      <selection activeCell="A61" sqref="A61:B64"/>
    </sheetView>
  </sheetViews>
  <sheetFormatPr defaultColWidth="9.140625" defaultRowHeight="12.75"/>
  <cols>
    <col min="1" max="1" width="18.42578125" style="17" customWidth="1"/>
    <col min="2" max="2" width="11.7109375" style="121" customWidth="1"/>
    <col min="3" max="3" width="15.7109375" style="121" customWidth="1"/>
    <col min="4" max="5" width="11.7109375" style="121" customWidth="1"/>
    <col min="6" max="6" width="14.7109375" style="17" customWidth="1"/>
    <col min="7" max="7" width="19.85546875" style="121" customWidth="1"/>
    <col min="8" max="11" width="11.7109375" style="121" customWidth="1"/>
    <col min="12" max="12" width="14.7109375" style="121" customWidth="1"/>
    <col min="13" max="13" width="21.28515625" style="121" customWidth="1"/>
    <col min="14" max="15" width="12.7109375" style="121" customWidth="1"/>
    <col min="16" max="16" width="11.7109375" style="121" customWidth="1"/>
    <col min="17" max="17" width="13.7109375" style="121" customWidth="1"/>
    <col min="18" max="27" width="11.7109375" style="121" customWidth="1"/>
    <col min="28" max="28" width="9.140625" style="17" customWidth="1"/>
    <col min="29" max="29" width="9.85546875" style="17" bestFit="1" customWidth="1"/>
    <col min="30" max="16384" width="9.140625" style="17"/>
  </cols>
  <sheetData>
    <row r="1" spans="1:27" ht="30.75" thickBot="1">
      <c r="A1" s="81" t="str">
        <f>'Nov 17'!A2</f>
        <v>Design-spectrum Limited</v>
      </c>
      <c r="B1" s="119"/>
      <c r="C1" s="119"/>
      <c r="D1" s="119"/>
      <c r="E1" s="119"/>
      <c r="F1" s="82"/>
      <c r="G1" s="119"/>
      <c r="H1" s="119"/>
      <c r="I1" s="119"/>
      <c r="J1" s="119"/>
      <c r="K1" s="119"/>
      <c r="L1" s="119"/>
      <c r="M1" s="119"/>
      <c r="N1" s="119"/>
      <c r="O1" s="119"/>
      <c r="P1" s="119"/>
      <c r="Q1" s="119"/>
      <c r="R1" s="119"/>
      <c r="S1" s="119"/>
      <c r="T1" s="119"/>
      <c r="U1" s="119"/>
      <c r="V1" s="119"/>
      <c r="W1" s="119"/>
      <c r="X1" s="119"/>
      <c r="Y1" s="119"/>
      <c r="Z1" s="119"/>
      <c r="AA1" s="139"/>
    </row>
    <row r="2" spans="1:27" ht="13.5" thickBot="1"/>
    <row r="3" spans="1:27" s="76" customFormat="1" ht="30.75" thickBot="1">
      <c r="A3" s="246" t="s">
        <v>79</v>
      </c>
      <c r="B3" s="247"/>
      <c r="C3" s="249">
        <f>'Oct 18'!C4</f>
        <v>43381</v>
      </c>
      <c r="E3" s="246" t="s">
        <v>224</v>
      </c>
      <c r="F3" s="247"/>
      <c r="G3" s="654">
        <f>N24</f>
        <v>17938.382600000001</v>
      </c>
      <c r="I3" s="426" t="s">
        <v>288</v>
      </c>
      <c r="J3" s="248"/>
      <c r="K3" s="298"/>
      <c r="L3" s="299"/>
      <c r="M3" s="654">
        <f>O24</f>
        <v>25689.1574</v>
      </c>
      <c r="O3" s="425" t="s">
        <v>339</v>
      </c>
      <c r="P3" s="424"/>
      <c r="Q3" s="424"/>
      <c r="R3" s="783">
        <f>C47</f>
        <v>1166</v>
      </c>
      <c r="S3" s="784"/>
      <c r="T3" s="120"/>
      <c r="U3" s="120"/>
      <c r="V3" s="120"/>
      <c r="W3" s="120"/>
      <c r="X3" s="120"/>
      <c r="Y3" s="120"/>
      <c r="Z3" s="120"/>
      <c r="AA3" s="120"/>
    </row>
    <row r="4" spans="1:27">
      <c r="L4" s="183"/>
    </row>
    <row r="5" spans="1:27">
      <c r="L5" s="17"/>
      <c r="P5" s="183"/>
    </row>
    <row r="6" spans="1:27" ht="13.5" thickBot="1">
      <c r="S6" s="117"/>
      <c r="T6" s="117"/>
      <c r="U6" s="117"/>
      <c r="V6" s="117"/>
      <c r="W6" s="117"/>
      <c r="X6" s="117"/>
      <c r="Y6" s="117"/>
      <c r="Z6" s="117"/>
      <c r="AA6" s="117"/>
    </row>
    <row r="7" spans="1:27" ht="21" thickBot="1">
      <c r="A7" s="80" t="s">
        <v>0</v>
      </c>
      <c r="B7" s="173"/>
      <c r="C7" s="123"/>
      <c r="D7" s="123"/>
      <c r="E7" s="125"/>
      <c r="F7" s="80" t="s">
        <v>418</v>
      </c>
      <c r="G7" s="123"/>
      <c r="H7" s="123"/>
      <c r="I7" s="123"/>
      <c r="J7" s="123"/>
      <c r="K7" s="125"/>
      <c r="L7" s="146" t="s">
        <v>80</v>
      </c>
      <c r="M7" s="123"/>
      <c r="N7" s="222" t="s">
        <v>123</v>
      </c>
      <c r="O7" s="125"/>
      <c r="P7" s="200"/>
      <c r="Q7" s="223" t="s">
        <v>105</v>
      </c>
      <c r="R7" s="224"/>
      <c r="S7" s="225"/>
      <c r="T7" s="164"/>
      <c r="U7" s="164"/>
      <c r="V7" s="164"/>
      <c r="W7" s="164"/>
      <c r="X7" s="164"/>
      <c r="Y7" s="164"/>
      <c r="Z7" s="164"/>
      <c r="AA7" s="164"/>
    </row>
    <row r="8" spans="1:27" s="134" customFormat="1">
      <c r="A8" s="273"/>
      <c r="B8" s="268"/>
      <c r="C8" s="268"/>
      <c r="D8" s="268"/>
      <c r="E8" s="269"/>
      <c r="F8" s="267"/>
      <c r="G8" s="581"/>
      <c r="H8" s="581" t="s">
        <v>6</v>
      </c>
      <c r="I8" s="581"/>
      <c r="J8" s="581" t="s">
        <v>414</v>
      </c>
      <c r="K8" s="582" t="s">
        <v>6</v>
      </c>
      <c r="L8" s="163" t="s">
        <v>169</v>
      </c>
      <c r="M8" s="147"/>
      <c r="N8" s="280"/>
      <c r="O8" s="300" t="s">
        <v>314</v>
      </c>
      <c r="P8" s="201"/>
      <c r="Q8" s="285"/>
      <c r="R8" s="286"/>
      <c r="S8" s="287"/>
      <c r="T8" s="166"/>
      <c r="U8" s="166"/>
      <c r="V8" s="166"/>
      <c r="W8" s="166"/>
      <c r="X8" s="166"/>
      <c r="Y8" s="166"/>
      <c r="Z8" s="166"/>
      <c r="AA8" s="166"/>
    </row>
    <row r="9" spans="1:27" s="134" customFormat="1">
      <c r="A9" s="274"/>
      <c r="B9" s="275"/>
      <c r="C9" s="275"/>
      <c r="D9" s="275"/>
      <c r="E9" s="276"/>
      <c r="F9" s="270"/>
      <c r="G9" s="583" t="s">
        <v>290</v>
      </c>
      <c r="H9" s="583" t="s">
        <v>412</v>
      </c>
      <c r="I9" s="583" t="s">
        <v>227</v>
      </c>
      <c r="J9" s="583" t="s">
        <v>415</v>
      </c>
      <c r="K9" s="583" t="s">
        <v>412</v>
      </c>
      <c r="L9" s="278" t="s">
        <v>85</v>
      </c>
      <c r="M9" s="254" t="s">
        <v>75</v>
      </c>
      <c r="N9" s="281" t="s">
        <v>139</v>
      </c>
      <c r="O9" s="282" t="s">
        <v>49</v>
      </c>
      <c r="P9" s="202"/>
      <c r="Q9" s="288"/>
      <c r="R9" s="289"/>
      <c r="S9" s="290"/>
      <c r="T9" s="175"/>
      <c r="U9" s="166"/>
      <c r="V9" s="166"/>
      <c r="W9" s="166"/>
      <c r="X9" s="166"/>
      <c r="Y9" s="166"/>
      <c r="Z9" s="166"/>
      <c r="AA9" s="166"/>
    </row>
    <row r="10" spans="1:27" s="134" customFormat="1" ht="13.5" thickBot="1">
      <c r="A10" s="143" t="s">
        <v>84</v>
      </c>
      <c r="B10" s="272" t="s">
        <v>14</v>
      </c>
      <c r="C10" s="272" t="s">
        <v>15</v>
      </c>
      <c r="D10" s="272" t="s">
        <v>16</v>
      </c>
      <c r="E10" s="277" t="s">
        <v>17</v>
      </c>
      <c r="F10" s="271" t="s">
        <v>11</v>
      </c>
      <c r="G10" s="584" t="s">
        <v>411</v>
      </c>
      <c r="H10" s="584" t="s">
        <v>413</v>
      </c>
      <c r="I10" s="584" t="s">
        <v>1</v>
      </c>
      <c r="J10" s="584" t="s">
        <v>416</v>
      </c>
      <c r="K10" s="584" t="s">
        <v>417</v>
      </c>
      <c r="L10" s="279" t="s">
        <v>167</v>
      </c>
      <c r="M10" s="255" t="s">
        <v>168</v>
      </c>
      <c r="N10" s="283" t="s">
        <v>140</v>
      </c>
      <c r="O10" s="284" t="s">
        <v>142</v>
      </c>
      <c r="P10" s="202"/>
      <c r="Q10" s="291" t="s">
        <v>84</v>
      </c>
      <c r="R10" s="292" t="s">
        <v>207</v>
      </c>
      <c r="S10" s="293" t="s">
        <v>108</v>
      </c>
      <c r="T10" s="165"/>
      <c r="U10" s="165"/>
      <c r="V10" s="165"/>
      <c r="W10" s="165"/>
      <c r="X10" s="165"/>
      <c r="Y10" s="165"/>
      <c r="Z10" s="165"/>
      <c r="AA10" s="165"/>
    </row>
    <row r="11" spans="1:27" s="191" customFormat="1">
      <c r="A11" s="185" t="s">
        <v>94</v>
      </c>
      <c r="B11" s="186" t="s">
        <v>20</v>
      </c>
      <c r="C11" s="186" t="s">
        <v>20</v>
      </c>
      <c r="D11" s="186" t="s">
        <v>20</v>
      </c>
      <c r="E11" s="187" t="s">
        <v>20</v>
      </c>
      <c r="F11" s="185" t="s">
        <v>94</v>
      </c>
      <c r="G11" s="186" t="s">
        <v>20</v>
      </c>
      <c r="H11" s="186" t="s">
        <v>20</v>
      </c>
      <c r="I11" s="186"/>
      <c r="J11" s="186"/>
      <c r="K11" s="187"/>
      <c r="L11" s="188"/>
      <c r="M11" s="189"/>
      <c r="N11" s="186"/>
      <c r="O11" s="187">
        <f>'Accountant Calculations'!C51</f>
        <v>0</v>
      </c>
      <c r="P11" s="203"/>
      <c r="Q11" s="226"/>
      <c r="R11" s="227"/>
      <c r="S11" s="650"/>
      <c r="T11" s="190"/>
      <c r="U11" s="190"/>
      <c r="V11" s="190"/>
      <c r="W11" s="190"/>
      <c r="X11" s="190"/>
      <c r="Y11" s="190"/>
      <c r="Z11" s="190"/>
      <c r="AA11" s="190"/>
    </row>
    <row r="12" spans="1:27">
      <c r="A12" s="115">
        <f>'Nov 17'!C4</f>
        <v>43040</v>
      </c>
      <c r="B12" s="121">
        <f>'Nov 17'!D53</f>
        <v>0</v>
      </c>
      <c r="C12" s="121">
        <f>'Nov 17'!E53</f>
        <v>0</v>
      </c>
      <c r="D12" s="121">
        <f>'Nov 17'!F53</f>
        <v>0</v>
      </c>
      <c r="E12" s="122">
        <f>'Nov 17'!G53</f>
        <v>0</v>
      </c>
      <c r="F12" s="115">
        <f>'Nov 17'!C4</f>
        <v>43040</v>
      </c>
      <c r="G12" s="121">
        <f>'Nov 17'!L53</f>
        <v>23100</v>
      </c>
      <c r="H12" s="121">
        <f>'Nov 17'!M53</f>
        <v>0</v>
      </c>
      <c r="I12" s="121">
        <f>'Nov 17'!N53</f>
        <v>0</v>
      </c>
      <c r="J12" s="121">
        <f>'Nov 17'!O53</f>
        <v>0</v>
      </c>
      <c r="K12" s="122">
        <f>'Nov 17'!P53</f>
        <v>1.43</v>
      </c>
      <c r="L12" s="121">
        <f>IF('Accountant Calculations'!B34&gt;0,'Accountant Calculations'!C34+'Accountant Calculations'!E34,0)</f>
        <v>0</v>
      </c>
      <c r="M12" s="122">
        <f>IF('Accountant Calculations'!B34&gt;0,'Accountant Calculations'!D34-'Accountant Calculations'!C34-J35,0)</f>
        <v>0</v>
      </c>
      <c r="N12" s="184">
        <f>IF('Accountant Calculations'!B34&gt;0,(SUM('Accountant Calculations'!B12+H12+K12-L12-M12-F35-G35-H35-I35-J35-M35-N35-O35-P35-Q35-R35-S35-T35-U35-AA35)*0.19),(SUM('Accountant Calculations'!B12+H12+K12-F35-G35-H35-I35-J35-K35-M35-N35-O35-P35-Q35-R35-S35-T35-U35-AA35)*0.19))</f>
        <v>-861.47329999999999</v>
      </c>
      <c r="O12" s="197">
        <f>IF('Accountant Calculations'!B34&gt;0,('Accountant Calculations'!B12+H12+K12-L12-M12-N12-F35-G35-H35-I35-J35-L35-M35-N35-O35-P35-Q35-R35-S35-T35-U35-AA35),('Accountant Calculations'!B12+H12+K12-N12-F35-G35-H35-I35-J35-K35-L35-M35-N35-O35-P35-Q35-R35-S35-T35-U35-Z35-AA35))</f>
        <v>-3829.5967000000001</v>
      </c>
      <c r="P12" s="204"/>
      <c r="Q12" s="229">
        <f>'Nov 17'!C4</f>
        <v>43040</v>
      </c>
      <c r="R12" s="651">
        <f>IF('Nov 17'!$E$12&gt;0,'Nov 17'!$G$62,Summary!E12-Summary!E35)</f>
        <v>0</v>
      </c>
      <c r="S12" s="231">
        <f>W35</f>
        <v>0</v>
      </c>
      <c r="T12" s="176"/>
      <c r="U12" s="174"/>
      <c r="V12" s="117"/>
      <c r="W12" s="117"/>
      <c r="X12" s="117"/>
      <c r="Y12" s="117"/>
      <c r="Z12" s="117"/>
      <c r="AA12" s="117"/>
    </row>
    <row r="13" spans="1:27">
      <c r="A13" s="115">
        <f>'Dec 17'!C4</f>
        <v>43071</v>
      </c>
      <c r="B13" s="121">
        <f>'Dec 17'!D53</f>
        <v>0</v>
      </c>
      <c r="C13" s="121">
        <f>'Dec 17'!E53</f>
        <v>19250</v>
      </c>
      <c r="D13" s="121">
        <f>'Dec 17'!F53</f>
        <v>23100</v>
      </c>
      <c r="E13" s="122">
        <f>'Dec 17'!G53</f>
        <v>3850</v>
      </c>
      <c r="F13" s="115">
        <f>'Dec 17'!C4</f>
        <v>43071</v>
      </c>
      <c r="G13" s="121">
        <f>'Dec 17'!L53</f>
        <v>19800</v>
      </c>
      <c r="H13" s="121">
        <f>'Dec 17'!M53</f>
        <v>66.53</v>
      </c>
      <c r="I13" s="121">
        <f>'Dec 17'!N53</f>
        <v>0</v>
      </c>
      <c r="J13" s="121">
        <f>'Dec 17'!O53</f>
        <v>50488.86</v>
      </c>
      <c r="K13" s="122">
        <f>'Dec 17'!P53</f>
        <v>-65.010000000000005</v>
      </c>
      <c r="L13" s="121">
        <f>IF('Accountant Calculations'!B35&gt;0,'Accountant Calculations'!C35+'Accountant Calculations'!E35,0)</f>
        <v>0</v>
      </c>
      <c r="M13" s="122">
        <f>IF('Accountant Calculations'!B35&gt;0,'Accountant Calculations'!D35-'Accountant Calculations'!C35-J36,0)</f>
        <v>0</v>
      </c>
      <c r="N13" s="184">
        <f>IF('Accountant Calculations'!B35&gt;0,(SUM('Accountant Calculations'!B13+H13+K13-L13-M13-F36-G36-H36-I36-J36-M36-N36-O36-P36-Q36-R36-S36-T36-U36-AA36)*0.19),(SUM('Accountant Calculations'!B13+H13+K13-F36-G36-H36-I36-J36-K36-M36-N36-O36-P36-Q36-R36-S36-T36-U36-AA36)*0.19))</f>
        <v>3149.9187999999999</v>
      </c>
      <c r="O13" s="197">
        <f>IF('Accountant Calculations'!B35&gt;0,('Accountant Calculations'!B13+H13+K13-L13-M13-N13-F36-G36-H36-I36-J36-L36-M36-N36-O36-P36-Q36-R36-S36-T36-U36-AA36),('Accountant Calculations'!B13+H13+K13-N13-F36-G36-H36-I36-J36-K36-L36-M36-N36-O36-P36-Q36-R36-S36-T36-U36-Z36-AA36))</f>
        <v>13271.601200000001</v>
      </c>
      <c r="P13" s="204"/>
      <c r="Q13" s="229">
        <f>'Dec 17'!C4</f>
        <v>43071</v>
      </c>
      <c r="R13" s="651">
        <f>IF('Dec 17'!$E$12&gt;0,'Dec 17'!$G$62,Summary!E13-Summary!E36)</f>
        <v>3811.5</v>
      </c>
      <c r="S13" s="231">
        <f t="shared" ref="S13:S23" si="0">W36</f>
        <v>6969.6</v>
      </c>
      <c r="T13" s="176"/>
      <c r="U13" s="174"/>
      <c r="V13" s="117"/>
      <c r="W13" s="117"/>
      <c r="X13" s="117"/>
      <c r="Y13" s="117"/>
      <c r="Z13" s="117"/>
      <c r="AA13" s="117"/>
    </row>
    <row r="14" spans="1:27">
      <c r="A14" s="115">
        <f>'Jan 18'!C4</f>
        <v>43102</v>
      </c>
      <c r="B14" s="121">
        <f>'Jan 18'!D53</f>
        <v>0</v>
      </c>
      <c r="C14" s="121">
        <f>'Jan 18'!E53</f>
        <v>0</v>
      </c>
      <c r="D14" s="121">
        <f>'Jan 18'!F53</f>
        <v>0</v>
      </c>
      <c r="E14" s="122">
        <f>'Jan 18'!G53</f>
        <v>0</v>
      </c>
      <c r="F14" s="115">
        <f>'Jan 18'!C4</f>
        <v>43102</v>
      </c>
      <c r="G14" s="121">
        <f>'Jan 18'!L53</f>
        <v>3300</v>
      </c>
      <c r="H14" s="121">
        <f>'Jan 18'!M53</f>
        <v>0</v>
      </c>
      <c r="I14" s="121">
        <f>'Jan 18'!N53</f>
        <v>0</v>
      </c>
      <c r="J14" s="121">
        <f>'Jan 18'!O53</f>
        <v>0</v>
      </c>
      <c r="K14" s="122">
        <f>'Jan 18'!P53</f>
        <v>2.5</v>
      </c>
      <c r="L14" s="121">
        <f>IF('Accountant Calculations'!B36&gt;0,'Accountant Calculations'!C36+'Accountant Calculations'!E36,0)</f>
        <v>0</v>
      </c>
      <c r="M14" s="122">
        <f>IF('Accountant Calculations'!B36&gt;0,'Accountant Calculations'!D36-'Accountant Calculations'!C36-J37,0)</f>
        <v>0</v>
      </c>
      <c r="N14" s="184">
        <f>IF('Accountant Calculations'!B36&gt;0,(SUM('Accountant Calculations'!B14+H14+K14-L14-M14-F37-G37-H37-I37-J37-M37-N37-O37-P37-Q37-R37-S37-T37-U37-AA37)*0.19),(SUM('Accountant Calculations'!B14+H14+K14-F37-G37-H37-I37-J37-K37-M37-N37-O37-P37-Q37-R37-S37-T37-U37-AA37)*0.19))</f>
        <v>-514.71</v>
      </c>
      <c r="O14" s="197">
        <f>IF('Accountant Calculations'!B36&gt;0,('Accountant Calculations'!B14+H14+K14-L14-M14-N14-F37-G37-H37-I37-J37-L37-M37-N37-O37-P37-Q37-R37-S37-T37-U37-AA37),('Accountant Calculations'!B14+H14+K14-N14-F37-G37-H37-I37-J37-K37-L37-M37-N37-O37-P37-Q37-R37-S37-T37-U37-Z37-AA37))</f>
        <v>-2351.29</v>
      </c>
      <c r="P14" s="204"/>
      <c r="Q14" s="229">
        <f>'Jan 18'!C4</f>
        <v>43102</v>
      </c>
      <c r="R14" s="651">
        <f>IF('Jan 18'!$E$12&gt;0,'Jan 18'!$G$62,Summary!E14-Summary!E37)</f>
        <v>0</v>
      </c>
      <c r="S14" s="231">
        <f t="shared" si="0"/>
        <v>0</v>
      </c>
      <c r="T14" s="176"/>
      <c r="U14" s="174"/>
      <c r="V14" s="117"/>
      <c r="W14" s="117"/>
      <c r="X14" s="117"/>
      <c r="Y14" s="117"/>
      <c r="Z14" s="117"/>
      <c r="AA14" s="117"/>
    </row>
    <row r="15" spans="1:27">
      <c r="A15" s="115">
        <f>'Feb 18'!C4</f>
        <v>43133</v>
      </c>
      <c r="B15" s="121">
        <f>'Feb 18'!D53</f>
        <v>0</v>
      </c>
      <c r="C15" s="121">
        <f>'Feb 18'!E53</f>
        <v>13200</v>
      </c>
      <c r="D15" s="121">
        <f>'Feb 18'!F53</f>
        <v>15840</v>
      </c>
      <c r="E15" s="122">
        <f>'Feb 18'!G53</f>
        <v>2640</v>
      </c>
      <c r="F15" s="115">
        <f>'Feb 18'!C4</f>
        <v>43133</v>
      </c>
      <c r="G15" s="121">
        <f>'Feb 18'!L53</f>
        <v>15840</v>
      </c>
      <c r="H15" s="121">
        <f>'Feb 18'!M53</f>
        <v>0</v>
      </c>
      <c r="I15" s="121">
        <f>'Feb 18'!N53</f>
        <v>0</v>
      </c>
      <c r="J15" s="121">
        <f>'Feb 18'!O53</f>
        <v>0</v>
      </c>
      <c r="K15" s="122">
        <f>'Feb 18'!P53</f>
        <v>2.5</v>
      </c>
      <c r="L15" s="121">
        <f>IF('Accountant Calculations'!B37&gt;0,'Accountant Calculations'!C37+'Accountant Calculations'!E37,0)</f>
        <v>0</v>
      </c>
      <c r="M15" s="122">
        <f>IF('Accountant Calculations'!B37&gt;0,'Accountant Calculations'!D37-'Accountant Calculations'!C37-J38,0)</f>
        <v>0</v>
      </c>
      <c r="N15" s="184">
        <f>IF('Accountant Calculations'!B37&gt;0,(SUM('Accountant Calculations'!B15+H15+K15-L15-M15-F38-G38-H38-I38-J38-M38-N38-O38-P38-Q38-R38-S38-T38-U38-AA38)*0.19),(SUM('Accountant Calculations'!B15+H15+K15-F38-G38-H38-I38-J38-K38-M38-N38-O38-P38-Q38-R38-S38-T38-U38-AA38)*0.19))</f>
        <v>1997.546</v>
      </c>
      <c r="O15" s="197">
        <f>IF('Accountant Calculations'!B37&gt;0,('Accountant Calculations'!B15+H15+K15-L15-M15-N15-F38-G38-H38-I38-J38-L38-M38-N38-O38-P38-Q38-R38-S38-T38-U38-AA38),('Accountant Calculations'!B15+H15+K15-N15-F38-G38-H38-I38-J38-K38-L38-M38-N38-O38-P38-Q38-R38-S38-T38-U38-Z38-AA38))</f>
        <v>8358.8539999999994</v>
      </c>
      <c r="P15" s="204"/>
      <c r="Q15" s="229">
        <f>'Feb 18'!C4</f>
        <v>43133</v>
      </c>
      <c r="R15" s="651">
        <f>IF('Feb 18'!$E$12&gt;0,'Feb 18'!$G$62,Summary!E15-Summary!E38)</f>
        <v>2613.6</v>
      </c>
      <c r="S15" s="231">
        <f t="shared" si="0"/>
        <v>0</v>
      </c>
      <c r="T15" s="176"/>
      <c r="U15" s="174"/>
      <c r="V15" s="117"/>
      <c r="W15" s="117"/>
      <c r="X15" s="117"/>
      <c r="Y15" s="117"/>
      <c r="Z15" s="117"/>
      <c r="AA15" s="117"/>
    </row>
    <row r="16" spans="1:27">
      <c r="A16" s="115">
        <f>'Mar 18'!C4</f>
        <v>43164</v>
      </c>
      <c r="B16" s="121">
        <f>'Mar 18'!D53</f>
        <v>0</v>
      </c>
      <c r="C16" s="121">
        <f>'Mar 18'!E53</f>
        <v>11000</v>
      </c>
      <c r="D16" s="121">
        <f>'Mar 18'!F53</f>
        <v>13200</v>
      </c>
      <c r="E16" s="122">
        <f>'Mar 18'!G53</f>
        <v>2200</v>
      </c>
      <c r="F16" s="115">
        <f>'Mar 18'!C4</f>
        <v>43164</v>
      </c>
      <c r="G16" s="121">
        <f>'Mar 18'!L53</f>
        <v>13200</v>
      </c>
      <c r="H16" s="121">
        <f>'Mar 18'!M53</f>
        <v>0</v>
      </c>
      <c r="I16" s="121">
        <f>'Mar 18'!N53</f>
        <v>0</v>
      </c>
      <c r="J16" s="121">
        <f>'Mar 18'!O53</f>
        <v>0</v>
      </c>
      <c r="K16" s="122">
        <f>'Mar 18'!P53</f>
        <v>2.2599999999999998</v>
      </c>
      <c r="L16" s="121">
        <f>IF('Accountant Calculations'!B38&gt;0,'Accountant Calculations'!C38+'Accountant Calculations'!E38,0)</f>
        <v>0</v>
      </c>
      <c r="M16" s="122">
        <f>IF('Accountant Calculations'!B38&gt;0,'Accountant Calculations'!D38-'Accountant Calculations'!C38-J39,0)</f>
        <v>0</v>
      </c>
      <c r="N16" s="184">
        <f>IF('Accountant Calculations'!B38&gt;0,(SUM('Accountant Calculations'!B16+H16+K16-L16-M16-F39-G39-H39-I39-J39-M39-N39-O39-P39-Q39-R39-S39-T39-U39-AA39)*0.19),(SUM('Accountant Calculations'!B16+H16+K16-F39-G39-H39-I39-J39-K39-M39-N39-O39-P39-Q39-R39-S39-T39-U39-AA39)*0.19))</f>
        <v>1576.7074000000002</v>
      </c>
      <c r="O16" s="197">
        <f>IF('Accountant Calculations'!B38&gt;0,('Accountant Calculations'!B16+H16+K16-L16-M16-N16-F39-G39-H39-I39-J39-L39-M39-N39-O39-P39-Q39-R39-S39-T39-U39-AA39),('Accountant Calculations'!B16+H16+K16-N16-F39-G39-H39-I39-J39-K39-L39-M39-N39-O39-P39-Q39-R39-S39-T39-U39-Z39-AA39))</f>
        <v>6564.7525999999989</v>
      </c>
      <c r="P16" s="204"/>
      <c r="Q16" s="229">
        <f>'Mar 18'!C4</f>
        <v>43164</v>
      </c>
      <c r="R16" s="651">
        <f>IF('Mar 18'!$E$12&gt;0,'Mar 18'!$G$62,Summary!E16-Summary!E39)</f>
        <v>2178</v>
      </c>
      <c r="S16" s="231">
        <f t="shared" si="0"/>
        <v>3811.5</v>
      </c>
      <c r="T16" s="176"/>
      <c r="U16" s="174"/>
      <c r="V16" s="117"/>
      <c r="W16" s="117"/>
      <c r="X16" s="117"/>
      <c r="Y16" s="117"/>
      <c r="Z16" s="117"/>
      <c r="AA16" s="117"/>
    </row>
    <row r="17" spans="1:28">
      <c r="A17" s="115">
        <f>'Apr 18'!C4</f>
        <v>43195</v>
      </c>
      <c r="B17" s="121">
        <f>'Apr 18'!D53</f>
        <v>0</v>
      </c>
      <c r="C17" s="121">
        <f>'Apr 18'!E53</f>
        <v>11550</v>
      </c>
      <c r="D17" s="121">
        <f>'Apr 18'!F53</f>
        <v>13860</v>
      </c>
      <c r="E17" s="122">
        <f>'Apr 18'!G53</f>
        <v>2310</v>
      </c>
      <c r="F17" s="115">
        <f>'Apr 18'!C4</f>
        <v>43195</v>
      </c>
      <c r="G17" s="121">
        <f>'Apr 18'!L53</f>
        <v>13860</v>
      </c>
      <c r="H17" s="121">
        <f>'Apr 18'!M53</f>
        <v>0</v>
      </c>
      <c r="I17" s="121">
        <f>'Apr 18'!N53</f>
        <v>0</v>
      </c>
      <c r="J17" s="121">
        <f>'Apr 18'!O53</f>
        <v>0</v>
      </c>
      <c r="K17" s="122">
        <f>'Apr 18'!P53</f>
        <v>2.5</v>
      </c>
      <c r="L17" s="121">
        <f>IF('Accountant Calculations'!B39&gt;0,'Accountant Calculations'!C39+'Accountant Calculations'!E39,0)</f>
        <v>0</v>
      </c>
      <c r="M17" s="122">
        <f>IF('Accountant Calculations'!B39&gt;0,'Accountant Calculations'!D39-'Accountant Calculations'!C39-J40,0)</f>
        <v>0</v>
      </c>
      <c r="N17" s="184">
        <f>IF('Accountant Calculations'!B39&gt;0,(SUM('Accountant Calculations'!B17+H17+K17-L17-M17-F40-G40-H40-I40-J40-M40-N40-O40-P40-Q40-R40-S40-T40-U40-AA40)*0.19),(SUM('Accountant Calculations'!B17+H17+K17-F40-G40-H40-I40-J40-K40-M40-N40-O40-P40-Q40-R40-S40-T40-U40-AA40)*0.19))</f>
        <v>1628.3133</v>
      </c>
      <c r="O17" s="197">
        <f>IF('Accountant Calculations'!B39&gt;0,('Accountant Calculations'!B17+H17+K17-L17-M17-N17-F40-G40-H40-I40-J40-L40-M40-N40-O40-P40-Q40-R40-S40-T40-U40-AA40),('Accountant Calculations'!B17+H17+K17-N17-F40-G40-H40-I40-J40-K40-L40-M40-N40-O40-P40-Q40-R40-S40-T40-U40-Z40-AA40))</f>
        <v>6941.7567000000008</v>
      </c>
      <c r="P17" s="204"/>
      <c r="Q17" s="229">
        <f>'Apr 18'!C4</f>
        <v>43195</v>
      </c>
      <c r="R17" s="651">
        <f>IF('Apr 18'!$E$12&gt;0,'Apr 18'!$G$62,Summary!E17-Summary!E40)</f>
        <v>2286.9</v>
      </c>
      <c r="S17" s="231">
        <f t="shared" si="0"/>
        <v>0</v>
      </c>
      <c r="T17" s="176"/>
      <c r="U17" s="174"/>
      <c r="V17" s="117"/>
      <c r="W17" s="117"/>
      <c r="X17" s="117"/>
      <c r="Y17" s="117"/>
      <c r="Z17" s="117"/>
      <c r="AA17" s="117"/>
    </row>
    <row r="18" spans="1:28">
      <c r="A18" s="115">
        <f>'May 18'!C4</f>
        <v>43226</v>
      </c>
      <c r="B18" s="121">
        <f>'May 18'!D53</f>
        <v>0</v>
      </c>
      <c r="C18" s="121">
        <f>'May 18'!E53</f>
        <v>0</v>
      </c>
      <c r="D18" s="121">
        <f>'May 18'!F53</f>
        <v>0</v>
      </c>
      <c r="E18" s="122">
        <f>'May 18'!G53</f>
        <v>0</v>
      </c>
      <c r="F18" s="115">
        <f>'May 18'!C4</f>
        <v>43226</v>
      </c>
      <c r="G18" s="121">
        <f>'May 18'!L53</f>
        <v>0</v>
      </c>
      <c r="H18" s="121">
        <f>'May 18'!M53</f>
        <v>0</v>
      </c>
      <c r="I18" s="121">
        <f>'May 18'!N53</f>
        <v>0</v>
      </c>
      <c r="J18" s="121">
        <f>'May 18'!O53</f>
        <v>0</v>
      </c>
      <c r="K18" s="122">
        <f>'May 18'!P53</f>
        <v>2.42</v>
      </c>
      <c r="L18" s="121">
        <f>IF('Accountant Calculations'!B40&gt;0,'Accountant Calculations'!C40+'Accountant Calculations'!E40,0)</f>
        <v>0</v>
      </c>
      <c r="M18" s="122">
        <f>IF('Accountant Calculations'!B40&gt;0,'Accountant Calculations'!D40-'Accountant Calculations'!C40-J41,0)</f>
        <v>0</v>
      </c>
      <c r="N18" s="184">
        <f>IF('Accountant Calculations'!B40&gt;0,(SUM('Accountant Calculations'!B18+H18+K18-L18-M18-F41-G41-H41-I41-J41-M41-N41-O41-P41-Q41-R41-S41-T41-U41-AA41)*0.19),(SUM('Accountant Calculations'!B18+H18+K18-F41-G41-H41-I41-J41-K41-M41-N41-O41-P41-Q41-R41-S41-T41-U41-AA41)*0.19))</f>
        <v>-480.14519999999999</v>
      </c>
      <c r="O18" s="197">
        <f>IF('Accountant Calculations'!B40&gt;0,('Accountant Calculations'!B18+H18+K18-L18-M18-N18-F41-G41-H41-I41-J41-L41-M41-N41-O41-P41-Q41-R41-S41-T41-U41-AA41),('Accountant Calculations'!B18+H18+K18-N18-F41-G41-H41-I41-J41-K41-L41-M41-N41-O41-P41-Q41-R41-S41-T41-U41-Z41-AA41))</f>
        <v>-52046.934800000003</v>
      </c>
      <c r="P18" s="204"/>
      <c r="Q18" s="229">
        <f>'May 18'!C4</f>
        <v>43226</v>
      </c>
      <c r="R18" s="651">
        <f>IF('May 18'!$E$12&gt;0,'May 18'!$G$62,Summary!E18-Summary!E41)</f>
        <v>0</v>
      </c>
      <c r="S18" s="231">
        <f t="shared" si="0"/>
        <v>0</v>
      </c>
      <c r="T18" s="176"/>
      <c r="U18" s="174"/>
      <c r="V18" s="117"/>
      <c r="W18" s="117"/>
      <c r="X18" s="117"/>
      <c r="Y18" s="117"/>
      <c r="Z18" s="117"/>
      <c r="AA18" s="117"/>
    </row>
    <row r="19" spans="1:28">
      <c r="A19" s="115">
        <f>'Jun 18'!C4</f>
        <v>43257</v>
      </c>
      <c r="B19" s="121">
        <f>'Jun 18'!D53</f>
        <v>0</v>
      </c>
      <c r="C19" s="121">
        <f>'Jun 18'!E53</f>
        <v>20900</v>
      </c>
      <c r="D19" s="121">
        <f>'Jun 18'!F53</f>
        <v>25080</v>
      </c>
      <c r="E19" s="122">
        <f>'Jun 18'!G53</f>
        <v>4180</v>
      </c>
      <c r="F19" s="115">
        <f>'Jun 18'!C4</f>
        <v>43257</v>
      </c>
      <c r="G19" s="121">
        <f>'Jun 18'!L53</f>
        <v>25080</v>
      </c>
      <c r="H19" s="121">
        <f>'Jun 18'!M53</f>
        <v>128.56</v>
      </c>
      <c r="I19" s="121">
        <f>'Jun 18'!N53</f>
        <v>0</v>
      </c>
      <c r="J19" s="121">
        <f>'Jun 18'!O53</f>
        <v>50555.39</v>
      </c>
      <c r="K19" s="122">
        <f>'Jun 18'!P53</f>
        <v>-126.06</v>
      </c>
      <c r="L19" s="121">
        <f>IF('Accountant Calculations'!B41&gt;0,'Accountant Calculations'!C41+'Accountant Calculations'!E41,0)</f>
        <v>0</v>
      </c>
      <c r="M19" s="122">
        <f>IF('Accountant Calculations'!B41&gt;0,'Accountant Calculations'!D41-'Accountant Calculations'!C41-J42,0)</f>
        <v>0</v>
      </c>
      <c r="N19" s="184">
        <f>IF('Accountant Calculations'!B41&gt;0,(SUM('Accountant Calculations'!B19+H19+K19-L19-M19-F42-G42-H42-I42-J42-M42-N42-O42-P42-Q42-R42-S42-T42-U42-AA42)*0.19),(SUM('Accountant Calculations'!B19+H19+K19-F42-G42-H42-I42-J42-K42-M42-N42-O42-P42-Q42-R42-S42-T42-U42-AA42)*0.19))</f>
        <v>3501.4719999999998</v>
      </c>
      <c r="O19" s="197">
        <f>IF('Accountant Calculations'!B41&gt;0,('Accountant Calculations'!B19+H19+K19-L19-M19-N19-F42-G42-H42-I42-J42-L42-M42-N42-O42-P42-Q42-R42-S42-T42-U42-AA42),('Accountant Calculations'!B19+H19+K19-N19-F42-G42-H42-I42-J42-K42-L42-M42-N42-O42-P42-Q42-R42-S42-T42-U42-Z42-AA42))</f>
        <v>14927.328000000001</v>
      </c>
      <c r="P19" s="204"/>
      <c r="Q19" s="229">
        <f>'Jun 18'!C4</f>
        <v>43257</v>
      </c>
      <c r="R19" s="651">
        <f>IF('Jun 18'!$E$12&gt;0,'Jun 18'!$G$62,Summary!E19-Summary!E42)</f>
        <v>4138.2</v>
      </c>
      <c r="S19" s="231">
        <f t="shared" si="0"/>
        <v>7078.5</v>
      </c>
      <c r="T19" s="176"/>
      <c r="U19" s="174"/>
      <c r="V19" s="117"/>
      <c r="W19" s="117"/>
      <c r="X19" s="117"/>
      <c r="Y19" s="117"/>
      <c r="Z19" s="117"/>
      <c r="AA19" s="117"/>
    </row>
    <row r="20" spans="1:28">
      <c r="A20" s="115">
        <f>'Jul 18'!C4</f>
        <v>43288</v>
      </c>
      <c r="B20" s="121">
        <f>'Jul 18'!D53</f>
        <v>0</v>
      </c>
      <c r="C20" s="121">
        <f>'Jul 18'!E53</f>
        <v>0</v>
      </c>
      <c r="D20" s="121">
        <f>'Jul 18'!F53</f>
        <v>0</v>
      </c>
      <c r="E20" s="122">
        <f>'Jul 18'!G53</f>
        <v>0</v>
      </c>
      <c r="F20" s="115">
        <f>'Jul 18'!C4</f>
        <v>43288</v>
      </c>
      <c r="G20" s="121">
        <f>'Jul 18'!L53</f>
        <v>0</v>
      </c>
      <c r="H20" s="121">
        <f>'Jul 18'!M53</f>
        <v>0</v>
      </c>
      <c r="I20" s="121">
        <f>'Jul 18'!N53</f>
        <v>0</v>
      </c>
      <c r="J20" s="121">
        <f>'Jul 18'!O53</f>
        <v>0</v>
      </c>
      <c r="K20" s="122">
        <f>'Jul 18'!P53</f>
        <v>2.42</v>
      </c>
      <c r="L20" s="121">
        <f>IF('Accountant Calculations'!B42&gt;0,'Accountant Calculations'!C42+'Accountant Calculations'!E42,0)</f>
        <v>0</v>
      </c>
      <c r="M20" s="122">
        <f>IF('Accountant Calculations'!B42&gt;0,'Accountant Calculations'!D42-'Accountant Calculations'!C42-J43,0)</f>
        <v>0</v>
      </c>
      <c r="N20" s="184">
        <f>IF('Accountant Calculations'!B42&gt;0,(SUM('Accountant Calculations'!B20+H20+K20-L20-M20-F43-G43-H43-I43-J43-M43-N43-O43-P43-Q43-R43-S43-T43-U43-AA43)*0.19),(SUM('Accountant Calculations'!B20+H20+K20-F43-G43-H43-I43-J43-K43-M43-N43-O43-P43-Q43-R43-S43-T43-U43-AA43)*0.19))</f>
        <v>-477.48519999999996</v>
      </c>
      <c r="O20" s="197">
        <f>IF('Accountant Calculations'!B42&gt;0,('Accountant Calculations'!B20+H20+K20-L20-M20-N20-F43-G43-H43-I43-J43-L43-M43-N43-O43-P43-Q43-R43-S43-T43-U43-AA43),('Accountant Calculations'!B20+H20+K20-N20-F43-G43-H43-I43-J43-K43-L43-M43-N43-O43-P43-Q43-R43-S43-T43-U43-Z43-AA43))</f>
        <v>-2035.5948000000001</v>
      </c>
      <c r="P20" s="204"/>
      <c r="Q20" s="229">
        <f>'Jul 18'!C4</f>
        <v>43288</v>
      </c>
      <c r="R20" s="651">
        <f>IF('Jul 18'!$E$12&gt;0,'Jul 18'!$G$62,Summary!E20-Summary!E43)</f>
        <v>0</v>
      </c>
      <c r="S20" s="231">
        <f t="shared" si="0"/>
        <v>0</v>
      </c>
      <c r="T20" s="176"/>
      <c r="U20" s="174"/>
      <c r="V20" s="117"/>
      <c r="W20" s="117"/>
      <c r="X20" s="117"/>
      <c r="Y20" s="117"/>
      <c r="Z20" s="117"/>
      <c r="AA20" s="117"/>
    </row>
    <row r="21" spans="1:28">
      <c r="A21" s="115">
        <f>'Aug 18'!C4</f>
        <v>43319</v>
      </c>
      <c r="B21" s="121">
        <f>'Aug 18'!D53</f>
        <v>0</v>
      </c>
      <c r="C21" s="121">
        <f>'Aug 18'!E53</f>
        <v>19250</v>
      </c>
      <c r="D21" s="121">
        <f>'Aug 18'!F53</f>
        <v>23100</v>
      </c>
      <c r="E21" s="122">
        <f>'Aug 18'!G53</f>
        <v>3850</v>
      </c>
      <c r="F21" s="115">
        <f>'Aug 18'!C4</f>
        <v>43319</v>
      </c>
      <c r="G21" s="121">
        <f>'Aug 18'!L53</f>
        <v>23100</v>
      </c>
      <c r="H21" s="121">
        <f>'Aug 18'!M53</f>
        <v>0</v>
      </c>
      <c r="I21" s="121">
        <f>'Aug 18'!N53</f>
        <v>0</v>
      </c>
      <c r="J21" s="121">
        <f>'Aug 18'!O53</f>
        <v>0</v>
      </c>
      <c r="K21" s="122">
        <f>'Aug 18'!P53</f>
        <v>2.5</v>
      </c>
      <c r="L21" s="121">
        <f>IF('Accountant Calculations'!B43&gt;0,'Accountant Calculations'!C43+'Accountant Calculations'!E43,0)</f>
        <v>0</v>
      </c>
      <c r="M21" s="122">
        <f>IF('Accountant Calculations'!B43&gt;0,'Accountant Calculations'!D43-'Accountant Calculations'!C43-J44,0)</f>
        <v>0</v>
      </c>
      <c r="N21" s="184">
        <f>IF('Accountant Calculations'!B43&gt;0,(SUM('Accountant Calculations'!B21+H21+K21-L21-M21-F44-G44-H44-I44-J44-M44-N44-O44-P44-Q44-R44-S44-T44-U44-AA44)*0.19),(SUM('Accountant Calculations'!B21+H21+K21-F44-G44-H44-I44-J44-K44-M44-N44-O44-P44-Q44-R44-S44-T44-U44-AA44)*0.19))</f>
        <v>3184.6849999999999</v>
      </c>
      <c r="O21" s="197">
        <f>IF('Accountant Calculations'!B43&gt;0,('Accountant Calculations'!B21+H21+K21-L21-M21-N21-F44-G44-H44-I44-J44-L44-M44-N44-O44-P44-Q44-R44-S44-T44-U44-AA44),('Accountant Calculations'!B21+H21+K21-N21-F44-G44-H44-I44-J44-K44-L44-M44-N44-O44-P44-Q44-R44-S44-T44-U44-Z44-AA44))</f>
        <v>13576.815000000001</v>
      </c>
      <c r="P21" s="204"/>
      <c r="Q21" s="229">
        <f>'Aug 18'!C4</f>
        <v>43319</v>
      </c>
      <c r="R21" s="651">
        <f>IF('Aug 18'!$E$12&gt;0,'Aug 18'!$G$62,Summary!E21-Summary!E44)</f>
        <v>3811.5</v>
      </c>
      <c r="S21" s="231">
        <f t="shared" si="0"/>
        <v>0</v>
      </c>
      <c r="T21" s="176"/>
      <c r="U21" s="174"/>
      <c r="V21" s="117"/>
      <c r="W21" s="117"/>
      <c r="X21" s="117"/>
      <c r="Y21" s="117"/>
      <c r="Z21" s="117"/>
      <c r="AA21" s="117"/>
    </row>
    <row r="22" spans="1:28">
      <c r="A22" s="115">
        <f>'Sep 18'!C4</f>
        <v>43350</v>
      </c>
      <c r="B22" s="121">
        <f>'Sep 18'!D53</f>
        <v>0</v>
      </c>
      <c r="C22" s="121">
        <f>'Sep 18'!E53</f>
        <v>13200</v>
      </c>
      <c r="D22" s="121">
        <f>'Sep 18'!F53</f>
        <v>15840</v>
      </c>
      <c r="E22" s="122">
        <f>'Sep 18'!G53</f>
        <v>2640</v>
      </c>
      <c r="F22" s="115">
        <f>'Sep 18'!C4</f>
        <v>43350</v>
      </c>
      <c r="G22" s="121">
        <f>'Sep 18'!L53</f>
        <v>0</v>
      </c>
      <c r="H22" s="121">
        <f>'Sep 18'!M53</f>
        <v>0</v>
      </c>
      <c r="I22" s="121">
        <f>'Sep 18'!N53</f>
        <v>0</v>
      </c>
      <c r="J22" s="121">
        <f>'Sep 18'!O53</f>
        <v>0</v>
      </c>
      <c r="K22" s="122">
        <f>'Sep 18'!P53</f>
        <v>3.25</v>
      </c>
      <c r="L22" s="121">
        <f>IF('Accountant Calculations'!B44&gt;0,'Accountant Calculations'!C44+'Accountant Calculations'!E44,0)</f>
        <v>0</v>
      </c>
      <c r="M22" s="122">
        <f>IF('Accountant Calculations'!B44&gt;0,'Accountant Calculations'!D44-'Accountant Calculations'!C44-J45,0)</f>
        <v>0</v>
      </c>
      <c r="N22" s="184">
        <f>IF('Accountant Calculations'!B44&gt;0,(SUM('Accountant Calculations'!B22+H22+K22-L22-M22-F45-G45-H45-I45-J45-M45-N45-O45-P45-Q45-R45-S45-T45-U45-AA45)*0.19),(SUM('Accountant Calculations'!B22+H22+K22-F45-G45-H45-I45-J45-K45-M45-N45-O45-P45-Q45-R45-S45-T45-U45-AA45)*0.19))</f>
        <v>2057.5385000000001</v>
      </c>
      <c r="O22" s="197">
        <f>IF('Accountant Calculations'!B44&gt;0,('Accountant Calculations'!B22+H22+K22-L22-M22-N22-F45-G45-H45-I45-J45-L45-M45-N45-O45-P45-Q45-R45-S45-T45-U45-AA45),('Accountant Calculations'!B22+H22+K22-N22-F45-G45-H45-I45-J45-K45-L45-M45-N45-O45-P45-Q45-R45-S45-T45-U45-Z45-AA45))</f>
        <v>8771.6114999999991</v>
      </c>
      <c r="P22" s="204"/>
      <c r="Q22" s="229">
        <f>'Sep 18'!C4</f>
        <v>43350</v>
      </c>
      <c r="R22" s="651">
        <f>IF('Sep 18'!$E$12&gt;0,'Sep 18'!$G$62,Summary!E22-Summary!E45)</f>
        <v>2613.6</v>
      </c>
      <c r="S22" s="231">
        <f t="shared" si="0"/>
        <v>4138.2</v>
      </c>
      <c r="T22" s="176"/>
      <c r="U22" s="174"/>
      <c r="V22" s="117"/>
      <c r="W22" s="117"/>
      <c r="X22" s="117"/>
      <c r="Y22" s="117"/>
      <c r="Z22" s="117"/>
      <c r="AA22" s="117"/>
    </row>
    <row r="23" spans="1:28" ht="13.5" thickBot="1">
      <c r="A23" s="115">
        <f>'Oct 18'!C4</f>
        <v>43381</v>
      </c>
      <c r="B23" s="121">
        <f>'Oct 18'!D53</f>
        <v>0</v>
      </c>
      <c r="C23" s="121">
        <f>'Oct 18'!E53</f>
        <v>19250</v>
      </c>
      <c r="D23" s="121">
        <f>'Oct 18'!F53</f>
        <v>23100</v>
      </c>
      <c r="E23" s="122">
        <f>'Oct 18'!G53</f>
        <v>3850</v>
      </c>
      <c r="F23" s="115">
        <f>'Oct 18'!C4</f>
        <v>43381</v>
      </c>
      <c r="G23" s="121">
        <f>'Oct 18'!L53</f>
        <v>15840</v>
      </c>
      <c r="H23" s="121">
        <f>'Oct 18'!M53</f>
        <v>0</v>
      </c>
      <c r="I23" s="121">
        <f>'Oct 18'!N53</f>
        <v>0</v>
      </c>
      <c r="J23" s="121">
        <f>'Oct 18'!O53</f>
        <v>0</v>
      </c>
      <c r="K23" s="122">
        <f>'Oct 18'!P53</f>
        <v>6.91</v>
      </c>
      <c r="L23" s="121">
        <f>IF('Accountant Calculations'!B45&gt;0,'Accountant Calculations'!C45+'Accountant Calculations'!E45,0)</f>
        <v>0</v>
      </c>
      <c r="M23" s="122">
        <f>IF('Accountant Calculations'!B45&gt;0,'Accountant Calculations'!D45-'Accountant Calculations'!C45-J46,0)</f>
        <v>0</v>
      </c>
      <c r="N23" s="184">
        <f>IF('Accountant Calculations'!B45&gt;0,(SUM('Accountant Calculations'!B23+H23+K23-L23-M23-F46-G46-H46-I46-J46-M46-N46-O46-P46-Q46-R46-S46-T46-U46-AA46)*0.19),(SUM('Accountant Calculations'!B23+H23+K23-F46-G46-H46-I46-J46-K46-M46-N46-O46-P46-Q46-R46-S46-T46-U46-AA46)*0.19))</f>
        <v>3176.0153</v>
      </c>
      <c r="O23" s="197">
        <f>IF('Accountant Calculations'!B45&gt;0,('Accountant Calculations'!B23+H23+K23-L23-M23-N23-F46-G46-H46-I46-J46-L46-M46-N46-O46-P46-Q46-R46-S46-T46-U46-AA46),('Accountant Calculations'!B23+H23+K23-N23-F46-G46-H46-I46-J46-K46-L46-M46-N46-O46-P46-Q46-R46-S46-T46-U46-Z46-AA46))</f>
        <v>13539.8547</v>
      </c>
      <c r="P23" s="204"/>
      <c r="Q23" s="230">
        <f>'Oct 18'!C4</f>
        <v>43381</v>
      </c>
      <c r="R23" s="651">
        <f>IF('Oct 18'!$E$12&gt;0,'Oct 18'!$G$62,Summary!E23-Summary!E46)</f>
        <v>3850</v>
      </c>
      <c r="S23" s="231">
        <f t="shared" si="0"/>
        <v>0</v>
      </c>
      <c r="T23" s="176"/>
      <c r="U23" s="174"/>
      <c r="V23" s="117"/>
      <c r="W23" s="117"/>
      <c r="X23" s="117"/>
      <c r="Y23" s="117"/>
      <c r="Z23" s="117"/>
      <c r="AA23" s="117"/>
    </row>
    <row r="24" spans="1:28" s="133" customFormat="1" ht="15" thickBot="1">
      <c r="A24" s="116" t="s">
        <v>88</v>
      </c>
      <c r="B24" s="144">
        <f>SUM(B11:B23)</f>
        <v>0</v>
      </c>
      <c r="C24" s="144">
        <f>SUM(C11:C23)</f>
        <v>127600</v>
      </c>
      <c r="D24" s="144">
        <f>SUM(D11:D23)</f>
        <v>153120</v>
      </c>
      <c r="E24" s="144">
        <f>SUM(E11:E23)</f>
        <v>25520</v>
      </c>
      <c r="F24" s="145" t="s">
        <v>88</v>
      </c>
      <c r="G24" s="144">
        <f>SUM(G11:G23)</f>
        <v>153120</v>
      </c>
      <c r="H24" s="144">
        <f>SUM(H11:H23)</f>
        <v>195.09</v>
      </c>
      <c r="I24" s="144">
        <f>SUM(I11:I23)</f>
        <v>0</v>
      </c>
      <c r="J24" s="144">
        <f>SUM(J11:J23)</f>
        <v>101044.25</v>
      </c>
      <c r="K24" s="775">
        <f>SUM(K11:K23)</f>
        <v>-162.38000000000002</v>
      </c>
      <c r="L24" s="144">
        <f>SUM(L12:L23)</f>
        <v>0</v>
      </c>
      <c r="M24" s="144">
        <f>SUM(M12:M23)</f>
        <v>0</v>
      </c>
      <c r="N24" s="198">
        <f>SUM(N12:N23)</f>
        <v>17938.382600000001</v>
      </c>
      <c r="O24" s="199">
        <f>SUM(O11:O23)</f>
        <v>25689.1574</v>
      </c>
      <c r="P24" s="205"/>
      <c r="Q24" s="228"/>
      <c r="R24" s="653">
        <f>SUM(R11:R23)</f>
        <v>25303.3</v>
      </c>
      <c r="S24" s="653">
        <f>SUM(S11:S23)</f>
        <v>21997.8</v>
      </c>
      <c r="T24" s="168"/>
      <c r="U24" s="651"/>
      <c r="V24" s="168"/>
      <c r="W24" s="168"/>
      <c r="X24" s="168"/>
      <c r="Y24" s="167"/>
      <c r="Z24" s="167"/>
      <c r="AA24" s="167"/>
      <c r="AB24" s="135"/>
    </row>
    <row r="25" spans="1:28">
      <c r="A25" s="16"/>
      <c r="C25" s="772"/>
      <c r="D25" s="773" t="s">
        <v>523</v>
      </c>
      <c r="E25" s="772"/>
      <c r="F25" s="773" t="s">
        <v>524</v>
      </c>
      <c r="G25" s="772"/>
      <c r="K25" s="121">
        <f>H24+K24</f>
        <v>32.70999999999998</v>
      </c>
      <c r="P25" s="184"/>
      <c r="Q25" s="184"/>
      <c r="S25" s="117"/>
      <c r="T25" s="117"/>
      <c r="U25" s="117"/>
      <c r="V25" s="117"/>
      <c r="W25" s="117"/>
      <c r="X25" s="117"/>
      <c r="Y25" s="117"/>
      <c r="Z25" s="117"/>
      <c r="AA25" s="117"/>
    </row>
    <row r="26" spans="1:28">
      <c r="A26" s="16"/>
      <c r="C26" s="772">
        <v>2</v>
      </c>
      <c r="D26" s="772"/>
      <c r="E26" s="773" t="s">
        <v>516</v>
      </c>
      <c r="F26" s="774"/>
      <c r="G26" s="773" t="s">
        <v>523</v>
      </c>
      <c r="N26" s="389"/>
      <c r="O26" s="117"/>
    </row>
    <row r="27" spans="1:28" ht="13.5" thickBot="1"/>
    <row r="28" spans="1:28" ht="21" thickBot="1">
      <c r="A28" s="78" t="s">
        <v>122</v>
      </c>
      <c r="B28" s="123"/>
      <c r="C28" s="123"/>
      <c r="D28" s="123"/>
      <c r="E28" s="123"/>
      <c r="F28" s="79"/>
      <c r="G28" s="123"/>
      <c r="H28" s="123"/>
      <c r="I28" s="123"/>
      <c r="J28" s="123"/>
      <c r="K28" s="123"/>
      <c r="L28" s="123"/>
      <c r="M28" s="123"/>
      <c r="N28" s="123"/>
      <c r="O28" s="123"/>
      <c r="P28" s="123"/>
      <c r="Q28" s="148"/>
      <c r="R28" s="148"/>
      <c r="S28" s="148"/>
      <c r="T28" s="148"/>
      <c r="U28" s="148"/>
      <c r="V28" s="148"/>
      <c r="W28" s="148"/>
      <c r="X28" s="148"/>
      <c r="Y28" s="148"/>
      <c r="Z28" s="148"/>
      <c r="AA28" s="149"/>
    </row>
    <row r="29" spans="1:28">
      <c r="B29" s="117"/>
      <c r="C29" s="117"/>
      <c r="D29" s="117"/>
      <c r="E29" s="117"/>
      <c r="F29" s="24"/>
      <c r="G29" s="117"/>
      <c r="H29" s="117"/>
      <c r="I29" s="117"/>
      <c r="J29" s="117"/>
      <c r="K29" s="117"/>
      <c r="L29" s="117"/>
      <c r="M29" s="117"/>
      <c r="N29" s="117"/>
      <c r="O29" s="117"/>
      <c r="P29" s="117"/>
      <c r="Q29" s="117"/>
      <c r="R29" s="117"/>
      <c r="S29" s="117"/>
      <c r="T29" s="117"/>
      <c r="U29" s="117"/>
      <c r="V29" s="117"/>
      <c r="W29" s="117"/>
      <c r="X29" s="117"/>
      <c r="Y29" s="117"/>
      <c r="Z29" s="117"/>
      <c r="AA29" s="117"/>
    </row>
    <row r="30" spans="1:28" ht="13.5" thickBot="1">
      <c r="B30" s="117"/>
      <c r="C30" s="117"/>
      <c r="D30" s="117"/>
      <c r="E30" s="117"/>
      <c r="F30" s="24" t="s">
        <v>20</v>
      </c>
      <c r="G30" s="117"/>
      <c r="H30" s="117"/>
      <c r="I30" s="117"/>
      <c r="J30" s="117"/>
      <c r="K30" s="117"/>
      <c r="L30" s="117"/>
      <c r="M30" s="117"/>
      <c r="N30" s="117"/>
      <c r="O30" s="117"/>
      <c r="P30" s="117"/>
      <c r="Q30" s="117"/>
      <c r="R30" s="117"/>
      <c r="S30" s="117"/>
      <c r="T30" s="117" t="s">
        <v>20</v>
      </c>
      <c r="U30" s="117" t="s">
        <v>20</v>
      </c>
      <c r="V30" s="117"/>
      <c r="W30" s="117"/>
      <c r="X30" s="117"/>
      <c r="Y30" s="117"/>
      <c r="Z30" s="117"/>
      <c r="AA30" s="117"/>
    </row>
    <row r="31" spans="1:28" s="134" customFormat="1">
      <c r="A31" s="294"/>
      <c r="B31" s="250"/>
      <c r="C31" s="250"/>
      <c r="D31" s="253"/>
      <c r="E31" s="295"/>
      <c r="F31" s="294" t="s">
        <v>292</v>
      </c>
      <c r="G31" s="250" t="s">
        <v>41</v>
      </c>
      <c r="H31" s="250"/>
      <c r="I31" s="250"/>
      <c r="J31" s="250"/>
      <c r="K31" s="250" t="s">
        <v>297</v>
      </c>
      <c r="L31" s="250"/>
      <c r="M31" s="250"/>
      <c r="N31" s="250"/>
      <c r="O31" s="250"/>
      <c r="P31" s="250"/>
      <c r="Q31" s="250"/>
      <c r="R31" s="250"/>
      <c r="S31" s="250"/>
      <c r="T31" s="250"/>
      <c r="U31" s="250"/>
      <c r="V31" s="250" t="s">
        <v>177</v>
      </c>
      <c r="W31" s="250"/>
      <c r="X31" s="250"/>
      <c r="Y31" s="250" t="s">
        <v>147</v>
      </c>
      <c r="Z31" s="250"/>
      <c r="AA31" s="253"/>
    </row>
    <row r="32" spans="1:28" s="134" customFormat="1">
      <c r="A32" s="296"/>
      <c r="B32" s="251" t="s">
        <v>34</v>
      </c>
      <c r="C32" s="251" t="s">
        <v>225</v>
      </c>
      <c r="D32" s="254" t="s">
        <v>34</v>
      </c>
      <c r="E32" s="297"/>
      <c r="F32" s="296" t="s">
        <v>293</v>
      </c>
      <c r="G32" s="251" t="s">
        <v>36</v>
      </c>
      <c r="H32" s="251" t="s">
        <v>34</v>
      </c>
      <c r="I32" s="251" t="s">
        <v>34</v>
      </c>
      <c r="J32" s="251" t="s">
        <v>111</v>
      </c>
      <c r="K32" s="251" t="s">
        <v>313</v>
      </c>
      <c r="L32" s="251"/>
      <c r="M32" s="251" t="s">
        <v>205</v>
      </c>
      <c r="N32" s="251"/>
      <c r="O32" s="251"/>
      <c r="P32" s="251" t="s">
        <v>170</v>
      </c>
      <c r="Q32" s="251" t="s">
        <v>143</v>
      </c>
      <c r="R32" s="251" t="s">
        <v>37</v>
      </c>
      <c r="S32" s="251"/>
      <c r="T32" s="251" t="s">
        <v>39</v>
      </c>
      <c r="U32" s="251" t="s">
        <v>175</v>
      </c>
      <c r="V32" s="251" t="s">
        <v>301</v>
      </c>
      <c r="W32" s="251" t="s">
        <v>172</v>
      </c>
      <c r="X32" s="251" t="s">
        <v>139</v>
      </c>
      <c r="Y32" s="251" t="s">
        <v>311</v>
      </c>
      <c r="Z32" s="251" t="s">
        <v>151</v>
      </c>
      <c r="AA32" s="254"/>
    </row>
    <row r="33" spans="1:31" s="134" customFormat="1" ht="13.5" thickBot="1">
      <c r="A33" s="114" t="s">
        <v>11</v>
      </c>
      <c r="B33" s="252" t="s">
        <v>39</v>
      </c>
      <c r="C33" s="252" t="s">
        <v>40</v>
      </c>
      <c r="D33" s="255" t="s">
        <v>155</v>
      </c>
      <c r="E33" s="155" t="s">
        <v>17</v>
      </c>
      <c r="F33" s="114" t="s">
        <v>294</v>
      </c>
      <c r="G33" s="252" t="s">
        <v>42</v>
      </c>
      <c r="H33" s="252" t="s">
        <v>43</v>
      </c>
      <c r="I33" s="252" t="s">
        <v>44</v>
      </c>
      <c r="J33" s="252" t="s">
        <v>312</v>
      </c>
      <c r="K33" s="252" t="s">
        <v>173</v>
      </c>
      <c r="L33" s="252" t="s">
        <v>49</v>
      </c>
      <c r="M33" s="252" t="s">
        <v>206</v>
      </c>
      <c r="N33" s="252" t="s">
        <v>45</v>
      </c>
      <c r="O33" s="252" t="s">
        <v>46</v>
      </c>
      <c r="P33" s="252" t="s">
        <v>171</v>
      </c>
      <c r="Q33" s="252" t="s">
        <v>113</v>
      </c>
      <c r="R33" s="252" t="s">
        <v>48</v>
      </c>
      <c r="S33" s="252" t="s">
        <v>50</v>
      </c>
      <c r="T33" s="252" t="s">
        <v>315</v>
      </c>
      <c r="U33" s="252" t="s">
        <v>176</v>
      </c>
      <c r="V33" s="252" t="s">
        <v>302</v>
      </c>
      <c r="W33" s="252" t="s">
        <v>173</v>
      </c>
      <c r="X33" s="252" t="s">
        <v>149</v>
      </c>
      <c r="Y33" s="252" t="s">
        <v>302</v>
      </c>
      <c r="Z33" s="252" t="s">
        <v>152</v>
      </c>
      <c r="AA33" s="255" t="s">
        <v>51</v>
      </c>
      <c r="AD33" s="43" t="s">
        <v>52</v>
      </c>
    </row>
    <row r="34" spans="1:31" s="191" customFormat="1">
      <c r="A34" s="185" t="s">
        <v>94</v>
      </c>
      <c r="B34" s="186"/>
      <c r="C34" s="186">
        <f>'Nov 17'!E79</f>
        <v>0</v>
      </c>
      <c r="D34" s="187">
        <f>'Nov 17'!F79</f>
        <v>0</v>
      </c>
      <c r="E34" s="192"/>
      <c r="F34" s="646"/>
      <c r="G34" s="186"/>
      <c r="H34" s="186"/>
      <c r="I34" s="186"/>
      <c r="J34" s="186"/>
      <c r="K34" s="186"/>
      <c r="L34" s="186"/>
      <c r="M34" s="186"/>
      <c r="N34" s="186"/>
      <c r="O34" s="186"/>
      <c r="P34" s="186"/>
      <c r="Q34" s="186"/>
      <c r="R34" s="186"/>
      <c r="S34" s="186"/>
      <c r="T34" s="186"/>
      <c r="U34" s="186"/>
      <c r="V34" s="186"/>
      <c r="W34" s="186"/>
      <c r="X34" s="186"/>
      <c r="Y34" s="186"/>
      <c r="Z34" s="186"/>
      <c r="AA34" s="187"/>
      <c r="AD34" s="193">
        <f>IF(AC34=0,0,"ERROR HERE")</f>
        <v>0</v>
      </c>
      <c r="AE34" s="193">
        <f>IF(AD34=0,0,"ERROR HERE")</f>
        <v>0</v>
      </c>
    </row>
    <row r="35" spans="1:31">
      <c r="A35" s="115">
        <f>'Nov 17'!C4</f>
        <v>43040</v>
      </c>
      <c r="B35" s="121">
        <f>'Nov 17'!D197</f>
        <v>5593.5</v>
      </c>
      <c r="C35" s="121">
        <f>'Nov 17'!E197</f>
        <v>-901</v>
      </c>
      <c r="D35" s="121">
        <f>'Nov 17'!F197</f>
        <v>0</v>
      </c>
      <c r="E35" s="124">
        <f>+'Nov 17'!G197</f>
        <v>0</v>
      </c>
      <c r="F35" s="647">
        <f>'Nov 17'!H197</f>
        <v>225</v>
      </c>
      <c r="G35" s="648">
        <f>'Nov 17'!I197</f>
        <v>164</v>
      </c>
      <c r="H35" s="648">
        <f>'Nov 17'!J197</f>
        <v>35</v>
      </c>
      <c r="I35" s="648">
        <f>'Nov 17'!K197</f>
        <v>0</v>
      </c>
      <c r="J35" s="648">
        <f>'Nov 17'!L197</f>
        <v>3648</v>
      </c>
      <c r="K35" s="648">
        <f>'Nov 17'!M197</f>
        <v>0</v>
      </c>
      <c r="L35" s="648">
        <f>'Nov 17'!N197</f>
        <v>0</v>
      </c>
      <c r="M35" s="648">
        <f>'Nov 17'!O197</f>
        <v>0</v>
      </c>
      <c r="N35" s="648">
        <f>'Nov 17'!P197</f>
        <v>20</v>
      </c>
      <c r="O35" s="648">
        <f>'Nov 17'!Q197</f>
        <v>0</v>
      </c>
      <c r="P35" s="648">
        <f>'Nov 17'!R197</f>
        <v>65</v>
      </c>
      <c r="Q35" s="648">
        <f>'Nov 17'!S197</f>
        <v>55</v>
      </c>
      <c r="R35" s="648">
        <f>'Nov 17'!T197</f>
        <v>85</v>
      </c>
      <c r="S35" s="648">
        <f>'Nov 17'!U197</f>
        <v>138</v>
      </c>
      <c r="T35" s="648">
        <f>'Nov 17'!V197</f>
        <v>5.5</v>
      </c>
      <c r="U35" s="648">
        <f>'Nov 17'!W197</f>
        <v>95</v>
      </c>
      <c r="V35" s="648">
        <f>'Nov 17'!X197</f>
        <v>0</v>
      </c>
      <c r="W35" s="648">
        <f>'Nov 17'!Y197</f>
        <v>0</v>
      </c>
      <c r="X35" s="648">
        <f>'Nov 17'!Z197</f>
        <v>0</v>
      </c>
      <c r="Y35" s="648">
        <f>'Nov 17'!AA197</f>
        <v>0</v>
      </c>
      <c r="Z35" s="648">
        <f>'Nov 17'!AB197</f>
        <v>157</v>
      </c>
      <c r="AA35" s="649">
        <f>'Nov 17'!AC197</f>
        <v>0</v>
      </c>
      <c r="AB35" s="132">
        <f t="shared" ref="AB35:AB46" si="1">SUM(E35:AA35)</f>
        <v>4692.5</v>
      </c>
      <c r="AC35" s="137">
        <f>SUM(B35:D35)</f>
        <v>4692.5</v>
      </c>
      <c r="AD35" s="138">
        <f>+AB35-AC35</f>
        <v>0</v>
      </c>
      <c r="AE35" s="136">
        <f>IF(AD35=0,0,"ERROR HERE")</f>
        <v>0</v>
      </c>
    </row>
    <row r="36" spans="1:31">
      <c r="A36" s="115">
        <f>'Dec 17'!C4</f>
        <v>43071</v>
      </c>
      <c r="B36" s="121">
        <f>'Dec 17'!D197</f>
        <v>60393.49</v>
      </c>
      <c r="C36" s="121">
        <f>'Dec 17'!E197</f>
        <v>0</v>
      </c>
      <c r="D36" s="121">
        <f>'Dec 17'!F197</f>
        <v>0</v>
      </c>
      <c r="E36" s="124">
        <f>+'Dec 17'!G197</f>
        <v>0</v>
      </c>
      <c r="F36" s="647">
        <f>'Dec 17'!H197</f>
        <v>225</v>
      </c>
      <c r="G36" s="648">
        <f>'Dec 17'!I197</f>
        <v>164</v>
      </c>
      <c r="H36" s="648">
        <f>'Dec 17'!J197</f>
        <v>35</v>
      </c>
      <c r="I36" s="648">
        <f>'Dec 17'!K197</f>
        <v>0</v>
      </c>
      <c r="J36" s="648">
        <f>'Dec 17'!L197</f>
        <v>1824</v>
      </c>
      <c r="K36" s="648">
        <f>'Dec 17'!M197</f>
        <v>0</v>
      </c>
      <c r="L36" s="648">
        <f>'Dec 17'!N197</f>
        <v>0</v>
      </c>
      <c r="M36" s="648">
        <f>'Dec 17'!O197</f>
        <v>0</v>
      </c>
      <c r="N36" s="648">
        <f>'Dec 17'!P197</f>
        <v>20</v>
      </c>
      <c r="O36" s="648">
        <f>'Dec 17'!Q197</f>
        <v>0</v>
      </c>
      <c r="P36" s="648">
        <f>'Dec 17'!R197</f>
        <v>65</v>
      </c>
      <c r="Q36" s="648">
        <f>'Dec 17'!S197</f>
        <v>55</v>
      </c>
      <c r="R36" s="648">
        <f>'Dec 17'!T197</f>
        <v>85</v>
      </c>
      <c r="S36" s="648">
        <f>'Dec 17'!U197</f>
        <v>138</v>
      </c>
      <c r="T36" s="648">
        <f>'Dec 17'!V197</f>
        <v>5.5</v>
      </c>
      <c r="U36" s="648">
        <f>'Dec 17'!W197</f>
        <v>95</v>
      </c>
      <c r="V36" s="648">
        <f>'Dec 17'!X197</f>
        <v>50555.39</v>
      </c>
      <c r="W36" s="648">
        <f>'Dec 17'!Y197</f>
        <v>6969.6</v>
      </c>
      <c r="X36" s="648">
        <f>'Dec 17'!Z197</f>
        <v>0</v>
      </c>
      <c r="Y36" s="648">
        <f>'Dec 17'!AA197</f>
        <v>0</v>
      </c>
      <c r="Z36" s="648">
        <f>'Dec 17'!AB197</f>
        <v>157</v>
      </c>
      <c r="AA36" s="649">
        <f>'Dec 17'!AC197</f>
        <v>0</v>
      </c>
      <c r="AB36" s="132">
        <f t="shared" si="1"/>
        <v>60393.49</v>
      </c>
      <c r="AC36" s="137">
        <f t="shared" ref="AC36:AC46" si="2">SUM(B36:D36)</f>
        <v>60393.49</v>
      </c>
      <c r="AD36" s="138">
        <f t="shared" ref="AD36:AD46" si="3">+AB36-AC36</f>
        <v>0</v>
      </c>
      <c r="AE36" s="136">
        <f>IF(AD36=0,0,"ERROR HERE")</f>
        <v>0</v>
      </c>
    </row>
    <row r="37" spans="1:31">
      <c r="A37" s="115">
        <f>'Jan 18'!C4</f>
        <v>43102</v>
      </c>
      <c r="B37" s="121">
        <f>'Jan 18'!D197</f>
        <v>2868.5</v>
      </c>
      <c r="C37" s="121">
        <f>'Jan 18'!E197</f>
        <v>0</v>
      </c>
      <c r="D37" s="121">
        <f>'Jan 18'!F197</f>
        <v>0</v>
      </c>
      <c r="E37" s="124">
        <f>+'Jan 18'!G197</f>
        <v>0</v>
      </c>
      <c r="F37" s="647">
        <f>'Jan 18'!H197</f>
        <v>225</v>
      </c>
      <c r="G37" s="648">
        <f>'Jan 18'!I197</f>
        <v>164</v>
      </c>
      <c r="H37" s="648">
        <f>'Jan 18'!J197</f>
        <v>35</v>
      </c>
      <c r="I37" s="648">
        <f>'Jan 18'!K197</f>
        <v>0</v>
      </c>
      <c r="J37" s="648">
        <f>'Jan 18'!L197</f>
        <v>1824</v>
      </c>
      <c r="K37" s="648">
        <f>'Jan 18'!M197</f>
        <v>0</v>
      </c>
      <c r="L37" s="648">
        <f>'Jan 18'!N197</f>
        <v>0</v>
      </c>
      <c r="M37" s="648">
        <f>'Jan 18'!O197</f>
        <v>0</v>
      </c>
      <c r="N37" s="648">
        <f>'Jan 18'!P197</f>
        <v>20</v>
      </c>
      <c r="O37" s="648">
        <f>'Jan 18'!Q197</f>
        <v>0</v>
      </c>
      <c r="P37" s="648">
        <f>'Jan 18'!R197</f>
        <v>65</v>
      </c>
      <c r="Q37" s="648">
        <f>'Jan 18'!S197</f>
        <v>55</v>
      </c>
      <c r="R37" s="648">
        <f>'Jan 18'!T197</f>
        <v>85</v>
      </c>
      <c r="S37" s="648">
        <f>'Jan 18'!U197</f>
        <v>138</v>
      </c>
      <c r="T37" s="648">
        <f>'Jan 18'!V197</f>
        <v>5.5</v>
      </c>
      <c r="U37" s="648">
        <f>'Jan 18'!W197</f>
        <v>95</v>
      </c>
      <c r="V37" s="648">
        <f>'Jan 18'!X197</f>
        <v>0</v>
      </c>
      <c r="W37" s="648">
        <f>'Jan 18'!Y197</f>
        <v>0</v>
      </c>
      <c r="X37" s="648">
        <f>'Jan 18'!Z197</f>
        <v>0</v>
      </c>
      <c r="Y37" s="648">
        <f>'Jan 18'!AA197</f>
        <v>0</v>
      </c>
      <c r="Z37" s="648">
        <f>'Jan 18'!AB197</f>
        <v>157</v>
      </c>
      <c r="AA37" s="649">
        <f>'Jan 18'!AC197</f>
        <v>0</v>
      </c>
      <c r="AB37" s="132">
        <f t="shared" si="1"/>
        <v>2868.5</v>
      </c>
      <c r="AC37" s="137">
        <f t="shared" si="2"/>
        <v>2868.5</v>
      </c>
      <c r="AD37" s="138">
        <f t="shared" si="3"/>
        <v>0</v>
      </c>
      <c r="AE37" s="136">
        <f>IF(AD37=0,0,"ERROR HERE")</f>
        <v>0</v>
      </c>
    </row>
    <row r="38" spans="1:31">
      <c r="A38" s="115">
        <f>'Feb 18'!C4</f>
        <v>43133</v>
      </c>
      <c r="B38" s="121">
        <f>'Feb 18'!D197</f>
        <v>1971.5</v>
      </c>
      <c r="C38" s="121">
        <f>'Feb 18'!E197</f>
        <v>901</v>
      </c>
      <c r="D38" s="121">
        <f>'Feb 18'!F197</f>
        <v>0</v>
      </c>
      <c r="E38" s="124">
        <f>+'Feb 18'!G197</f>
        <v>0</v>
      </c>
      <c r="F38" s="647">
        <f>'Feb 18'!H197</f>
        <v>225</v>
      </c>
      <c r="G38" s="648">
        <f>'Feb 18'!I197</f>
        <v>164</v>
      </c>
      <c r="H38" s="648">
        <f>'Feb 18'!J197</f>
        <v>35</v>
      </c>
      <c r="I38" s="648">
        <f>'Feb 18'!K197</f>
        <v>0</v>
      </c>
      <c r="J38" s="648">
        <f>'Feb 18'!L197</f>
        <v>1824</v>
      </c>
      <c r="K38" s="648">
        <f>'Feb 18'!M197</f>
        <v>0</v>
      </c>
      <c r="L38" s="648">
        <f>'Feb 18'!N197</f>
        <v>0</v>
      </c>
      <c r="M38" s="648">
        <f>'Feb 18'!O197</f>
        <v>0</v>
      </c>
      <c r="N38" s="648">
        <f>'Feb 18'!P197</f>
        <v>20</v>
      </c>
      <c r="O38" s="648">
        <f>'Feb 18'!Q197</f>
        <v>0</v>
      </c>
      <c r="P38" s="648">
        <f>'Feb 18'!R197</f>
        <v>65</v>
      </c>
      <c r="Q38" s="648">
        <f>'Feb 18'!S197</f>
        <v>55</v>
      </c>
      <c r="R38" s="648">
        <f>'Feb 18'!T197</f>
        <v>85</v>
      </c>
      <c r="S38" s="648">
        <f>'Feb 18'!U197</f>
        <v>138</v>
      </c>
      <c r="T38" s="648">
        <f>'Feb 18'!V197</f>
        <v>9.5</v>
      </c>
      <c r="U38" s="648">
        <f>'Feb 18'!W197</f>
        <v>95</v>
      </c>
      <c r="V38" s="648">
        <f>'Feb 18'!X197</f>
        <v>0</v>
      </c>
      <c r="W38" s="648">
        <f>'Feb 18'!Y197</f>
        <v>0</v>
      </c>
      <c r="X38" s="648">
        <f>'Feb 18'!Z197</f>
        <v>0</v>
      </c>
      <c r="Y38" s="648">
        <f>'Feb 18'!AA197</f>
        <v>0</v>
      </c>
      <c r="Z38" s="648">
        <f>'Feb 18'!AB197</f>
        <v>157</v>
      </c>
      <c r="AA38" s="649">
        <f>'Feb 18'!AC197</f>
        <v>0</v>
      </c>
      <c r="AB38" s="132">
        <f t="shared" si="1"/>
        <v>2872.5</v>
      </c>
      <c r="AC38" s="137">
        <f t="shared" si="2"/>
        <v>2872.5</v>
      </c>
      <c r="AD38" s="138">
        <f t="shared" si="3"/>
        <v>0</v>
      </c>
      <c r="AE38" s="136">
        <f t="shared" ref="AE38:AE46" si="4">IF(AD38=0,0,"ERROR HERE")</f>
        <v>0</v>
      </c>
    </row>
    <row r="39" spans="1:31">
      <c r="A39" s="115">
        <f>'Mar 18'!C4</f>
        <v>43164</v>
      </c>
      <c r="B39" s="121">
        <f>'Mar 18'!D197</f>
        <v>5780.3</v>
      </c>
      <c r="C39" s="121">
        <f>'Mar 18'!E197</f>
        <v>914</v>
      </c>
      <c r="D39" s="121">
        <f>'Mar 18'!F197</f>
        <v>0</v>
      </c>
      <c r="E39" s="124">
        <f>+'Mar 18'!G197</f>
        <v>0</v>
      </c>
      <c r="F39" s="647">
        <f>'Mar 18'!H197</f>
        <v>225</v>
      </c>
      <c r="G39" s="648">
        <f>'Mar 18'!I197</f>
        <v>164</v>
      </c>
      <c r="H39" s="648">
        <f>'Mar 18'!J197</f>
        <v>35</v>
      </c>
      <c r="I39" s="648">
        <f>'Mar 18'!K197</f>
        <v>0</v>
      </c>
      <c r="J39" s="648">
        <f>'Mar 18'!L197</f>
        <v>1824</v>
      </c>
      <c r="K39" s="648">
        <f>'Mar 18'!M197</f>
        <v>0</v>
      </c>
      <c r="L39" s="648">
        <f>'Mar 18'!N197</f>
        <v>0</v>
      </c>
      <c r="M39" s="648">
        <f>'Mar 18'!O197</f>
        <v>0</v>
      </c>
      <c r="N39" s="648">
        <f>'Mar 18'!P197</f>
        <v>20</v>
      </c>
      <c r="O39" s="648">
        <f>'Mar 18'!Q197</f>
        <v>0</v>
      </c>
      <c r="P39" s="648">
        <f>'Mar 18'!R197</f>
        <v>65</v>
      </c>
      <c r="Q39" s="648">
        <f>'Mar 18'!S197</f>
        <v>55</v>
      </c>
      <c r="R39" s="648">
        <f>'Mar 18'!T197</f>
        <v>85</v>
      </c>
      <c r="S39" s="648">
        <f>'Mar 18'!U197</f>
        <v>138</v>
      </c>
      <c r="T39" s="648">
        <f>'Mar 18'!V197</f>
        <v>6.8</v>
      </c>
      <c r="U39" s="648">
        <f>'Mar 18'!W197</f>
        <v>95</v>
      </c>
      <c r="V39" s="648">
        <f>'Mar 18'!X197</f>
        <v>0</v>
      </c>
      <c r="W39" s="648">
        <f>'Mar 18'!Y197</f>
        <v>3811.5</v>
      </c>
      <c r="X39" s="648">
        <f>'Mar 18'!Z197</f>
        <v>0</v>
      </c>
      <c r="Y39" s="648">
        <f>'Mar 18'!AA197</f>
        <v>0</v>
      </c>
      <c r="Z39" s="648">
        <f>'Mar 18'!AB197</f>
        <v>157</v>
      </c>
      <c r="AA39" s="649">
        <f>'Mar 18'!AC197</f>
        <v>13</v>
      </c>
      <c r="AB39" s="132">
        <f t="shared" si="1"/>
        <v>6694.3</v>
      </c>
      <c r="AC39" s="137">
        <f t="shared" si="2"/>
        <v>6694.3</v>
      </c>
      <c r="AD39" s="138">
        <f t="shared" si="3"/>
        <v>0</v>
      </c>
      <c r="AE39" s="136">
        <f t="shared" si="4"/>
        <v>0</v>
      </c>
    </row>
    <row r="40" spans="1:31">
      <c r="A40" s="115">
        <f>'Apr 18'!C4</f>
        <v>43195</v>
      </c>
      <c r="B40" s="121">
        <f>'Apr 18'!D197</f>
        <v>4033.5299999999997</v>
      </c>
      <c r="C40" s="121">
        <f>'Apr 18'!E197</f>
        <v>-1028</v>
      </c>
      <c r="D40" s="121">
        <f>'Apr 18'!F197</f>
        <v>0</v>
      </c>
      <c r="E40" s="124">
        <f>+'Apr 18'!G197</f>
        <v>0</v>
      </c>
      <c r="F40" s="647">
        <f>'Apr 18'!H197</f>
        <v>225</v>
      </c>
      <c r="G40" s="648">
        <f>'Apr 18'!I197</f>
        <v>164</v>
      </c>
      <c r="H40" s="648">
        <f>'Apr 18'!J197</f>
        <v>65</v>
      </c>
      <c r="I40" s="648">
        <f>'Apr 18'!K197</f>
        <v>0</v>
      </c>
      <c r="J40" s="648">
        <f>'Apr 18'!L197</f>
        <v>1824</v>
      </c>
      <c r="K40" s="648">
        <f>'Apr 18'!M197</f>
        <v>264.02999999999997</v>
      </c>
      <c r="L40" s="648">
        <f>'Apr 18'!N197</f>
        <v>0</v>
      </c>
      <c r="M40" s="648">
        <f>'Apr 18'!O197</f>
        <v>0</v>
      </c>
      <c r="N40" s="648">
        <f>'Apr 18'!P197</f>
        <v>20</v>
      </c>
      <c r="O40" s="648">
        <f>'Apr 18'!Q197</f>
        <v>0</v>
      </c>
      <c r="P40" s="648">
        <f>'Apr 18'!R197</f>
        <v>65</v>
      </c>
      <c r="Q40" s="648">
        <f>'Apr 18'!S197</f>
        <v>55</v>
      </c>
      <c r="R40" s="648">
        <f>'Apr 18'!T197</f>
        <v>85</v>
      </c>
      <c r="S40" s="648">
        <f>'Apr 18'!U197</f>
        <v>138</v>
      </c>
      <c r="T40" s="648">
        <f>'Apr 18'!V197</f>
        <v>5.5</v>
      </c>
      <c r="U40" s="648">
        <f>'Apr 18'!W197</f>
        <v>95</v>
      </c>
      <c r="V40" s="648">
        <f>'Apr 18'!X197</f>
        <v>0</v>
      </c>
      <c r="W40" s="648">
        <f>'Apr 18'!Y197</f>
        <v>0</v>
      </c>
      <c r="X40" s="648">
        <f>'Apr 18'!Z197</f>
        <v>0</v>
      </c>
      <c r="Y40" s="648">
        <f>'Apr 18'!AA197</f>
        <v>0</v>
      </c>
      <c r="Z40" s="648">
        <f>'Apr 18'!AB197</f>
        <v>0</v>
      </c>
      <c r="AA40" s="649">
        <f>'Apr 18'!AC197</f>
        <v>0</v>
      </c>
      <c r="AB40" s="132">
        <f t="shared" si="1"/>
        <v>3005.5299999999997</v>
      </c>
      <c r="AC40" s="137">
        <f t="shared" si="2"/>
        <v>3005.5299999999997</v>
      </c>
      <c r="AD40" s="138">
        <f t="shared" si="3"/>
        <v>0</v>
      </c>
      <c r="AE40" s="136">
        <f t="shared" si="4"/>
        <v>0</v>
      </c>
    </row>
    <row r="41" spans="1:31">
      <c r="A41" s="115">
        <f>'May 18'!C4</f>
        <v>43226</v>
      </c>
      <c r="B41" s="121">
        <f>'May 18'!D197</f>
        <v>51755.5</v>
      </c>
      <c r="C41" s="121">
        <f>'May 18'!E197</f>
        <v>774</v>
      </c>
      <c r="D41" s="121">
        <f>'May 18'!F197</f>
        <v>0</v>
      </c>
      <c r="E41" s="124">
        <f>+'May 18'!G197</f>
        <v>0</v>
      </c>
      <c r="F41" s="647">
        <f>'May 18'!H197</f>
        <v>225</v>
      </c>
      <c r="G41" s="648">
        <f>'May 18'!I197</f>
        <v>164</v>
      </c>
      <c r="H41" s="648">
        <f>'May 18'!J197</f>
        <v>65</v>
      </c>
      <c r="I41" s="648">
        <f>'May 18'!K197</f>
        <v>0</v>
      </c>
      <c r="J41" s="648">
        <f>'May 18'!L197</f>
        <v>1612</v>
      </c>
      <c r="K41" s="648">
        <f>'May 18'!M197</f>
        <v>0</v>
      </c>
      <c r="L41" s="648">
        <f>'May 18'!N197</f>
        <v>50000</v>
      </c>
      <c r="M41" s="648">
        <f>'May 18'!O197</f>
        <v>0</v>
      </c>
      <c r="N41" s="648">
        <f>'May 18'!P197</f>
        <v>20</v>
      </c>
      <c r="O41" s="648">
        <f>'May 18'!Q197</f>
        <v>0</v>
      </c>
      <c r="P41" s="648">
        <f>'May 18'!R197</f>
        <v>65</v>
      </c>
      <c r="Q41" s="648">
        <f>'May 18'!S197</f>
        <v>55</v>
      </c>
      <c r="R41" s="648">
        <f>'May 18'!T197</f>
        <v>85</v>
      </c>
      <c r="S41" s="648">
        <f>'May 18'!U197</f>
        <v>138</v>
      </c>
      <c r="T41" s="648">
        <f>'May 18'!V197</f>
        <v>5.5</v>
      </c>
      <c r="U41" s="648">
        <f>'May 18'!W197</f>
        <v>95</v>
      </c>
      <c r="V41" s="648">
        <f>'May 18'!X197</f>
        <v>0</v>
      </c>
      <c r="W41" s="648">
        <f>'May 18'!Y197</f>
        <v>0</v>
      </c>
      <c r="X41" s="648">
        <f>'May 18'!Z197</f>
        <v>0</v>
      </c>
      <c r="Y41" s="648">
        <f>'May 18'!AA197</f>
        <v>0</v>
      </c>
      <c r="Z41" s="648">
        <f>'May 18'!AB197</f>
        <v>0</v>
      </c>
      <c r="AA41" s="649">
        <f>'May 18'!AC197</f>
        <v>0</v>
      </c>
      <c r="AB41" s="132">
        <f t="shared" si="1"/>
        <v>52529.5</v>
      </c>
      <c r="AC41" s="137">
        <f t="shared" si="2"/>
        <v>52529.5</v>
      </c>
      <c r="AD41" s="138">
        <f t="shared" si="3"/>
        <v>0</v>
      </c>
      <c r="AE41" s="136">
        <f t="shared" si="4"/>
        <v>0</v>
      </c>
    </row>
    <row r="42" spans="1:31">
      <c r="A42" s="115">
        <f>'Jun 18'!C4</f>
        <v>43257</v>
      </c>
      <c r="B42" s="121">
        <f>'Jun 18'!D197</f>
        <v>59517.95</v>
      </c>
      <c r="C42" s="121">
        <f>'Jun 18'!E197</f>
        <v>760</v>
      </c>
      <c r="D42" s="121">
        <f>'Jun 18'!F197</f>
        <v>0</v>
      </c>
      <c r="E42" s="124">
        <f>+'Jun 18'!G197</f>
        <v>0</v>
      </c>
      <c r="F42" s="647">
        <f>'Jun 18'!H197</f>
        <v>215</v>
      </c>
      <c r="G42" s="648">
        <f>'Jun 18'!I197</f>
        <v>170</v>
      </c>
      <c r="H42" s="648">
        <f>'Jun 18'!J197</f>
        <v>65</v>
      </c>
      <c r="I42" s="648">
        <f>'Jun 18'!K197</f>
        <v>0</v>
      </c>
      <c r="J42" s="648">
        <f>'Jun 18'!L197</f>
        <v>1612</v>
      </c>
      <c r="K42" s="648">
        <f>'Jun 18'!M197</f>
        <v>0</v>
      </c>
      <c r="L42" s="648">
        <f>'Jun 18'!N197</f>
        <v>0</v>
      </c>
      <c r="M42" s="648">
        <f>'Jun 18'!O197</f>
        <v>0</v>
      </c>
      <c r="N42" s="648">
        <f>'Jun 18'!P197</f>
        <v>10</v>
      </c>
      <c r="O42" s="648">
        <f>'Jun 18'!Q197</f>
        <v>0</v>
      </c>
      <c r="P42" s="648">
        <f>'Jun 18'!R197</f>
        <v>65</v>
      </c>
      <c r="Q42" s="648">
        <f>'Jun 18'!S197</f>
        <v>55</v>
      </c>
      <c r="R42" s="648">
        <f>'Jun 18'!T197</f>
        <v>85</v>
      </c>
      <c r="S42" s="648">
        <f>'Jun 18'!U197</f>
        <v>138</v>
      </c>
      <c r="T42" s="648">
        <f>'Jun 18'!V197</f>
        <v>5.5</v>
      </c>
      <c r="U42" s="648">
        <f>'Jun 18'!W197</f>
        <v>95</v>
      </c>
      <c r="V42" s="648">
        <f>'Jun 18'!X197</f>
        <v>50683.95</v>
      </c>
      <c r="W42" s="648">
        <f>'Jun 18'!Y197</f>
        <v>7078.5</v>
      </c>
      <c r="X42" s="648">
        <f>'Jun 18'!Z197</f>
        <v>0</v>
      </c>
      <c r="Y42" s="648">
        <f>'Jun 18'!AA197</f>
        <v>0</v>
      </c>
      <c r="Z42" s="648">
        <f>'Jun 18'!AB197</f>
        <v>0</v>
      </c>
      <c r="AA42" s="649">
        <f>'Jun 18'!AC197</f>
        <v>0</v>
      </c>
      <c r="AB42" s="132">
        <f t="shared" si="1"/>
        <v>60277.95</v>
      </c>
      <c r="AC42" s="137">
        <f t="shared" si="2"/>
        <v>60277.95</v>
      </c>
      <c r="AD42" s="138">
        <f t="shared" si="3"/>
        <v>0</v>
      </c>
      <c r="AE42" s="136">
        <f t="shared" si="4"/>
        <v>0</v>
      </c>
    </row>
    <row r="43" spans="1:31">
      <c r="A43" s="115">
        <f>'Jul 18'!C4</f>
        <v>43288</v>
      </c>
      <c r="B43" s="121">
        <f>'Jul 18'!D197</f>
        <v>23035.83</v>
      </c>
      <c r="C43" s="121">
        <f>'Jul 18'!E197</f>
        <v>760</v>
      </c>
      <c r="D43" s="121">
        <f>'Jul 18'!F197</f>
        <v>0</v>
      </c>
      <c r="E43" s="124">
        <f>+'Jul 18'!G197</f>
        <v>0</v>
      </c>
      <c r="F43" s="647">
        <f>'Jul 18'!H197</f>
        <v>215</v>
      </c>
      <c r="G43" s="648">
        <f>'Jul 18'!I197</f>
        <v>170</v>
      </c>
      <c r="H43" s="648">
        <f>'Jul 18'!J197</f>
        <v>65</v>
      </c>
      <c r="I43" s="648">
        <f>'Jul 18'!K197</f>
        <v>0</v>
      </c>
      <c r="J43" s="648">
        <f>'Jul 18'!L197</f>
        <v>1612</v>
      </c>
      <c r="K43" s="648">
        <f>'Jul 18'!M197</f>
        <v>0</v>
      </c>
      <c r="L43" s="648">
        <f>'Jul 18'!N197</f>
        <v>0</v>
      </c>
      <c r="M43" s="648">
        <f>'Jul 18'!O197</f>
        <v>0</v>
      </c>
      <c r="N43" s="648">
        <f>'Jul 18'!P197</f>
        <v>10</v>
      </c>
      <c r="O43" s="648">
        <f>'Jul 18'!Q197</f>
        <v>0</v>
      </c>
      <c r="P43" s="648">
        <f>'Jul 18'!R197</f>
        <v>65</v>
      </c>
      <c r="Q43" s="648">
        <f>'Jul 18'!S197</f>
        <v>55</v>
      </c>
      <c r="R43" s="648">
        <f>'Jul 18'!T197</f>
        <v>85</v>
      </c>
      <c r="S43" s="648">
        <f>'Jul 18'!U197</f>
        <v>138</v>
      </c>
      <c r="T43" s="648">
        <f>'Jul 18'!V197</f>
        <v>5.5</v>
      </c>
      <c r="U43" s="648">
        <f>'Jul 18'!W197</f>
        <v>95</v>
      </c>
      <c r="V43" s="648">
        <f>'Jul 18'!X197</f>
        <v>0</v>
      </c>
      <c r="W43" s="648">
        <f>'Jul 18'!Y197</f>
        <v>0</v>
      </c>
      <c r="X43" s="648">
        <f>'Jul 18'!Z197</f>
        <v>21280.33</v>
      </c>
      <c r="Y43" s="648">
        <f>'Jul 18'!AA197</f>
        <v>0</v>
      </c>
      <c r="Z43" s="648">
        <f>'Jul 18'!AB197</f>
        <v>0</v>
      </c>
      <c r="AA43" s="649">
        <f>'Jul 18'!AC197</f>
        <v>0</v>
      </c>
      <c r="AB43" s="132">
        <f t="shared" si="1"/>
        <v>23795.83</v>
      </c>
      <c r="AC43" s="137">
        <f t="shared" si="2"/>
        <v>23795.83</v>
      </c>
      <c r="AD43" s="138">
        <f t="shared" si="3"/>
        <v>0</v>
      </c>
      <c r="AE43" s="136">
        <f t="shared" si="4"/>
        <v>0</v>
      </c>
    </row>
    <row r="44" spans="1:31">
      <c r="A44" s="115">
        <f>'Aug 18'!C4</f>
        <v>43319</v>
      </c>
      <c r="B44" s="121">
        <f>'Aug 18'!D197</f>
        <v>4823.5</v>
      </c>
      <c r="C44" s="121">
        <f>'Aug 18'!E197</f>
        <v>-2294</v>
      </c>
      <c r="D44" s="121">
        <f>'Aug 18'!F197</f>
        <v>0</v>
      </c>
      <c r="E44" s="124">
        <f>+'Aug 18'!G197</f>
        <v>0</v>
      </c>
      <c r="F44" s="647">
        <f>'Aug 18'!H197</f>
        <v>225</v>
      </c>
      <c r="G44" s="648">
        <f>'Aug 18'!I197</f>
        <v>164</v>
      </c>
      <c r="H44" s="648">
        <f>'Aug 18'!J197</f>
        <v>65</v>
      </c>
      <c r="I44" s="648">
        <f>'Aug 18'!K197</f>
        <v>0</v>
      </c>
      <c r="J44" s="648">
        <f>'Aug 18'!L197</f>
        <v>1612</v>
      </c>
      <c r="K44" s="648">
        <f>'Aug 18'!M197</f>
        <v>0</v>
      </c>
      <c r="L44" s="648">
        <f>'Aug 18'!N197</f>
        <v>0</v>
      </c>
      <c r="M44" s="648">
        <f>'Aug 18'!O197</f>
        <v>0</v>
      </c>
      <c r="N44" s="648">
        <f>'Aug 18'!P197</f>
        <v>20</v>
      </c>
      <c r="O44" s="648">
        <f>'Aug 18'!Q197</f>
        <v>0</v>
      </c>
      <c r="P44" s="648">
        <f>'Aug 18'!R197</f>
        <v>65</v>
      </c>
      <c r="Q44" s="648">
        <f>'Aug 18'!S197</f>
        <v>55</v>
      </c>
      <c r="R44" s="648">
        <f>'Aug 18'!T197</f>
        <v>85</v>
      </c>
      <c r="S44" s="648">
        <f>'Aug 18'!U197</f>
        <v>138</v>
      </c>
      <c r="T44" s="648">
        <f>'Aug 18'!V197</f>
        <v>5.5</v>
      </c>
      <c r="U44" s="648">
        <f>'Aug 18'!W197</f>
        <v>95</v>
      </c>
      <c r="V44" s="648">
        <f>'Aug 18'!X197</f>
        <v>0</v>
      </c>
      <c r="W44" s="648">
        <f>'Aug 18'!Y197</f>
        <v>0</v>
      </c>
      <c r="X44" s="648">
        <f>'Aug 18'!Z197</f>
        <v>0</v>
      </c>
      <c r="Y44" s="648">
        <f>'Aug 18'!AA197</f>
        <v>0</v>
      </c>
      <c r="Z44" s="648">
        <f>'Aug 18'!AB197</f>
        <v>0</v>
      </c>
      <c r="AA44" s="649">
        <f>'Aug 18'!AC197</f>
        <v>0</v>
      </c>
      <c r="AB44" s="132">
        <f t="shared" si="1"/>
        <v>2529.5</v>
      </c>
      <c r="AC44" s="137">
        <f t="shared" si="2"/>
        <v>2529.5</v>
      </c>
      <c r="AD44" s="138">
        <f t="shared" si="3"/>
        <v>0</v>
      </c>
      <c r="AE44" s="136">
        <f t="shared" si="4"/>
        <v>0</v>
      </c>
    </row>
    <row r="45" spans="1:31">
      <c r="A45" s="115">
        <f>'Sep 18'!C4</f>
        <v>43350</v>
      </c>
      <c r="B45" s="121">
        <f>'Sep 18'!D197</f>
        <v>5893.7</v>
      </c>
      <c r="C45" s="121">
        <f>'Sep 18'!E197</f>
        <v>645</v>
      </c>
      <c r="D45" s="121">
        <f>'Sep 18'!F197</f>
        <v>0</v>
      </c>
      <c r="E45" s="124">
        <f>+'Sep 18'!G197</f>
        <v>0</v>
      </c>
      <c r="F45" s="647">
        <f>'Sep 18'!H197</f>
        <v>125</v>
      </c>
      <c r="G45" s="648">
        <f>'Sep 18'!I197</f>
        <v>164</v>
      </c>
      <c r="H45" s="648">
        <f>'Sep 18'!J197</f>
        <v>65</v>
      </c>
      <c r="I45" s="648">
        <f>'Sep 18'!K197</f>
        <v>0</v>
      </c>
      <c r="J45" s="648">
        <f>'Sep 18'!L197</f>
        <v>1612</v>
      </c>
      <c r="K45" s="648">
        <f>'Sep 18'!M197</f>
        <v>0</v>
      </c>
      <c r="L45" s="648">
        <f>'Sep 18'!N197</f>
        <v>0</v>
      </c>
      <c r="M45" s="648">
        <f>'Sep 18'!O197</f>
        <v>0</v>
      </c>
      <c r="N45" s="648">
        <f>'Sep 18'!P197</f>
        <v>10</v>
      </c>
      <c r="O45" s="648">
        <f>'Sep 18'!Q197</f>
        <v>0</v>
      </c>
      <c r="P45" s="648">
        <f>'Sep 18'!R197</f>
        <v>65</v>
      </c>
      <c r="Q45" s="648">
        <f>'Sep 18'!S197</f>
        <v>86</v>
      </c>
      <c r="R45" s="648">
        <f>'Sep 18'!T197</f>
        <v>85</v>
      </c>
      <c r="S45" s="648">
        <f>'Sep 18'!U197</f>
        <v>138</v>
      </c>
      <c r="T45" s="648">
        <f>'Sep 18'!V197</f>
        <v>5.5</v>
      </c>
      <c r="U45" s="648">
        <f>'Sep 18'!W197</f>
        <v>45</v>
      </c>
      <c r="V45" s="648">
        <f>'Sep 18'!X197</f>
        <v>0</v>
      </c>
      <c r="W45" s="648">
        <f>'Sep 18'!Y197</f>
        <v>4138.2</v>
      </c>
      <c r="X45" s="648">
        <f>'Sep 18'!Z197</f>
        <v>0</v>
      </c>
      <c r="Y45" s="648">
        <f>'Sep 18'!AA197</f>
        <v>0</v>
      </c>
      <c r="Z45" s="648">
        <f>'Sep 18'!AB197</f>
        <v>0</v>
      </c>
      <c r="AA45" s="649">
        <f>'Sep 18'!AC197</f>
        <v>0</v>
      </c>
      <c r="AB45" s="132">
        <f t="shared" si="1"/>
        <v>6538.7</v>
      </c>
      <c r="AC45" s="137">
        <f t="shared" si="2"/>
        <v>6538.7</v>
      </c>
      <c r="AD45" s="138">
        <f t="shared" si="3"/>
        <v>0</v>
      </c>
      <c r="AE45" s="136">
        <f t="shared" si="4"/>
        <v>0</v>
      </c>
    </row>
    <row r="46" spans="1:31">
      <c r="A46" s="115">
        <f>'Oct 18'!C4</f>
        <v>43381</v>
      </c>
      <c r="B46" s="121">
        <f>'Oct 18'!D197</f>
        <v>1906.04</v>
      </c>
      <c r="C46" s="121">
        <f>'Oct 18'!E197</f>
        <v>635</v>
      </c>
      <c r="D46" s="121">
        <f>'Oct 18'!F197</f>
        <v>0</v>
      </c>
      <c r="E46" s="124">
        <f>+'Oct 18'!G197</f>
        <v>0</v>
      </c>
      <c r="F46" s="647">
        <f>'Oct 18'!H197</f>
        <v>128</v>
      </c>
      <c r="G46" s="648">
        <f>'Oct 18'!I197</f>
        <v>164</v>
      </c>
      <c r="H46" s="648">
        <f>'Oct 18'!J197</f>
        <v>65</v>
      </c>
      <c r="I46" s="648">
        <f>'Oct 18'!K197</f>
        <v>0</v>
      </c>
      <c r="J46" s="648">
        <f>'Oct 18'!L197</f>
        <v>1612</v>
      </c>
      <c r="K46" s="648">
        <f>'Oct 18'!M197</f>
        <v>150.54</v>
      </c>
      <c r="L46" s="648">
        <f>'Oct 18'!N197</f>
        <v>0</v>
      </c>
      <c r="M46" s="648">
        <f>'Oct 18'!O197</f>
        <v>0</v>
      </c>
      <c r="N46" s="648">
        <f>'Oct 18'!P197</f>
        <v>8</v>
      </c>
      <c r="O46" s="648">
        <f>'Oct 18'!Q197</f>
        <v>780</v>
      </c>
      <c r="P46" s="648">
        <f>'Oct 18'!R197</f>
        <v>-715</v>
      </c>
      <c r="Q46" s="648">
        <f>'Oct 18'!S197</f>
        <v>55</v>
      </c>
      <c r="R46" s="648">
        <f>'Oct 18'!T197</f>
        <v>85</v>
      </c>
      <c r="S46" s="648">
        <f>'Oct 18'!U197</f>
        <v>138</v>
      </c>
      <c r="T46" s="648">
        <f>'Oct 18'!V197</f>
        <v>5.5</v>
      </c>
      <c r="U46" s="648">
        <f>'Oct 18'!W197</f>
        <v>65</v>
      </c>
      <c r="V46" s="648">
        <f>'Oct 18'!X197</f>
        <v>0</v>
      </c>
      <c r="W46" s="648">
        <f>'Oct 18'!Y197</f>
        <v>0</v>
      </c>
      <c r="X46" s="648">
        <f>'Oct 18'!Z197</f>
        <v>0</v>
      </c>
      <c r="Y46" s="648">
        <f>'Oct 18'!AA197</f>
        <v>0</v>
      </c>
      <c r="Z46" s="648">
        <f>'Oct 18'!AB197</f>
        <v>0</v>
      </c>
      <c r="AA46" s="649">
        <f>'Oct 18'!AC197</f>
        <v>0</v>
      </c>
      <c r="AB46" s="542">
        <f t="shared" si="1"/>
        <v>2541.04</v>
      </c>
      <c r="AC46" s="543">
        <f t="shared" si="2"/>
        <v>2541.04</v>
      </c>
      <c r="AD46" s="138">
        <f t="shared" si="3"/>
        <v>0</v>
      </c>
      <c r="AE46" s="136">
        <f t="shared" si="4"/>
        <v>0</v>
      </c>
    </row>
    <row r="47" spans="1:31" s="133" customFormat="1" ht="13.5" thickBot="1">
      <c r="A47" s="84" t="s">
        <v>88</v>
      </c>
      <c r="B47" s="118">
        <f>SUM(B34:B46)</f>
        <v>227573.34000000005</v>
      </c>
      <c r="C47" s="118">
        <f>SUM(C34:C46)</f>
        <v>1166</v>
      </c>
      <c r="D47" s="118">
        <f>SUM(D34:D46)</f>
        <v>0</v>
      </c>
      <c r="E47" s="150">
        <f t="shared" ref="E47:AA47" si="5">SUM(E34:E46)</f>
        <v>0</v>
      </c>
      <c r="F47" s="652">
        <f t="shared" si="5"/>
        <v>2483</v>
      </c>
      <c r="G47" s="118">
        <f t="shared" si="5"/>
        <v>1980</v>
      </c>
      <c r="H47" s="118">
        <f t="shared" si="5"/>
        <v>630</v>
      </c>
      <c r="I47" s="118">
        <f t="shared" si="5"/>
        <v>0</v>
      </c>
      <c r="J47" s="118">
        <f t="shared" si="5"/>
        <v>22440</v>
      </c>
      <c r="K47" s="118">
        <f t="shared" si="5"/>
        <v>414.56999999999994</v>
      </c>
      <c r="L47" s="118">
        <f t="shared" si="5"/>
        <v>50000</v>
      </c>
      <c r="M47" s="118">
        <f t="shared" si="5"/>
        <v>0</v>
      </c>
      <c r="N47" s="118">
        <f t="shared" si="5"/>
        <v>198</v>
      </c>
      <c r="O47" s="118">
        <f t="shared" si="5"/>
        <v>780</v>
      </c>
      <c r="P47" s="118">
        <f t="shared" si="5"/>
        <v>0</v>
      </c>
      <c r="Q47" s="118">
        <f t="shared" si="5"/>
        <v>691</v>
      </c>
      <c r="R47" s="118">
        <f t="shared" si="5"/>
        <v>1020</v>
      </c>
      <c r="S47" s="118">
        <f t="shared" si="5"/>
        <v>1656</v>
      </c>
      <c r="T47" s="118">
        <f t="shared" si="5"/>
        <v>71.3</v>
      </c>
      <c r="U47" s="118">
        <f t="shared" si="5"/>
        <v>1060</v>
      </c>
      <c r="V47" s="118">
        <f t="shared" si="5"/>
        <v>101239.34</v>
      </c>
      <c r="W47" s="118">
        <f t="shared" si="5"/>
        <v>21997.8</v>
      </c>
      <c r="X47" s="118">
        <f t="shared" si="5"/>
        <v>21280.33</v>
      </c>
      <c r="Y47" s="118">
        <f t="shared" si="5"/>
        <v>0</v>
      </c>
      <c r="Z47" s="118">
        <f t="shared" si="5"/>
        <v>785</v>
      </c>
      <c r="AA47" s="118">
        <f t="shared" si="5"/>
        <v>13</v>
      </c>
      <c r="AB47" s="167"/>
      <c r="AC47" s="167"/>
    </row>
    <row r="48" spans="1:31" s="778" customFormat="1">
      <c r="A48" s="772"/>
      <c r="B48" s="773" t="s">
        <v>524</v>
      </c>
      <c r="C48" s="773" t="s">
        <v>525</v>
      </c>
      <c r="D48" s="773"/>
      <c r="E48" s="773"/>
      <c r="F48" s="773" t="s">
        <v>526</v>
      </c>
      <c r="G48" s="773" t="s">
        <v>527</v>
      </c>
      <c r="H48" s="773" t="s">
        <v>528</v>
      </c>
      <c r="I48" s="773"/>
      <c r="J48" s="773" t="s">
        <v>519</v>
      </c>
      <c r="K48" s="773" t="s">
        <v>517</v>
      </c>
      <c r="L48" s="773" t="s">
        <v>267</v>
      </c>
      <c r="M48" s="773"/>
      <c r="N48" s="773" t="s">
        <v>529</v>
      </c>
      <c r="O48" s="773" t="s">
        <v>530</v>
      </c>
      <c r="P48" s="773" t="s">
        <v>261</v>
      </c>
      <c r="Q48" s="773" t="s">
        <v>531</v>
      </c>
      <c r="R48" s="773" t="s">
        <v>532</v>
      </c>
      <c r="S48" s="776" t="s">
        <v>533</v>
      </c>
      <c r="T48" s="776" t="s">
        <v>534</v>
      </c>
      <c r="U48" s="776" t="s">
        <v>535</v>
      </c>
      <c r="V48" s="776" t="s">
        <v>536</v>
      </c>
      <c r="W48" s="776" t="s">
        <v>516</v>
      </c>
      <c r="X48" s="776" t="s">
        <v>518</v>
      </c>
      <c r="Y48" s="776"/>
      <c r="Z48" s="776" t="s">
        <v>537</v>
      </c>
      <c r="AA48" s="777"/>
    </row>
    <row r="49" spans="1:21">
      <c r="U49" s="767" t="s">
        <v>508</v>
      </c>
    </row>
    <row r="50" spans="1:21">
      <c r="A50" s="768" t="s">
        <v>510</v>
      </c>
      <c r="B50" s="781"/>
      <c r="C50" s="781"/>
      <c r="D50" s="769"/>
      <c r="E50" s="770" t="s">
        <v>511</v>
      </c>
      <c r="F50" s="372"/>
      <c r="G50" s="769"/>
      <c r="H50" s="769"/>
      <c r="I50" s="770" t="s">
        <v>512</v>
      </c>
      <c r="J50" s="769"/>
      <c r="K50" s="769"/>
      <c r="U50" s="767" t="s">
        <v>509</v>
      </c>
    </row>
    <row r="51" spans="1:21">
      <c r="A51" s="768" t="s">
        <v>513</v>
      </c>
      <c r="B51" s="781"/>
      <c r="C51" s="781">
        <f>'VAT Summary'!K36</f>
        <v>255.19999999999709</v>
      </c>
      <c r="D51" s="769"/>
      <c r="E51" s="770" t="s">
        <v>514</v>
      </c>
      <c r="F51" s="771">
        <f>'PAYE Summary'!B39</f>
        <v>9959.4500000000007</v>
      </c>
      <c r="G51" s="769"/>
      <c r="H51" s="769"/>
      <c r="I51" s="770" t="s">
        <v>515</v>
      </c>
      <c r="J51" s="769">
        <v>18489.66</v>
      </c>
      <c r="K51" s="769"/>
    </row>
    <row r="52" spans="1:21">
      <c r="A52" s="768" t="s">
        <v>516</v>
      </c>
      <c r="B52" s="781">
        <f>C51</f>
        <v>255.19999999999709</v>
      </c>
      <c r="C52" s="781"/>
      <c r="D52" s="769"/>
      <c r="E52" s="767" t="s">
        <v>543</v>
      </c>
      <c r="F52" s="371">
        <f>'PAYE Summary'!B40</f>
        <v>10032.100000000002</v>
      </c>
      <c r="H52" s="769"/>
      <c r="I52" s="770" t="s">
        <v>518</v>
      </c>
      <c r="J52" s="769"/>
      <c r="K52" s="769">
        <f>J51</f>
        <v>18489.66</v>
      </c>
    </row>
    <row r="53" spans="1:21">
      <c r="A53" s="768"/>
      <c r="B53" s="769"/>
      <c r="C53" s="769"/>
      <c r="D53" s="769"/>
      <c r="E53" s="770" t="s">
        <v>517</v>
      </c>
      <c r="F53" s="372"/>
      <c r="G53" s="769">
        <f>'PAYE Summary'!D41+'PAYE Summary'!C41</f>
        <v>647.54999999999995</v>
      </c>
      <c r="H53" s="769"/>
      <c r="I53" s="770"/>
      <c r="J53" s="769"/>
      <c r="K53" s="769"/>
    </row>
    <row r="54" spans="1:21">
      <c r="A54" s="768"/>
      <c r="B54" s="769"/>
      <c r="C54" s="769"/>
      <c r="D54" s="769"/>
      <c r="E54" s="770" t="s">
        <v>519</v>
      </c>
      <c r="F54" s="372"/>
      <c r="G54" s="769">
        <f>'PAYE Summary'!E41</f>
        <v>19344</v>
      </c>
      <c r="H54" s="769"/>
      <c r="I54" s="770" t="s">
        <v>546</v>
      </c>
      <c r="J54" s="769">
        <v>288.60000000000002</v>
      </c>
      <c r="K54" s="769"/>
    </row>
    <row r="55" spans="1:21">
      <c r="A55" s="768" t="s">
        <v>520</v>
      </c>
      <c r="B55" s="769" t="s">
        <v>544</v>
      </c>
      <c r="C55" s="769"/>
      <c r="D55" s="769"/>
      <c r="E55" s="770"/>
      <c r="F55" s="372"/>
      <c r="G55" s="769"/>
      <c r="H55" s="769"/>
      <c r="I55" s="770"/>
      <c r="J55" s="769"/>
      <c r="K55" s="769"/>
    </row>
    <row r="56" spans="1:21">
      <c r="A56" s="768" t="s">
        <v>521</v>
      </c>
      <c r="B56" s="769">
        <f>'Fixed Assets (V2)'!F42</f>
        <v>126.5625</v>
      </c>
      <c r="C56" s="769"/>
      <c r="D56" s="769"/>
      <c r="E56" s="770"/>
      <c r="F56" s="372"/>
      <c r="G56" s="769"/>
      <c r="H56" s="769"/>
      <c r="I56" s="770"/>
      <c r="J56" s="769"/>
      <c r="K56" s="769"/>
    </row>
    <row r="57" spans="1:21">
      <c r="A57" s="768" t="s">
        <v>522</v>
      </c>
      <c r="B57" s="769"/>
      <c r="C57" s="781">
        <f>B56</f>
        <v>126.5625</v>
      </c>
      <c r="D57" s="769"/>
      <c r="E57" s="770"/>
      <c r="F57" s="771"/>
      <c r="G57" s="769"/>
      <c r="H57" s="769"/>
      <c r="I57" s="770"/>
      <c r="J57" s="769"/>
      <c r="K57" s="769"/>
    </row>
    <row r="58" spans="1:21">
      <c r="A58"/>
      <c r="B58"/>
      <c r="C58"/>
      <c r="D58"/>
      <c r="E58" s="770"/>
      <c r="F58" s="372"/>
      <c r="G58" s="769"/>
      <c r="H58"/>
      <c r="I58"/>
      <c r="J58"/>
      <c r="K58"/>
    </row>
    <row r="60" spans="1:21" ht="13.5" thickBot="1"/>
    <row r="61" spans="1:21">
      <c r="A61" s="799" t="s">
        <v>548</v>
      </c>
      <c r="B61" s="238">
        <f>447.5+602+440-447.5</f>
        <v>1042</v>
      </c>
    </row>
    <row r="62" spans="1:21">
      <c r="A62" s="800" t="s">
        <v>549</v>
      </c>
      <c r="B62" s="122">
        <f>C47</f>
        <v>1166</v>
      </c>
    </row>
    <row r="63" spans="1:21">
      <c r="A63" s="800" t="s">
        <v>550</v>
      </c>
      <c r="B63" s="122">
        <f>'PAYE Summary'!E46</f>
        <v>-3096</v>
      </c>
    </row>
    <row r="64" spans="1:21" ht="13.5" thickBot="1">
      <c r="A64" s="801" t="s">
        <v>545</v>
      </c>
      <c r="B64" s="802">
        <f>SUM(B61:B63)</f>
        <v>-888</v>
      </c>
    </row>
    <row r="70" spans="1:1">
      <c r="A70" s="17" t="s">
        <v>20</v>
      </c>
    </row>
  </sheetData>
  <mergeCells count="1">
    <mergeCell ref="R3:S3"/>
  </mergeCells>
  <phoneticPr fontId="0" type="noConversion"/>
  <dataValidations disablePrompts="1" count="1">
    <dataValidation type="whole" errorStyle="warning" allowBlank="1" showInputMessage="1" showErrorMessage="1" errorTitle="Please Contact your Accountant" sqref="M3" xr:uid="{00000000-0002-0000-0E00-000000000000}">
      <formula1>1</formula1>
      <formula2>9.99999999999999E+29</formula2>
    </dataValidation>
  </dataValidations>
  <pageMargins left="0.75" right="0.75" top="1" bottom="1" header="0.5" footer="0.5"/>
  <pageSetup paperSize="9" scale="48" fitToWidth="2"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4"/>
  <sheetViews>
    <sheetView workbookViewId="0">
      <selection activeCell="G31" sqref="G31"/>
    </sheetView>
  </sheetViews>
  <sheetFormatPr defaultRowHeight="12.75"/>
  <cols>
    <col min="1" max="1" width="12.5703125" style="751" bestFit="1" customWidth="1"/>
    <col min="2" max="2" width="16" style="751" bestFit="1" customWidth="1"/>
    <col min="3" max="3" width="14.5703125" style="751" bestFit="1" customWidth="1"/>
    <col min="4" max="4" width="9.140625" style="751"/>
    <col min="5" max="5" width="9.42578125" style="751" bestFit="1" customWidth="1"/>
    <col min="6" max="6" width="27.5703125" style="751" customWidth="1"/>
    <col min="7" max="256" width="9.140625" style="751"/>
    <col min="257" max="257" width="12.5703125" style="751" bestFit="1" customWidth="1"/>
    <col min="258" max="258" width="16" style="751" bestFit="1" customWidth="1"/>
    <col min="259" max="259" width="14.5703125" style="751" bestFit="1" customWidth="1"/>
    <col min="260" max="260" width="9.140625" style="751"/>
    <col min="261" max="261" width="9.42578125" style="751" bestFit="1" customWidth="1"/>
    <col min="262" max="262" width="27.5703125" style="751" customWidth="1"/>
    <col min="263" max="512" width="9.140625" style="751"/>
    <col min="513" max="513" width="12.5703125" style="751" bestFit="1" customWidth="1"/>
    <col min="514" max="514" width="16" style="751" bestFit="1" customWidth="1"/>
    <col min="515" max="515" width="14.5703125" style="751" bestFit="1" customWidth="1"/>
    <col min="516" max="516" width="9.140625" style="751"/>
    <col min="517" max="517" width="9.42578125" style="751" bestFit="1" customWidth="1"/>
    <col min="518" max="518" width="27.5703125" style="751" customWidth="1"/>
    <col min="519" max="768" width="9.140625" style="751"/>
    <col min="769" max="769" width="12.5703125" style="751" bestFit="1" customWidth="1"/>
    <col min="770" max="770" width="16" style="751" bestFit="1" customWidth="1"/>
    <col min="771" max="771" width="14.5703125" style="751" bestFit="1" customWidth="1"/>
    <col min="772" max="772" width="9.140625" style="751"/>
    <col min="773" max="773" width="9.42578125" style="751" bestFit="1" customWidth="1"/>
    <col min="774" max="774" width="27.5703125" style="751" customWidth="1"/>
    <col min="775" max="1024" width="9.140625" style="751"/>
    <col min="1025" max="1025" width="12.5703125" style="751" bestFit="1" customWidth="1"/>
    <col min="1026" max="1026" width="16" style="751" bestFit="1" customWidth="1"/>
    <col min="1027" max="1027" width="14.5703125" style="751" bestFit="1" customWidth="1"/>
    <col min="1028" max="1028" width="9.140625" style="751"/>
    <col min="1029" max="1029" width="9.42578125" style="751" bestFit="1" customWidth="1"/>
    <col min="1030" max="1030" width="27.5703125" style="751" customWidth="1"/>
    <col min="1031" max="1280" width="9.140625" style="751"/>
    <col min="1281" max="1281" width="12.5703125" style="751" bestFit="1" customWidth="1"/>
    <col min="1282" max="1282" width="16" style="751" bestFit="1" customWidth="1"/>
    <col min="1283" max="1283" width="14.5703125" style="751" bestFit="1" customWidth="1"/>
    <col min="1284" max="1284" width="9.140625" style="751"/>
    <col min="1285" max="1285" width="9.42578125" style="751" bestFit="1" customWidth="1"/>
    <col min="1286" max="1286" width="27.5703125" style="751" customWidth="1"/>
    <col min="1287" max="1536" width="9.140625" style="751"/>
    <col min="1537" max="1537" width="12.5703125" style="751" bestFit="1" customWidth="1"/>
    <col min="1538" max="1538" width="16" style="751" bestFit="1" customWidth="1"/>
    <col min="1539" max="1539" width="14.5703125" style="751" bestFit="1" customWidth="1"/>
    <col min="1540" max="1540" width="9.140625" style="751"/>
    <col min="1541" max="1541" width="9.42578125" style="751" bestFit="1" customWidth="1"/>
    <col min="1542" max="1542" width="27.5703125" style="751" customWidth="1"/>
    <col min="1543" max="1792" width="9.140625" style="751"/>
    <col min="1793" max="1793" width="12.5703125" style="751" bestFit="1" customWidth="1"/>
    <col min="1794" max="1794" width="16" style="751" bestFit="1" customWidth="1"/>
    <col min="1795" max="1795" width="14.5703125" style="751" bestFit="1" customWidth="1"/>
    <col min="1796" max="1796" width="9.140625" style="751"/>
    <col min="1797" max="1797" width="9.42578125" style="751" bestFit="1" customWidth="1"/>
    <col min="1798" max="1798" width="27.5703125" style="751" customWidth="1"/>
    <col min="1799" max="2048" width="9.140625" style="751"/>
    <col min="2049" max="2049" width="12.5703125" style="751" bestFit="1" customWidth="1"/>
    <col min="2050" max="2050" width="16" style="751" bestFit="1" customWidth="1"/>
    <col min="2051" max="2051" width="14.5703125" style="751" bestFit="1" customWidth="1"/>
    <col min="2052" max="2052" width="9.140625" style="751"/>
    <col min="2053" max="2053" width="9.42578125" style="751" bestFit="1" customWidth="1"/>
    <col min="2054" max="2054" width="27.5703125" style="751" customWidth="1"/>
    <col min="2055" max="2304" width="9.140625" style="751"/>
    <col min="2305" max="2305" width="12.5703125" style="751" bestFit="1" customWidth="1"/>
    <col min="2306" max="2306" width="16" style="751" bestFit="1" customWidth="1"/>
    <col min="2307" max="2307" width="14.5703125" style="751" bestFit="1" customWidth="1"/>
    <col min="2308" max="2308" width="9.140625" style="751"/>
    <col min="2309" max="2309" width="9.42578125" style="751" bestFit="1" customWidth="1"/>
    <col min="2310" max="2310" width="27.5703125" style="751" customWidth="1"/>
    <col min="2311" max="2560" width="9.140625" style="751"/>
    <col min="2561" max="2561" width="12.5703125" style="751" bestFit="1" customWidth="1"/>
    <col min="2562" max="2562" width="16" style="751" bestFit="1" customWidth="1"/>
    <col min="2563" max="2563" width="14.5703125" style="751" bestFit="1" customWidth="1"/>
    <col min="2564" max="2564" width="9.140625" style="751"/>
    <col min="2565" max="2565" width="9.42578125" style="751" bestFit="1" customWidth="1"/>
    <col min="2566" max="2566" width="27.5703125" style="751" customWidth="1"/>
    <col min="2567" max="2816" width="9.140625" style="751"/>
    <col min="2817" max="2817" width="12.5703125" style="751" bestFit="1" customWidth="1"/>
    <col min="2818" max="2818" width="16" style="751" bestFit="1" customWidth="1"/>
    <col min="2819" max="2819" width="14.5703125" style="751" bestFit="1" customWidth="1"/>
    <col min="2820" max="2820" width="9.140625" style="751"/>
    <col min="2821" max="2821" width="9.42578125" style="751" bestFit="1" customWidth="1"/>
    <col min="2822" max="2822" width="27.5703125" style="751" customWidth="1"/>
    <col min="2823" max="3072" width="9.140625" style="751"/>
    <col min="3073" max="3073" width="12.5703125" style="751" bestFit="1" customWidth="1"/>
    <col min="3074" max="3074" width="16" style="751" bestFit="1" customWidth="1"/>
    <col min="3075" max="3075" width="14.5703125" style="751" bestFit="1" customWidth="1"/>
    <col min="3076" max="3076" width="9.140625" style="751"/>
    <col min="3077" max="3077" width="9.42578125" style="751" bestFit="1" customWidth="1"/>
    <col min="3078" max="3078" width="27.5703125" style="751" customWidth="1"/>
    <col min="3079" max="3328" width="9.140625" style="751"/>
    <col min="3329" max="3329" width="12.5703125" style="751" bestFit="1" customWidth="1"/>
    <col min="3330" max="3330" width="16" style="751" bestFit="1" customWidth="1"/>
    <col min="3331" max="3331" width="14.5703125" style="751" bestFit="1" customWidth="1"/>
    <col min="3332" max="3332" width="9.140625" style="751"/>
    <col min="3333" max="3333" width="9.42578125" style="751" bestFit="1" customWidth="1"/>
    <col min="3334" max="3334" width="27.5703125" style="751" customWidth="1"/>
    <col min="3335" max="3584" width="9.140625" style="751"/>
    <col min="3585" max="3585" width="12.5703125" style="751" bestFit="1" customWidth="1"/>
    <col min="3586" max="3586" width="16" style="751" bestFit="1" customWidth="1"/>
    <col min="3587" max="3587" width="14.5703125" style="751" bestFit="1" customWidth="1"/>
    <col min="3588" max="3588" width="9.140625" style="751"/>
    <col min="3589" max="3589" width="9.42578125" style="751" bestFit="1" customWidth="1"/>
    <col min="3590" max="3590" width="27.5703125" style="751" customWidth="1"/>
    <col min="3591" max="3840" width="9.140625" style="751"/>
    <col min="3841" max="3841" width="12.5703125" style="751" bestFit="1" customWidth="1"/>
    <col min="3842" max="3842" width="16" style="751" bestFit="1" customWidth="1"/>
    <col min="3843" max="3843" width="14.5703125" style="751" bestFit="1" customWidth="1"/>
    <col min="3844" max="3844" width="9.140625" style="751"/>
    <col min="3845" max="3845" width="9.42578125" style="751" bestFit="1" customWidth="1"/>
    <col min="3846" max="3846" width="27.5703125" style="751" customWidth="1"/>
    <col min="3847" max="4096" width="9.140625" style="751"/>
    <col min="4097" max="4097" width="12.5703125" style="751" bestFit="1" customWidth="1"/>
    <col min="4098" max="4098" width="16" style="751" bestFit="1" customWidth="1"/>
    <col min="4099" max="4099" width="14.5703125" style="751" bestFit="1" customWidth="1"/>
    <col min="4100" max="4100" width="9.140625" style="751"/>
    <col min="4101" max="4101" width="9.42578125" style="751" bestFit="1" customWidth="1"/>
    <col min="4102" max="4102" width="27.5703125" style="751" customWidth="1"/>
    <col min="4103" max="4352" width="9.140625" style="751"/>
    <col min="4353" max="4353" width="12.5703125" style="751" bestFit="1" customWidth="1"/>
    <col min="4354" max="4354" width="16" style="751" bestFit="1" customWidth="1"/>
    <col min="4355" max="4355" width="14.5703125" style="751" bestFit="1" customWidth="1"/>
    <col min="4356" max="4356" width="9.140625" style="751"/>
    <col min="4357" max="4357" width="9.42578125" style="751" bestFit="1" customWidth="1"/>
    <col min="4358" max="4358" width="27.5703125" style="751" customWidth="1"/>
    <col min="4359" max="4608" width="9.140625" style="751"/>
    <col min="4609" max="4609" width="12.5703125" style="751" bestFit="1" customWidth="1"/>
    <col min="4610" max="4610" width="16" style="751" bestFit="1" customWidth="1"/>
    <col min="4611" max="4611" width="14.5703125" style="751" bestFit="1" customWidth="1"/>
    <col min="4612" max="4612" width="9.140625" style="751"/>
    <col min="4613" max="4613" width="9.42578125" style="751" bestFit="1" customWidth="1"/>
    <col min="4614" max="4614" width="27.5703125" style="751" customWidth="1"/>
    <col min="4615" max="4864" width="9.140625" style="751"/>
    <col min="4865" max="4865" width="12.5703125" style="751" bestFit="1" customWidth="1"/>
    <col min="4866" max="4866" width="16" style="751" bestFit="1" customWidth="1"/>
    <col min="4867" max="4867" width="14.5703125" style="751" bestFit="1" customWidth="1"/>
    <col min="4868" max="4868" width="9.140625" style="751"/>
    <col min="4869" max="4869" width="9.42578125" style="751" bestFit="1" customWidth="1"/>
    <col min="4870" max="4870" width="27.5703125" style="751" customWidth="1"/>
    <col min="4871" max="5120" width="9.140625" style="751"/>
    <col min="5121" max="5121" width="12.5703125" style="751" bestFit="1" customWidth="1"/>
    <col min="5122" max="5122" width="16" style="751" bestFit="1" customWidth="1"/>
    <col min="5123" max="5123" width="14.5703125" style="751" bestFit="1" customWidth="1"/>
    <col min="5124" max="5124" width="9.140625" style="751"/>
    <col min="5125" max="5125" width="9.42578125" style="751" bestFit="1" customWidth="1"/>
    <col min="5126" max="5126" width="27.5703125" style="751" customWidth="1"/>
    <col min="5127" max="5376" width="9.140625" style="751"/>
    <col min="5377" max="5377" width="12.5703125" style="751" bestFit="1" customWidth="1"/>
    <col min="5378" max="5378" width="16" style="751" bestFit="1" customWidth="1"/>
    <col min="5379" max="5379" width="14.5703125" style="751" bestFit="1" customWidth="1"/>
    <col min="5380" max="5380" width="9.140625" style="751"/>
    <col min="5381" max="5381" width="9.42578125" style="751" bestFit="1" customWidth="1"/>
    <col min="5382" max="5382" width="27.5703125" style="751" customWidth="1"/>
    <col min="5383" max="5632" width="9.140625" style="751"/>
    <col min="5633" max="5633" width="12.5703125" style="751" bestFit="1" customWidth="1"/>
    <col min="5634" max="5634" width="16" style="751" bestFit="1" customWidth="1"/>
    <col min="5635" max="5635" width="14.5703125" style="751" bestFit="1" customWidth="1"/>
    <col min="5636" max="5636" width="9.140625" style="751"/>
    <col min="5637" max="5637" width="9.42578125" style="751" bestFit="1" customWidth="1"/>
    <col min="5638" max="5638" width="27.5703125" style="751" customWidth="1"/>
    <col min="5639" max="5888" width="9.140625" style="751"/>
    <col min="5889" max="5889" width="12.5703125" style="751" bestFit="1" customWidth="1"/>
    <col min="5890" max="5890" width="16" style="751" bestFit="1" customWidth="1"/>
    <col min="5891" max="5891" width="14.5703125" style="751" bestFit="1" customWidth="1"/>
    <col min="5892" max="5892" width="9.140625" style="751"/>
    <col min="5893" max="5893" width="9.42578125" style="751" bestFit="1" customWidth="1"/>
    <col min="5894" max="5894" width="27.5703125" style="751" customWidth="1"/>
    <col min="5895" max="6144" width="9.140625" style="751"/>
    <col min="6145" max="6145" width="12.5703125" style="751" bestFit="1" customWidth="1"/>
    <col min="6146" max="6146" width="16" style="751" bestFit="1" customWidth="1"/>
    <col min="6147" max="6147" width="14.5703125" style="751" bestFit="1" customWidth="1"/>
    <col min="6148" max="6148" width="9.140625" style="751"/>
    <col min="6149" max="6149" width="9.42578125" style="751" bestFit="1" customWidth="1"/>
    <col min="6150" max="6150" width="27.5703125" style="751" customWidth="1"/>
    <col min="6151" max="6400" width="9.140625" style="751"/>
    <col min="6401" max="6401" width="12.5703125" style="751" bestFit="1" customWidth="1"/>
    <col min="6402" max="6402" width="16" style="751" bestFit="1" customWidth="1"/>
    <col min="6403" max="6403" width="14.5703125" style="751" bestFit="1" customWidth="1"/>
    <col min="6404" max="6404" width="9.140625" style="751"/>
    <col min="6405" max="6405" width="9.42578125" style="751" bestFit="1" customWidth="1"/>
    <col min="6406" max="6406" width="27.5703125" style="751" customWidth="1"/>
    <col min="6407" max="6656" width="9.140625" style="751"/>
    <col min="6657" max="6657" width="12.5703125" style="751" bestFit="1" customWidth="1"/>
    <col min="6658" max="6658" width="16" style="751" bestFit="1" customWidth="1"/>
    <col min="6659" max="6659" width="14.5703125" style="751" bestFit="1" customWidth="1"/>
    <col min="6660" max="6660" width="9.140625" style="751"/>
    <col min="6661" max="6661" width="9.42578125" style="751" bestFit="1" customWidth="1"/>
    <col min="6662" max="6662" width="27.5703125" style="751" customWidth="1"/>
    <col min="6663" max="6912" width="9.140625" style="751"/>
    <col min="6913" max="6913" width="12.5703125" style="751" bestFit="1" customWidth="1"/>
    <col min="6914" max="6914" width="16" style="751" bestFit="1" customWidth="1"/>
    <col min="6915" max="6915" width="14.5703125" style="751" bestFit="1" customWidth="1"/>
    <col min="6916" max="6916" width="9.140625" style="751"/>
    <col min="6917" max="6917" width="9.42578125" style="751" bestFit="1" customWidth="1"/>
    <col min="6918" max="6918" width="27.5703125" style="751" customWidth="1"/>
    <col min="6919" max="7168" width="9.140625" style="751"/>
    <col min="7169" max="7169" width="12.5703125" style="751" bestFit="1" customWidth="1"/>
    <col min="7170" max="7170" width="16" style="751" bestFit="1" customWidth="1"/>
    <col min="7171" max="7171" width="14.5703125" style="751" bestFit="1" customWidth="1"/>
    <col min="7172" max="7172" width="9.140625" style="751"/>
    <col min="7173" max="7173" width="9.42578125" style="751" bestFit="1" customWidth="1"/>
    <col min="7174" max="7174" width="27.5703125" style="751" customWidth="1"/>
    <col min="7175" max="7424" width="9.140625" style="751"/>
    <col min="7425" max="7425" width="12.5703125" style="751" bestFit="1" customWidth="1"/>
    <col min="7426" max="7426" width="16" style="751" bestFit="1" customWidth="1"/>
    <col min="7427" max="7427" width="14.5703125" style="751" bestFit="1" customWidth="1"/>
    <col min="7428" max="7428" width="9.140625" style="751"/>
    <col min="7429" max="7429" width="9.42578125" style="751" bestFit="1" customWidth="1"/>
    <col min="7430" max="7430" width="27.5703125" style="751" customWidth="1"/>
    <col min="7431" max="7680" width="9.140625" style="751"/>
    <col min="7681" max="7681" width="12.5703125" style="751" bestFit="1" customWidth="1"/>
    <col min="7682" max="7682" width="16" style="751" bestFit="1" customWidth="1"/>
    <col min="7683" max="7683" width="14.5703125" style="751" bestFit="1" customWidth="1"/>
    <col min="7684" max="7684" width="9.140625" style="751"/>
    <col min="7685" max="7685" width="9.42578125" style="751" bestFit="1" customWidth="1"/>
    <col min="7686" max="7686" width="27.5703125" style="751" customWidth="1"/>
    <col min="7687" max="7936" width="9.140625" style="751"/>
    <col min="7937" max="7937" width="12.5703125" style="751" bestFit="1" customWidth="1"/>
    <col min="7938" max="7938" width="16" style="751" bestFit="1" customWidth="1"/>
    <col min="7939" max="7939" width="14.5703125" style="751" bestFit="1" customWidth="1"/>
    <col min="7940" max="7940" width="9.140625" style="751"/>
    <col min="7941" max="7941" width="9.42578125" style="751" bestFit="1" customWidth="1"/>
    <col min="7942" max="7942" width="27.5703125" style="751" customWidth="1"/>
    <col min="7943" max="8192" width="9.140625" style="751"/>
    <col min="8193" max="8193" width="12.5703125" style="751" bestFit="1" customWidth="1"/>
    <col min="8194" max="8194" width="16" style="751" bestFit="1" customWidth="1"/>
    <col min="8195" max="8195" width="14.5703125" style="751" bestFit="1" customWidth="1"/>
    <col min="8196" max="8196" width="9.140625" style="751"/>
    <col min="8197" max="8197" width="9.42578125" style="751" bestFit="1" customWidth="1"/>
    <col min="8198" max="8198" width="27.5703125" style="751" customWidth="1"/>
    <col min="8199" max="8448" width="9.140625" style="751"/>
    <col min="8449" max="8449" width="12.5703125" style="751" bestFit="1" customWidth="1"/>
    <col min="8450" max="8450" width="16" style="751" bestFit="1" customWidth="1"/>
    <col min="8451" max="8451" width="14.5703125" style="751" bestFit="1" customWidth="1"/>
    <col min="8452" max="8452" width="9.140625" style="751"/>
    <col min="8453" max="8453" width="9.42578125" style="751" bestFit="1" customWidth="1"/>
    <col min="8454" max="8454" width="27.5703125" style="751" customWidth="1"/>
    <col min="8455" max="8704" width="9.140625" style="751"/>
    <col min="8705" max="8705" width="12.5703125" style="751" bestFit="1" customWidth="1"/>
    <col min="8706" max="8706" width="16" style="751" bestFit="1" customWidth="1"/>
    <col min="8707" max="8707" width="14.5703125" style="751" bestFit="1" customWidth="1"/>
    <col min="8708" max="8708" width="9.140625" style="751"/>
    <col min="8709" max="8709" width="9.42578125" style="751" bestFit="1" customWidth="1"/>
    <col min="8710" max="8710" width="27.5703125" style="751" customWidth="1"/>
    <col min="8711" max="8960" width="9.140625" style="751"/>
    <col min="8961" max="8961" width="12.5703125" style="751" bestFit="1" customWidth="1"/>
    <col min="8962" max="8962" width="16" style="751" bestFit="1" customWidth="1"/>
    <col min="8963" max="8963" width="14.5703125" style="751" bestFit="1" customWidth="1"/>
    <col min="8964" max="8964" width="9.140625" style="751"/>
    <col min="8965" max="8965" width="9.42578125" style="751" bestFit="1" customWidth="1"/>
    <col min="8966" max="8966" width="27.5703125" style="751" customWidth="1"/>
    <col min="8967" max="9216" width="9.140625" style="751"/>
    <col min="9217" max="9217" width="12.5703125" style="751" bestFit="1" customWidth="1"/>
    <col min="9218" max="9218" width="16" style="751" bestFit="1" customWidth="1"/>
    <col min="9219" max="9219" width="14.5703125" style="751" bestFit="1" customWidth="1"/>
    <col min="9220" max="9220" width="9.140625" style="751"/>
    <col min="9221" max="9221" width="9.42578125" style="751" bestFit="1" customWidth="1"/>
    <col min="9222" max="9222" width="27.5703125" style="751" customWidth="1"/>
    <col min="9223" max="9472" width="9.140625" style="751"/>
    <col min="9473" max="9473" width="12.5703125" style="751" bestFit="1" customWidth="1"/>
    <col min="9474" max="9474" width="16" style="751" bestFit="1" customWidth="1"/>
    <col min="9475" max="9475" width="14.5703125" style="751" bestFit="1" customWidth="1"/>
    <col min="9476" max="9476" width="9.140625" style="751"/>
    <col min="9477" max="9477" width="9.42578125" style="751" bestFit="1" customWidth="1"/>
    <col min="9478" max="9478" width="27.5703125" style="751" customWidth="1"/>
    <col min="9479" max="9728" width="9.140625" style="751"/>
    <col min="9729" max="9729" width="12.5703125" style="751" bestFit="1" customWidth="1"/>
    <col min="9730" max="9730" width="16" style="751" bestFit="1" customWidth="1"/>
    <col min="9731" max="9731" width="14.5703125" style="751" bestFit="1" customWidth="1"/>
    <col min="9732" max="9732" width="9.140625" style="751"/>
    <col min="9733" max="9733" width="9.42578125" style="751" bestFit="1" customWidth="1"/>
    <col min="9734" max="9734" width="27.5703125" style="751" customWidth="1"/>
    <col min="9735" max="9984" width="9.140625" style="751"/>
    <col min="9985" max="9985" width="12.5703125" style="751" bestFit="1" customWidth="1"/>
    <col min="9986" max="9986" width="16" style="751" bestFit="1" customWidth="1"/>
    <col min="9987" max="9987" width="14.5703125" style="751" bestFit="1" customWidth="1"/>
    <col min="9988" max="9988" width="9.140625" style="751"/>
    <col min="9989" max="9989" width="9.42578125" style="751" bestFit="1" customWidth="1"/>
    <col min="9990" max="9990" width="27.5703125" style="751" customWidth="1"/>
    <col min="9991" max="10240" width="9.140625" style="751"/>
    <col min="10241" max="10241" width="12.5703125" style="751" bestFit="1" customWidth="1"/>
    <col min="10242" max="10242" width="16" style="751" bestFit="1" customWidth="1"/>
    <col min="10243" max="10243" width="14.5703125" style="751" bestFit="1" customWidth="1"/>
    <col min="10244" max="10244" width="9.140625" style="751"/>
    <col min="10245" max="10245" width="9.42578125" style="751" bestFit="1" customWidth="1"/>
    <col min="10246" max="10246" width="27.5703125" style="751" customWidth="1"/>
    <col min="10247" max="10496" width="9.140625" style="751"/>
    <col min="10497" max="10497" width="12.5703125" style="751" bestFit="1" customWidth="1"/>
    <col min="10498" max="10498" width="16" style="751" bestFit="1" customWidth="1"/>
    <col min="10499" max="10499" width="14.5703125" style="751" bestFit="1" customWidth="1"/>
    <col min="10500" max="10500" width="9.140625" style="751"/>
    <col min="10501" max="10501" width="9.42578125" style="751" bestFit="1" customWidth="1"/>
    <col min="10502" max="10502" width="27.5703125" style="751" customWidth="1"/>
    <col min="10503" max="10752" width="9.140625" style="751"/>
    <col min="10753" max="10753" width="12.5703125" style="751" bestFit="1" customWidth="1"/>
    <col min="10754" max="10754" width="16" style="751" bestFit="1" customWidth="1"/>
    <col min="10755" max="10755" width="14.5703125" style="751" bestFit="1" customWidth="1"/>
    <col min="10756" max="10756" width="9.140625" style="751"/>
    <col min="10757" max="10757" width="9.42578125" style="751" bestFit="1" customWidth="1"/>
    <col min="10758" max="10758" width="27.5703125" style="751" customWidth="1"/>
    <col min="10759" max="11008" width="9.140625" style="751"/>
    <col min="11009" max="11009" width="12.5703125" style="751" bestFit="1" customWidth="1"/>
    <col min="11010" max="11010" width="16" style="751" bestFit="1" customWidth="1"/>
    <col min="11011" max="11011" width="14.5703125" style="751" bestFit="1" customWidth="1"/>
    <col min="11012" max="11012" width="9.140625" style="751"/>
    <col min="11013" max="11013" width="9.42578125" style="751" bestFit="1" customWidth="1"/>
    <col min="11014" max="11014" width="27.5703125" style="751" customWidth="1"/>
    <col min="11015" max="11264" width="9.140625" style="751"/>
    <col min="11265" max="11265" width="12.5703125" style="751" bestFit="1" customWidth="1"/>
    <col min="11266" max="11266" width="16" style="751" bestFit="1" customWidth="1"/>
    <col min="11267" max="11267" width="14.5703125" style="751" bestFit="1" customWidth="1"/>
    <col min="11268" max="11268" width="9.140625" style="751"/>
    <col min="11269" max="11269" width="9.42578125" style="751" bestFit="1" customWidth="1"/>
    <col min="11270" max="11270" width="27.5703125" style="751" customWidth="1"/>
    <col min="11271" max="11520" width="9.140625" style="751"/>
    <col min="11521" max="11521" width="12.5703125" style="751" bestFit="1" customWidth="1"/>
    <col min="11522" max="11522" width="16" style="751" bestFit="1" customWidth="1"/>
    <col min="11523" max="11523" width="14.5703125" style="751" bestFit="1" customWidth="1"/>
    <col min="11524" max="11524" width="9.140625" style="751"/>
    <col min="11525" max="11525" width="9.42578125" style="751" bestFit="1" customWidth="1"/>
    <col min="11526" max="11526" width="27.5703125" style="751" customWidth="1"/>
    <col min="11527" max="11776" width="9.140625" style="751"/>
    <col min="11777" max="11777" width="12.5703125" style="751" bestFit="1" customWidth="1"/>
    <col min="11778" max="11778" width="16" style="751" bestFit="1" customWidth="1"/>
    <col min="11779" max="11779" width="14.5703125" style="751" bestFit="1" customWidth="1"/>
    <col min="11780" max="11780" width="9.140625" style="751"/>
    <col min="11781" max="11781" width="9.42578125" style="751" bestFit="1" customWidth="1"/>
    <col min="11782" max="11782" width="27.5703125" style="751" customWidth="1"/>
    <col min="11783" max="12032" width="9.140625" style="751"/>
    <col min="12033" max="12033" width="12.5703125" style="751" bestFit="1" customWidth="1"/>
    <col min="12034" max="12034" width="16" style="751" bestFit="1" customWidth="1"/>
    <col min="12035" max="12035" width="14.5703125" style="751" bestFit="1" customWidth="1"/>
    <col min="12036" max="12036" width="9.140625" style="751"/>
    <col min="12037" max="12037" width="9.42578125" style="751" bestFit="1" customWidth="1"/>
    <col min="12038" max="12038" width="27.5703125" style="751" customWidth="1"/>
    <col min="12039" max="12288" width="9.140625" style="751"/>
    <col min="12289" max="12289" width="12.5703125" style="751" bestFit="1" customWidth="1"/>
    <col min="12290" max="12290" width="16" style="751" bestFit="1" customWidth="1"/>
    <col min="12291" max="12291" width="14.5703125" style="751" bestFit="1" customWidth="1"/>
    <col min="12292" max="12292" width="9.140625" style="751"/>
    <col min="12293" max="12293" width="9.42578125" style="751" bestFit="1" customWidth="1"/>
    <col min="12294" max="12294" width="27.5703125" style="751" customWidth="1"/>
    <col min="12295" max="12544" width="9.140625" style="751"/>
    <col min="12545" max="12545" width="12.5703125" style="751" bestFit="1" customWidth="1"/>
    <col min="12546" max="12546" width="16" style="751" bestFit="1" customWidth="1"/>
    <col min="12547" max="12547" width="14.5703125" style="751" bestFit="1" customWidth="1"/>
    <col min="12548" max="12548" width="9.140625" style="751"/>
    <col min="12549" max="12549" width="9.42578125" style="751" bestFit="1" customWidth="1"/>
    <col min="12550" max="12550" width="27.5703125" style="751" customWidth="1"/>
    <col min="12551" max="12800" width="9.140625" style="751"/>
    <col min="12801" max="12801" width="12.5703125" style="751" bestFit="1" customWidth="1"/>
    <col min="12802" max="12802" width="16" style="751" bestFit="1" customWidth="1"/>
    <col min="12803" max="12803" width="14.5703125" style="751" bestFit="1" customWidth="1"/>
    <col min="12804" max="12804" width="9.140625" style="751"/>
    <col min="12805" max="12805" width="9.42578125" style="751" bestFit="1" customWidth="1"/>
    <col min="12806" max="12806" width="27.5703125" style="751" customWidth="1"/>
    <col min="12807" max="13056" width="9.140625" style="751"/>
    <col min="13057" max="13057" width="12.5703125" style="751" bestFit="1" customWidth="1"/>
    <col min="13058" max="13058" width="16" style="751" bestFit="1" customWidth="1"/>
    <col min="13059" max="13059" width="14.5703125" style="751" bestFit="1" customWidth="1"/>
    <col min="13060" max="13060" width="9.140625" style="751"/>
    <col min="13061" max="13061" width="9.42578125" style="751" bestFit="1" customWidth="1"/>
    <col min="13062" max="13062" width="27.5703125" style="751" customWidth="1"/>
    <col min="13063" max="13312" width="9.140625" style="751"/>
    <col min="13313" max="13313" width="12.5703125" style="751" bestFit="1" customWidth="1"/>
    <col min="13314" max="13314" width="16" style="751" bestFit="1" customWidth="1"/>
    <col min="13315" max="13315" width="14.5703125" style="751" bestFit="1" customWidth="1"/>
    <col min="13316" max="13316" width="9.140625" style="751"/>
    <col min="13317" max="13317" width="9.42578125" style="751" bestFit="1" customWidth="1"/>
    <col min="13318" max="13318" width="27.5703125" style="751" customWidth="1"/>
    <col min="13319" max="13568" width="9.140625" style="751"/>
    <col min="13569" max="13569" width="12.5703125" style="751" bestFit="1" customWidth="1"/>
    <col min="13570" max="13570" width="16" style="751" bestFit="1" customWidth="1"/>
    <col min="13571" max="13571" width="14.5703125" style="751" bestFit="1" customWidth="1"/>
    <col min="13572" max="13572" width="9.140625" style="751"/>
    <col min="13573" max="13573" width="9.42578125" style="751" bestFit="1" customWidth="1"/>
    <col min="13574" max="13574" width="27.5703125" style="751" customWidth="1"/>
    <col min="13575" max="13824" width="9.140625" style="751"/>
    <col min="13825" max="13825" width="12.5703125" style="751" bestFit="1" customWidth="1"/>
    <col min="13826" max="13826" width="16" style="751" bestFit="1" customWidth="1"/>
    <col min="13827" max="13827" width="14.5703125" style="751" bestFit="1" customWidth="1"/>
    <col min="13828" max="13828" width="9.140625" style="751"/>
    <col min="13829" max="13829" width="9.42578125" style="751" bestFit="1" customWidth="1"/>
    <col min="13830" max="13830" width="27.5703125" style="751" customWidth="1"/>
    <col min="13831" max="14080" width="9.140625" style="751"/>
    <col min="14081" max="14081" width="12.5703125" style="751" bestFit="1" customWidth="1"/>
    <col min="14082" max="14082" width="16" style="751" bestFit="1" customWidth="1"/>
    <col min="14083" max="14083" width="14.5703125" style="751" bestFit="1" customWidth="1"/>
    <col min="14084" max="14084" width="9.140625" style="751"/>
    <col min="14085" max="14085" width="9.42578125" style="751" bestFit="1" customWidth="1"/>
    <col min="14086" max="14086" width="27.5703125" style="751" customWidth="1"/>
    <col min="14087" max="14336" width="9.140625" style="751"/>
    <col min="14337" max="14337" width="12.5703125" style="751" bestFit="1" customWidth="1"/>
    <col min="14338" max="14338" width="16" style="751" bestFit="1" customWidth="1"/>
    <col min="14339" max="14339" width="14.5703125" style="751" bestFit="1" customWidth="1"/>
    <col min="14340" max="14340" width="9.140625" style="751"/>
    <col min="14341" max="14341" width="9.42578125" style="751" bestFit="1" customWidth="1"/>
    <col min="14342" max="14342" width="27.5703125" style="751" customWidth="1"/>
    <col min="14343" max="14592" width="9.140625" style="751"/>
    <col min="14593" max="14593" width="12.5703125" style="751" bestFit="1" customWidth="1"/>
    <col min="14594" max="14594" width="16" style="751" bestFit="1" customWidth="1"/>
    <col min="14595" max="14595" width="14.5703125" style="751" bestFit="1" customWidth="1"/>
    <col min="14596" max="14596" width="9.140625" style="751"/>
    <col min="14597" max="14597" width="9.42578125" style="751" bestFit="1" customWidth="1"/>
    <col min="14598" max="14598" width="27.5703125" style="751" customWidth="1"/>
    <col min="14599" max="14848" width="9.140625" style="751"/>
    <col min="14849" max="14849" width="12.5703125" style="751" bestFit="1" customWidth="1"/>
    <col min="14850" max="14850" width="16" style="751" bestFit="1" customWidth="1"/>
    <col min="14851" max="14851" width="14.5703125" style="751" bestFit="1" customWidth="1"/>
    <col min="14852" max="14852" width="9.140625" style="751"/>
    <col min="14853" max="14853" width="9.42578125" style="751" bestFit="1" customWidth="1"/>
    <col min="14854" max="14854" width="27.5703125" style="751" customWidth="1"/>
    <col min="14855" max="15104" width="9.140625" style="751"/>
    <col min="15105" max="15105" width="12.5703125" style="751" bestFit="1" customWidth="1"/>
    <col min="15106" max="15106" width="16" style="751" bestFit="1" customWidth="1"/>
    <col min="15107" max="15107" width="14.5703125" style="751" bestFit="1" customWidth="1"/>
    <col min="15108" max="15108" width="9.140625" style="751"/>
    <col min="15109" max="15109" width="9.42578125" style="751" bestFit="1" customWidth="1"/>
    <col min="15110" max="15110" width="27.5703125" style="751" customWidth="1"/>
    <col min="15111" max="15360" width="9.140625" style="751"/>
    <col min="15361" max="15361" width="12.5703125" style="751" bestFit="1" customWidth="1"/>
    <col min="15362" max="15362" width="16" style="751" bestFit="1" customWidth="1"/>
    <col min="15363" max="15363" width="14.5703125" style="751" bestFit="1" customWidth="1"/>
    <col min="15364" max="15364" width="9.140625" style="751"/>
    <col min="15365" max="15365" width="9.42578125" style="751" bestFit="1" customWidth="1"/>
    <col min="15366" max="15366" width="27.5703125" style="751" customWidth="1"/>
    <col min="15367" max="15616" width="9.140625" style="751"/>
    <col min="15617" max="15617" width="12.5703125" style="751" bestFit="1" customWidth="1"/>
    <col min="15618" max="15618" width="16" style="751" bestFit="1" customWidth="1"/>
    <col min="15619" max="15619" width="14.5703125" style="751" bestFit="1" customWidth="1"/>
    <col min="15620" max="15620" width="9.140625" style="751"/>
    <col min="15621" max="15621" width="9.42578125" style="751" bestFit="1" customWidth="1"/>
    <col min="15622" max="15622" width="27.5703125" style="751" customWidth="1"/>
    <col min="15623" max="15872" width="9.140625" style="751"/>
    <col min="15873" max="15873" width="12.5703125" style="751" bestFit="1" customWidth="1"/>
    <col min="15874" max="15874" width="16" style="751" bestFit="1" customWidth="1"/>
    <col min="15875" max="15875" width="14.5703125" style="751" bestFit="1" customWidth="1"/>
    <col min="15876" max="15876" width="9.140625" style="751"/>
    <col min="15877" max="15877" width="9.42578125" style="751" bestFit="1" customWidth="1"/>
    <col min="15878" max="15878" width="27.5703125" style="751" customWidth="1"/>
    <col min="15879" max="16128" width="9.140625" style="751"/>
    <col min="16129" max="16129" width="12.5703125" style="751" bestFit="1" customWidth="1"/>
    <col min="16130" max="16130" width="16" style="751" bestFit="1" customWidth="1"/>
    <col min="16131" max="16131" width="14.5703125" style="751" bestFit="1" customWidth="1"/>
    <col min="16132" max="16132" width="9.140625" style="751"/>
    <col min="16133" max="16133" width="9.42578125" style="751" bestFit="1" customWidth="1"/>
    <col min="16134" max="16134" width="27.5703125" style="751" customWidth="1"/>
    <col min="16135" max="16384" width="9.140625" style="751"/>
  </cols>
  <sheetData>
    <row r="1" spans="1:6">
      <c r="A1" s="748"/>
      <c r="B1" s="749"/>
      <c r="C1" s="750" t="s">
        <v>41</v>
      </c>
      <c r="D1" s="519"/>
      <c r="E1" s="519"/>
      <c r="F1" s="519"/>
    </row>
    <row r="2" spans="1:6">
      <c r="A2" s="752"/>
      <c r="B2" s="753" t="s">
        <v>134</v>
      </c>
      <c r="C2" s="754" t="s">
        <v>36</v>
      </c>
      <c r="D2" s="519"/>
      <c r="E2" s="519"/>
      <c r="F2" s="519"/>
    </row>
    <row r="3" spans="1:6" ht="13.5" thickBot="1">
      <c r="A3" s="755" t="s">
        <v>11</v>
      </c>
      <c r="B3" s="756" t="s">
        <v>150</v>
      </c>
      <c r="C3" s="757" t="s">
        <v>42</v>
      </c>
      <c r="D3" s="519" t="s">
        <v>488</v>
      </c>
      <c r="E3" s="757" t="s">
        <v>45</v>
      </c>
      <c r="F3" s="754" t="s">
        <v>175</v>
      </c>
    </row>
    <row r="4" spans="1:6">
      <c r="A4" s="758">
        <v>42829</v>
      </c>
      <c r="B4" s="647">
        <v>140</v>
      </c>
      <c r="C4" s="648">
        <v>235</v>
      </c>
      <c r="D4" s="760"/>
      <c r="E4" s="760"/>
      <c r="F4" s="760"/>
    </row>
    <row r="5" spans="1:6">
      <c r="A5" s="758">
        <v>42860</v>
      </c>
      <c r="B5" s="647">
        <v>140</v>
      </c>
      <c r="C5" s="648">
        <v>235</v>
      </c>
      <c r="D5" s="760"/>
      <c r="E5" s="760"/>
      <c r="F5" s="760"/>
    </row>
    <row r="6" spans="1:6">
      <c r="A6" s="758">
        <v>42891</v>
      </c>
      <c r="B6" s="647">
        <v>140</v>
      </c>
      <c r="C6" s="648">
        <v>235</v>
      </c>
      <c r="D6" s="760"/>
      <c r="E6" s="760"/>
      <c r="F6" s="760"/>
    </row>
    <row r="7" spans="1:6">
      <c r="A7" s="758">
        <v>42922</v>
      </c>
      <c r="B7" s="647">
        <v>140</v>
      </c>
      <c r="C7" s="648">
        <v>235</v>
      </c>
      <c r="D7" s="760"/>
      <c r="E7" s="760"/>
      <c r="F7" s="760"/>
    </row>
    <row r="8" spans="1:6">
      <c r="A8" s="758">
        <v>42953</v>
      </c>
      <c r="B8" s="647">
        <v>160</v>
      </c>
      <c r="C8" s="648">
        <v>160</v>
      </c>
      <c r="D8" s="760"/>
      <c r="E8" s="760"/>
      <c r="F8" s="760"/>
    </row>
    <row r="9" spans="1:6">
      <c r="A9" s="758">
        <v>42984</v>
      </c>
      <c r="B9" s="647">
        <v>160</v>
      </c>
      <c r="C9" s="648">
        <v>204</v>
      </c>
      <c r="D9" s="760"/>
      <c r="E9" s="760"/>
      <c r="F9" s="760"/>
    </row>
    <row r="10" spans="1:6">
      <c r="A10" s="758">
        <v>43015</v>
      </c>
      <c r="B10" s="647">
        <v>225</v>
      </c>
      <c r="C10" s="648">
        <v>164</v>
      </c>
      <c r="D10" s="760"/>
      <c r="E10" s="760"/>
      <c r="F10" s="760"/>
    </row>
    <row r="11" spans="1:6">
      <c r="A11" s="758">
        <v>43040</v>
      </c>
      <c r="B11" s="647">
        <v>225</v>
      </c>
      <c r="C11" s="648">
        <v>164</v>
      </c>
      <c r="D11" s="760"/>
      <c r="E11" s="760"/>
      <c r="F11" s="760"/>
    </row>
    <row r="12" spans="1:6">
      <c r="A12" s="758">
        <v>43071</v>
      </c>
      <c r="B12" s="647">
        <v>225</v>
      </c>
      <c r="C12" s="648">
        <v>164</v>
      </c>
      <c r="D12" s="759"/>
      <c r="E12" s="759"/>
      <c r="F12" s="760"/>
    </row>
    <row r="13" spans="1:6">
      <c r="A13" s="758">
        <v>43102</v>
      </c>
      <c r="B13" s="647">
        <v>225</v>
      </c>
      <c r="C13" s="648">
        <v>164</v>
      </c>
      <c r="D13" s="759"/>
      <c r="E13" s="759"/>
      <c r="F13" s="760"/>
    </row>
    <row r="14" spans="1:6">
      <c r="A14" s="758">
        <v>43133</v>
      </c>
      <c r="B14" s="647">
        <v>225</v>
      </c>
      <c r="C14" s="648">
        <v>164</v>
      </c>
      <c r="D14" s="759"/>
      <c r="E14" s="759"/>
      <c r="F14" s="760"/>
    </row>
    <row r="15" spans="1:6">
      <c r="A15" s="758">
        <v>43164</v>
      </c>
      <c r="B15" s="647">
        <v>225</v>
      </c>
      <c r="C15" s="648">
        <v>164</v>
      </c>
      <c r="D15" s="759"/>
      <c r="E15" s="759"/>
      <c r="F15" s="760"/>
    </row>
    <row r="16" spans="1:6">
      <c r="A16" s="519"/>
      <c r="B16" s="760">
        <f>SUM(B4:B15)</f>
        <v>2230</v>
      </c>
      <c r="C16" s="760">
        <f>SUM(C4:C15)</f>
        <v>2288</v>
      </c>
      <c r="D16" s="760">
        <f>SUM(D4:D15)</f>
        <v>0</v>
      </c>
      <c r="E16" s="760">
        <f>SUM(E4:E15)</f>
        <v>0</v>
      </c>
      <c r="F16" s="760">
        <f>SUM(F4:F15)</f>
        <v>0</v>
      </c>
    </row>
    <row r="31" spans="1:2">
      <c r="A31" s="751" t="s">
        <v>505</v>
      </c>
      <c r="B31" s="751">
        <v>42038.62</v>
      </c>
    </row>
    <row r="34" spans="1:3">
      <c r="A34" s="751" t="s">
        <v>504</v>
      </c>
      <c r="C34" s="766">
        <v>55661.31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
  <dimension ref="A1:I67"/>
  <sheetViews>
    <sheetView topLeftCell="A28" workbookViewId="0">
      <selection activeCell="C54" sqref="C54"/>
    </sheetView>
  </sheetViews>
  <sheetFormatPr defaultColWidth="9.140625" defaultRowHeight="12.75"/>
  <cols>
    <col min="1" max="1" width="13" style="7" customWidth="1"/>
    <col min="2" max="2" width="13.5703125" style="7" customWidth="1"/>
    <col min="3" max="3" width="11.28515625" style="7" bestFit="1" customWidth="1"/>
    <col min="4" max="4" width="10" style="7" bestFit="1" customWidth="1"/>
    <col min="5" max="5" width="11.7109375" style="7" customWidth="1"/>
    <col min="6" max="6" width="10.85546875" style="7" customWidth="1"/>
    <col min="7" max="16384" width="9.140625" style="7"/>
  </cols>
  <sheetData>
    <row r="1" spans="1:7">
      <c r="A1" s="349" t="str">
        <f>'Nov 17'!A2</f>
        <v>Design-spectrum Limited</v>
      </c>
    </row>
    <row r="2" spans="1:7">
      <c r="A2" s="350" t="s">
        <v>181</v>
      </c>
      <c r="G2" s="351"/>
    </row>
    <row r="3" spans="1:7">
      <c r="A3" s="350" t="s">
        <v>92</v>
      </c>
      <c r="B3" s="352">
        <f>'Oct 18'!C4</f>
        <v>43381</v>
      </c>
      <c r="C3" s="352"/>
    </row>
    <row r="4" spans="1:7">
      <c r="A4" s="350"/>
      <c r="B4" s="352"/>
      <c r="C4" s="352"/>
    </row>
    <row r="5" spans="1:7">
      <c r="A5" s="350" t="s">
        <v>182</v>
      </c>
      <c r="B5" s="352"/>
      <c r="C5" s="352"/>
    </row>
    <row r="6" spans="1:7" ht="13.5" thickBot="1">
      <c r="A6" s="350"/>
      <c r="B6" s="352"/>
      <c r="C6" s="352"/>
    </row>
    <row r="7" spans="1:7" ht="21" thickBot="1">
      <c r="A7" s="234" t="s">
        <v>180</v>
      </c>
      <c r="B7" s="235"/>
      <c r="C7" s="235"/>
      <c r="D7" s="236"/>
    </row>
    <row r="8" spans="1:7">
      <c r="A8" s="353"/>
      <c r="B8" s="140"/>
      <c r="C8" s="140"/>
      <c r="D8" s="142"/>
    </row>
    <row r="9" spans="1:7">
      <c r="A9" s="354"/>
      <c r="B9" s="232" t="s">
        <v>179</v>
      </c>
      <c r="C9" s="129"/>
      <c r="D9" s="131"/>
    </row>
    <row r="10" spans="1:7" ht="13.5" thickBot="1">
      <c r="A10" s="355" t="s">
        <v>84</v>
      </c>
      <c r="B10" s="126" t="s">
        <v>178</v>
      </c>
      <c r="C10" s="126" t="s">
        <v>16</v>
      </c>
      <c r="D10" s="130" t="s">
        <v>17</v>
      </c>
    </row>
    <row r="11" spans="1:7">
      <c r="A11" s="356"/>
      <c r="B11" s="237" t="s">
        <v>20</v>
      </c>
      <c r="C11" s="237" t="s">
        <v>20</v>
      </c>
      <c r="D11" s="238" t="s">
        <v>20</v>
      </c>
    </row>
    <row r="12" spans="1:7">
      <c r="A12" s="357">
        <f>'Nov 17'!C4</f>
        <v>43040</v>
      </c>
      <c r="B12" s="233">
        <f t="shared" ref="B12:B23" si="0">C12-D12</f>
        <v>0</v>
      </c>
      <c r="C12" s="169">
        <f>'Nov 17'!$G$61</f>
        <v>0</v>
      </c>
      <c r="D12" s="171">
        <f>'Nov 17'!$G$62</f>
        <v>0</v>
      </c>
    </row>
    <row r="13" spans="1:7">
      <c r="A13" s="357">
        <f>'Dec 17'!C4</f>
        <v>43071</v>
      </c>
      <c r="B13" s="233">
        <f t="shared" si="0"/>
        <v>19288.5</v>
      </c>
      <c r="C13" s="169">
        <f>'Dec 17'!$G$61</f>
        <v>23100</v>
      </c>
      <c r="D13" s="171">
        <f>'Dec 17'!$G$62</f>
        <v>3811.5</v>
      </c>
    </row>
    <row r="14" spans="1:7">
      <c r="A14" s="357">
        <f>'Jan 18'!C4</f>
        <v>43102</v>
      </c>
      <c r="B14" s="233">
        <f t="shared" si="0"/>
        <v>0</v>
      </c>
      <c r="C14" s="169">
        <f>'Jan 18'!$G$61</f>
        <v>0</v>
      </c>
      <c r="D14" s="171">
        <f>'Jan 18'!$G$62</f>
        <v>0</v>
      </c>
    </row>
    <row r="15" spans="1:7">
      <c r="A15" s="357">
        <f>'Feb 18'!C4</f>
        <v>43133</v>
      </c>
      <c r="B15" s="233">
        <f t="shared" si="0"/>
        <v>13226.4</v>
      </c>
      <c r="C15" s="169">
        <f>'Feb 18'!$G$61</f>
        <v>15840</v>
      </c>
      <c r="D15" s="171">
        <f>'Feb 18'!$G$62</f>
        <v>2613.6</v>
      </c>
    </row>
    <row r="16" spans="1:7">
      <c r="A16" s="357">
        <f>'Mar 18'!C4</f>
        <v>43164</v>
      </c>
      <c r="B16" s="233">
        <f t="shared" si="0"/>
        <v>11022</v>
      </c>
      <c r="C16" s="169">
        <f>'Mar 18'!$G$61</f>
        <v>13200</v>
      </c>
      <c r="D16" s="171">
        <f>'Mar 18'!$G$62</f>
        <v>2178</v>
      </c>
    </row>
    <row r="17" spans="1:6">
      <c r="A17" s="357">
        <f>'Apr 18'!C4</f>
        <v>43195</v>
      </c>
      <c r="B17" s="233">
        <f t="shared" si="0"/>
        <v>11573.1</v>
      </c>
      <c r="C17" s="169">
        <f>'Apr 18'!$G$61</f>
        <v>13860</v>
      </c>
      <c r="D17" s="171">
        <f>'Apr 18'!$G$62</f>
        <v>2286.9</v>
      </c>
    </row>
    <row r="18" spans="1:6">
      <c r="A18" s="357">
        <f>'May 18'!C4</f>
        <v>43226</v>
      </c>
      <c r="B18" s="233">
        <f t="shared" si="0"/>
        <v>0</v>
      </c>
      <c r="C18" s="169">
        <f>'May 18'!$G$61</f>
        <v>0</v>
      </c>
      <c r="D18" s="171">
        <f>'May 18'!$G$62</f>
        <v>0</v>
      </c>
    </row>
    <row r="19" spans="1:6">
      <c r="A19" s="357">
        <f>'Jun 18'!C4</f>
        <v>43257</v>
      </c>
      <c r="B19" s="233">
        <f t="shared" si="0"/>
        <v>20941.8</v>
      </c>
      <c r="C19" s="169">
        <f>'Jun 18'!$G$61</f>
        <v>25080</v>
      </c>
      <c r="D19" s="171">
        <f>'Jun 18'!$G$62</f>
        <v>4138.2</v>
      </c>
    </row>
    <row r="20" spans="1:6">
      <c r="A20" s="357">
        <f>'Jul 18'!C4</f>
        <v>43288</v>
      </c>
      <c r="B20" s="233">
        <f t="shared" si="0"/>
        <v>0</v>
      </c>
      <c r="C20" s="169">
        <f>'Jul 18'!$G$61</f>
        <v>0</v>
      </c>
      <c r="D20" s="171">
        <f>'Jul 18'!$G$62</f>
        <v>0</v>
      </c>
    </row>
    <row r="21" spans="1:6">
      <c r="A21" s="357">
        <f>'Aug 18'!C4</f>
        <v>43319</v>
      </c>
      <c r="B21" s="233">
        <f t="shared" si="0"/>
        <v>19288.5</v>
      </c>
      <c r="C21" s="169">
        <f>'Aug 18'!$G$61</f>
        <v>23100</v>
      </c>
      <c r="D21" s="171">
        <f>'Aug 18'!$G$62</f>
        <v>3811.5</v>
      </c>
    </row>
    <row r="22" spans="1:6">
      <c r="A22" s="357">
        <f>'Sep 18'!C4</f>
        <v>43350</v>
      </c>
      <c r="B22" s="233">
        <f t="shared" si="0"/>
        <v>13226.4</v>
      </c>
      <c r="C22" s="169">
        <f>'Sep 18'!$G$61</f>
        <v>15840</v>
      </c>
      <c r="D22" s="171">
        <f>'Sep 18'!$G$62</f>
        <v>2613.6</v>
      </c>
    </row>
    <row r="23" spans="1:6">
      <c r="A23" s="357">
        <f>'Oct 18'!C4</f>
        <v>43381</v>
      </c>
      <c r="B23" s="233">
        <f t="shared" si="0"/>
        <v>19250</v>
      </c>
      <c r="C23" s="169">
        <f>'Oct 18'!$G$61</f>
        <v>23100</v>
      </c>
      <c r="D23" s="171">
        <f>'Oct 18'!$G$62</f>
        <v>3850</v>
      </c>
    </row>
    <row r="24" spans="1:6" ht="13.5" thickBot="1">
      <c r="A24" s="358"/>
      <c r="B24" s="170">
        <f>SUM(B12:B23)</f>
        <v>127816.7</v>
      </c>
      <c r="C24" s="170">
        <f>SUM(C12:C23)</f>
        <v>153120</v>
      </c>
      <c r="D24" s="172">
        <f>SUM(D12:D23)</f>
        <v>25303.3</v>
      </c>
    </row>
    <row r="25" spans="1:6">
      <c r="B25" s="311" t="s">
        <v>208</v>
      </c>
      <c r="C25" s="352"/>
      <c r="D25" s="352"/>
    </row>
    <row r="26" spans="1:6">
      <c r="A26" s="350"/>
      <c r="B26" s="352"/>
      <c r="C26" s="352"/>
    </row>
    <row r="27" spans="1:6">
      <c r="A27" s="350" t="s">
        <v>183</v>
      </c>
      <c r="B27" s="352"/>
      <c r="C27" s="352"/>
    </row>
    <row r="28" spans="1:6" ht="13.5" thickBot="1"/>
    <row r="29" spans="1:6" ht="21" thickBot="1">
      <c r="A29" s="234" t="s">
        <v>80</v>
      </c>
      <c r="B29" s="235"/>
      <c r="C29" s="235"/>
      <c r="D29" s="235"/>
      <c r="E29" s="235"/>
      <c r="F29" s="236"/>
    </row>
    <row r="30" spans="1:6">
      <c r="A30" s="353"/>
      <c r="B30" s="141"/>
      <c r="C30" s="141"/>
      <c r="D30" s="141"/>
      <c r="E30" s="141"/>
      <c r="F30" s="147" t="s">
        <v>33</v>
      </c>
    </row>
    <row r="31" spans="1:6">
      <c r="A31" s="354"/>
      <c r="B31" s="126" t="s">
        <v>33</v>
      </c>
      <c r="C31" s="126" t="s">
        <v>81</v>
      </c>
      <c r="D31" s="126" t="s">
        <v>16</v>
      </c>
      <c r="E31" s="126" t="s">
        <v>82</v>
      </c>
      <c r="F31" s="130" t="s">
        <v>83</v>
      </c>
    </row>
    <row r="32" spans="1:6" ht="13.5" thickBot="1">
      <c r="A32" s="359" t="s">
        <v>84</v>
      </c>
      <c r="B32" s="128" t="s">
        <v>56</v>
      </c>
      <c r="C32" s="128" t="s">
        <v>85</v>
      </c>
      <c r="D32" s="128" t="s">
        <v>56</v>
      </c>
      <c r="E32" s="128" t="s">
        <v>86</v>
      </c>
      <c r="F32" s="127" t="s">
        <v>87</v>
      </c>
    </row>
    <row r="33" spans="1:6">
      <c r="A33" s="356"/>
      <c r="B33" s="237"/>
      <c r="C33" s="237"/>
      <c r="D33" s="237"/>
      <c r="E33" s="237"/>
      <c r="F33" s="238"/>
    </row>
    <row r="34" spans="1:6">
      <c r="A34" s="357">
        <f>'Nov 17'!C4</f>
        <v>43040</v>
      </c>
      <c r="B34" s="169">
        <f>'Nov 17'!C58+'Nov 17'!C59</f>
        <v>0</v>
      </c>
      <c r="C34" s="169">
        <f>'Nov 17'!C66-E34</f>
        <v>0</v>
      </c>
      <c r="D34" s="169">
        <f>B34-E34</f>
        <v>0</v>
      </c>
      <c r="E34" s="169">
        <f>IF('Nov 17'!$C$4&lt;42095,'Nov 17'!$D$249,'Nov 17'!$D$227)</f>
        <v>0</v>
      </c>
      <c r="F34" s="171">
        <f>Summary!M12</f>
        <v>0</v>
      </c>
    </row>
    <row r="35" spans="1:6">
      <c r="A35" s="357">
        <f>'Dec 17'!C4</f>
        <v>43071</v>
      </c>
      <c r="B35" s="169">
        <f>'Dec 17'!C58+'Dec 17'!C59</f>
        <v>0</v>
      </c>
      <c r="C35" s="169">
        <f>'Dec 17'!C66-E35</f>
        <v>0</v>
      </c>
      <c r="D35" s="169">
        <f t="shared" ref="D35:D45" si="1">B35-E35</f>
        <v>0</v>
      </c>
      <c r="E35" s="169">
        <f>IF('Dec 17'!$C$4&lt;42095,'Dec 17'!$D$249,'Dec 17'!$D$227)</f>
        <v>0</v>
      </c>
      <c r="F35" s="171">
        <f>Summary!M13</f>
        <v>0</v>
      </c>
    </row>
    <row r="36" spans="1:6">
      <c r="A36" s="357">
        <f>'Jan 18'!C4</f>
        <v>43102</v>
      </c>
      <c r="B36" s="169">
        <f>'Jan 18'!C58+'Jan 18'!C59</f>
        <v>0</v>
      </c>
      <c r="C36" s="169">
        <f>'Jan 18'!C66-E36</f>
        <v>0</v>
      </c>
      <c r="D36" s="169">
        <f t="shared" si="1"/>
        <v>0</v>
      </c>
      <c r="E36" s="169">
        <f>IF('Jan 18'!$C$4&lt;42095,'Jan 18'!$D$249,'Jan 18'!$D$227)</f>
        <v>0</v>
      </c>
      <c r="F36" s="171">
        <f>Summary!M14</f>
        <v>0</v>
      </c>
    </row>
    <row r="37" spans="1:6">
      <c r="A37" s="357">
        <f>'Feb 18'!C4</f>
        <v>43133</v>
      </c>
      <c r="B37" s="169">
        <f>'Feb 18'!C58+'Feb 18'!C59</f>
        <v>0</v>
      </c>
      <c r="C37" s="169">
        <f>'Feb 18'!C66-E37</f>
        <v>0</v>
      </c>
      <c r="D37" s="169">
        <f t="shared" si="1"/>
        <v>0</v>
      </c>
      <c r="E37" s="169">
        <f>IF('Feb 18'!$C$4&lt;42095,'Feb 18'!$D$249,'Feb 18'!$D$227)</f>
        <v>0</v>
      </c>
      <c r="F37" s="171">
        <f>Summary!M15</f>
        <v>0</v>
      </c>
    </row>
    <row r="38" spans="1:6">
      <c r="A38" s="357">
        <f>'Mar 18'!C4</f>
        <v>43164</v>
      </c>
      <c r="B38" s="169">
        <f>'Mar 18'!C58+'Mar 18'!C59</f>
        <v>0</v>
      </c>
      <c r="C38" s="169">
        <f>'Mar 18'!C66-E38</f>
        <v>0</v>
      </c>
      <c r="D38" s="169">
        <f t="shared" si="1"/>
        <v>0</v>
      </c>
      <c r="E38" s="169">
        <f>IF('Mar 18'!$C$4&lt;42095,'Mar 18'!$D$249,'Mar 18'!$D$227)</f>
        <v>0</v>
      </c>
      <c r="F38" s="171">
        <f>Summary!M16</f>
        <v>0</v>
      </c>
    </row>
    <row r="39" spans="1:6">
      <c r="A39" s="357">
        <f>'Apr 18'!C4</f>
        <v>43195</v>
      </c>
      <c r="B39" s="169">
        <f>'Apr 18'!C58+'Apr 18'!C59</f>
        <v>0</v>
      </c>
      <c r="C39" s="169">
        <f>'Apr 18'!C66-E39</f>
        <v>0</v>
      </c>
      <c r="D39" s="169">
        <f t="shared" si="1"/>
        <v>0</v>
      </c>
      <c r="E39" s="169">
        <f>IF('Apr 18'!$C$4&lt;42095,'Apr 18'!$D$249,'Apr 18'!$D$227)</f>
        <v>0</v>
      </c>
      <c r="F39" s="171">
        <f>Summary!M17</f>
        <v>0</v>
      </c>
    </row>
    <row r="40" spans="1:6">
      <c r="A40" s="357">
        <f>'May 18'!C4</f>
        <v>43226</v>
      </c>
      <c r="B40" s="169">
        <f>'May 18'!C58+'May 18'!C59</f>
        <v>0</v>
      </c>
      <c r="C40" s="169">
        <f>'May 18'!C66-E40</f>
        <v>0</v>
      </c>
      <c r="D40" s="169">
        <f t="shared" si="1"/>
        <v>0</v>
      </c>
      <c r="E40" s="169">
        <f>IF('May 18'!$C$4&lt;42095,'May 18'!$D$249,'May 18'!$D$227)</f>
        <v>0</v>
      </c>
      <c r="F40" s="171">
        <f>Summary!M18</f>
        <v>0</v>
      </c>
    </row>
    <row r="41" spans="1:6">
      <c r="A41" s="357">
        <f>'Jun 18'!C4</f>
        <v>43257</v>
      </c>
      <c r="B41" s="169">
        <f>'Jun 18'!C58+'Jun 18'!C59</f>
        <v>0</v>
      </c>
      <c r="C41" s="169">
        <f>'Jun 18'!C66-E41</f>
        <v>0</v>
      </c>
      <c r="D41" s="169">
        <f t="shared" si="1"/>
        <v>0</v>
      </c>
      <c r="E41" s="169">
        <f>IF('Jun 18'!$C$4&lt;42095,'Jun 18'!$D$249,'Jun 18'!$D$227)</f>
        <v>0</v>
      </c>
      <c r="F41" s="171">
        <f>Summary!M19</f>
        <v>0</v>
      </c>
    </row>
    <row r="42" spans="1:6">
      <c r="A42" s="357">
        <f>'Jul 18'!C4</f>
        <v>43288</v>
      </c>
      <c r="B42" s="169">
        <f>'Jul 18'!C58+'Jul 18'!C59</f>
        <v>0</v>
      </c>
      <c r="C42" s="169">
        <f>'Jul 18'!C66-E42</f>
        <v>0</v>
      </c>
      <c r="D42" s="169">
        <f t="shared" si="1"/>
        <v>0</v>
      </c>
      <c r="E42" s="169">
        <f>IF('Jul 18'!$C$4&lt;42095,'Jul 18'!$D$249,'Jul 18'!$D$227)</f>
        <v>0</v>
      </c>
      <c r="F42" s="171">
        <f>Summary!M20</f>
        <v>0</v>
      </c>
    </row>
    <row r="43" spans="1:6">
      <c r="A43" s="357">
        <f>'Aug 18'!C4</f>
        <v>43319</v>
      </c>
      <c r="B43" s="169">
        <f>'Aug 18'!C58+'Aug 18'!C59</f>
        <v>0</v>
      </c>
      <c r="C43" s="169">
        <f>'Aug 18'!C66-E43</f>
        <v>0</v>
      </c>
      <c r="D43" s="169">
        <f t="shared" si="1"/>
        <v>0</v>
      </c>
      <c r="E43" s="169">
        <f>IF('Aug 18'!$C$4&lt;42095,'Aug 18'!$D$249,'Aug 18'!$D$227)</f>
        <v>0</v>
      </c>
      <c r="F43" s="171">
        <f>Summary!M21</f>
        <v>0</v>
      </c>
    </row>
    <row r="44" spans="1:6">
      <c r="A44" s="357">
        <f>'Sep 18'!C4</f>
        <v>43350</v>
      </c>
      <c r="B44" s="169">
        <f>'Sep 18'!C58+'Sep 18'!C59</f>
        <v>0</v>
      </c>
      <c r="C44" s="169">
        <f>'Sep 18'!C66-E44</f>
        <v>0</v>
      </c>
      <c r="D44" s="169">
        <f t="shared" si="1"/>
        <v>0</v>
      </c>
      <c r="E44" s="169">
        <f>IF('Sep 18'!$C$4&lt;42095,'Sep 18'!$D$249,'Sep 18'!$D$227)</f>
        <v>0</v>
      </c>
      <c r="F44" s="171">
        <f>Summary!M22</f>
        <v>0</v>
      </c>
    </row>
    <row r="45" spans="1:6">
      <c r="A45" s="357">
        <f>'Oct 18'!C4</f>
        <v>43381</v>
      </c>
      <c r="B45" s="169">
        <f>'Oct 18'!C58+'Oct 18'!C59</f>
        <v>0</v>
      </c>
      <c r="C45" s="169">
        <f>'Oct 18'!C66-E45</f>
        <v>0</v>
      </c>
      <c r="D45" s="169">
        <f t="shared" si="1"/>
        <v>0</v>
      </c>
      <c r="E45" s="169">
        <f>IF('Oct 18'!$C$4&lt;42095,'Oct 18'!$D$249,'Oct 18'!$D$227)</f>
        <v>0</v>
      </c>
      <c r="F45" s="171">
        <f>Summary!M23</f>
        <v>0</v>
      </c>
    </row>
    <row r="46" spans="1:6" ht="13.5" thickBot="1">
      <c r="A46" s="358"/>
      <c r="B46" s="170">
        <f>SUM(B34:B45)</f>
        <v>0</v>
      </c>
      <c r="C46" s="170">
        <f>SUM(C34:C45)</f>
        <v>0</v>
      </c>
      <c r="D46" s="170">
        <f>SUM(D34:D45)</f>
        <v>0</v>
      </c>
      <c r="E46" s="170">
        <f>SUM(E34:E45)</f>
        <v>0</v>
      </c>
      <c r="F46" s="172">
        <f>SUM(F34:F45)</f>
        <v>0</v>
      </c>
    </row>
    <row r="48" spans="1:6" ht="12.75" customHeight="1"/>
    <row r="49" spans="1:9" ht="12.75" customHeight="1">
      <c r="A49" s="177" t="s">
        <v>185</v>
      </c>
      <c r="B49" s="121"/>
      <c r="C49" s="121"/>
      <c r="D49" s="121"/>
      <c r="E49" s="121"/>
      <c r="F49" s="121"/>
      <c r="G49" s="121"/>
    </row>
    <row r="50" spans="1:9" ht="12.75" customHeight="1">
      <c r="G50" s="164"/>
      <c r="I50" s="311"/>
    </row>
    <row r="51" spans="1:9" ht="12.75" customHeight="1">
      <c r="A51" s="178" t="s">
        <v>141</v>
      </c>
      <c r="B51" s="179" t="s">
        <v>142</v>
      </c>
      <c r="C51" s="360"/>
      <c r="G51" s="166"/>
    </row>
    <row r="52" spans="1:9" ht="12.75" customHeight="1">
      <c r="G52" s="166"/>
    </row>
    <row r="53" spans="1:9" ht="12.75" customHeight="1">
      <c r="G53" s="165"/>
    </row>
    <row r="54" spans="1:9">
      <c r="A54" s="180"/>
      <c r="B54" s="181" t="s">
        <v>186</v>
      </c>
      <c r="C54" s="361"/>
      <c r="G54" s="117"/>
    </row>
    <row r="55" spans="1:9">
      <c r="G55" s="117"/>
    </row>
    <row r="56" spans="1:9">
      <c r="G56" s="117"/>
    </row>
    <row r="57" spans="1:9">
      <c r="A57" s="180"/>
      <c r="B57" s="182" t="s">
        <v>155</v>
      </c>
      <c r="C57" s="361"/>
      <c r="G57" s="117"/>
    </row>
    <row r="58" spans="1:9">
      <c r="G58" s="117"/>
    </row>
    <row r="59" spans="1:9">
      <c r="G59" s="117"/>
    </row>
    <row r="60" spans="1:9">
      <c r="G60" s="117"/>
    </row>
    <row r="61" spans="1:9">
      <c r="G61" s="117"/>
    </row>
    <row r="62" spans="1:9">
      <c r="G62" s="117"/>
    </row>
    <row r="63" spans="1:9">
      <c r="G63" s="117"/>
    </row>
    <row r="64" spans="1:9">
      <c r="G64" s="117"/>
    </row>
    <row r="65" spans="1:7">
      <c r="G65" s="117"/>
    </row>
    <row r="66" spans="1:7">
      <c r="G66" s="167"/>
    </row>
    <row r="67" spans="1:7">
      <c r="A67" s="121"/>
      <c r="B67" s="121"/>
      <c r="C67" s="121"/>
      <c r="D67" s="121"/>
      <c r="E67" s="121"/>
      <c r="F67" s="121"/>
      <c r="G67" s="121"/>
    </row>
  </sheetData>
  <sheetProtection algorithmName="SHA-512" hashValue="MlgnjMJtzAYfeKmEdECjvjIIQRwbjeVm09L6VAflLiHjajL8plLRaLGZMeVCOrHT5esxO3ugiX40c83ZIMyTlQ==" saltValue="In6fhiLUSXGeEhuJg8hh2A==" spinCount="100000" sheet="1" objects="1" scenarios="1"/>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4</xdr:col>
                    <xdr:colOff>28575</xdr:colOff>
                    <xdr:row>49</xdr:row>
                    <xdr:rowOff>114300</xdr:rowOff>
                  </from>
                  <to>
                    <xdr:col>6</xdr:col>
                    <xdr:colOff>19050</xdr:colOff>
                    <xdr:row>51</xdr:row>
                    <xdr:rowOff>9525</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4</xdr:col>
                    <xdr:colOff>28575</xdr:colOff>
                    <xdr:row>52</xdr:row>
                    <xdr:rowOff>104775</xdr:rowOff>
                  </from>
                  <to>
                    <xdr:col>6</xdr:col>
                    <xdr:colOff>19050</xdr:colOff>
                    <xdr:row>54</xdr:row>
                    <xdr:rowOff>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19050</xdr:colOff>
                    <xdr:row>55</xdr:row>
                    <xdr:rowOff>133350</xdr:rowOff>
                  </from>
                  <to>
                    <xdr:col>6</xdr:col>
                    <xdr:colOff>9525</xdr:colOff>
                    <xdr:row>57</xdr:row>
                    <xdr:rowOff>28575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dimension ref="A1:O50"/>
  <sheetViews>
    <sheetView topLeftCell="A13" workbookViewId="0">
      <selection activeCell="L39" sqref="L39"/>
    </sheetView>
  </sheetViews>
  <sheetFormatPr defaultColWidth="9.140625" defaultRowHeight="12.75"/>
  <cols>
    <col min="1" max="1" width="10.85546875" style="7" customWidth="1"/>
    <col min="2" max="2" width="13.7109375" style="7" bestFit="1" customWidth="1"/>
    <col min="3" max="3" width="9.28515625" style="7" customWidth="1"/>
    <col min="4" max="4" width="11.42578125" style="7" customWidth="1"/>
    <col min="5" max="5" width="15.85546875" style="7" customWidth="1"/>
    <col min="6" max="6" width="11.28515625" style="7" customWidth="1"/>
    <col min="7" max="7" width="10.140625" style="7" customWidth="1"/>
    <col min="8" max="8" width="11.42578125" style="7" customWidth="1"/>
    <col min="9" max="11" width="10.28515625" style="7" bestFit="1" customWidth="1"/>
    <col min="12" max="16384" width="9.140625" style="7"/>
  </cols>
  <sheetData>
    <row r="1" spans="1:10">
      <c r="A1" s="349" t="str">
        <f>'Nov 17'!A2</f>
        <v>Design-spectrum Limited</v>
      </c>
      <c r="G1" s="437" t="s">
        <v>89</v>
      </c>
      <c r="H1" s="311" t="s">
        <v>506</v>
      </c>
    </row>
    <row r="2" spans="1:10">
      <c r="A2" s="350" t="s">
        <v>90</v>
      </c>
      <c r="G2" s="437" t="s">
        <v>91</v>
      </c>
      <c r="H2" s="351">
        <f ca="1">TODAY()</f>
        <v>43500</v>
      </c>
    </row>
    <row r="3" spans="1:10">
      <c r="A3" s="350" t="s">
        <v>92</v>
      </c>
      <c r="B3" s="352">
        <f>'Oct 18'!C4</f>
        <v>43381</v>
      </c>
      <c r="C3" s="352"/>
      <c r="G3" s="437"/>
    </row>
    <row r="5" spans="1:10">
      <c r="C5" s="339"/>
      <c r="D5" s="339"/>
      <c r="E5" s="339"/>
      <c r="F5" s="339"/>
      <c r="G5" s="339"/>
      <c r="H5" s="339"/>
      <c r="I5" s="339"/>
      <c r="J5" s="339"/>
    </row>
    <row r="6" spans="1:10">
      <c r="A6" s="362" t="s">
        <v>421</v>
      </c>
      <c r="C6" s="339"/>
      <c r="D6" s="339"/>
      <c r="E6" s="339"/>
      <c r="F6" s="339"/>
      <c r="G6" s="339"/>
      <c r="H6" s="339"/>
      <c r="I6" s="339"/>
      <c r="J6" s="339"/>
    </row>
    <row r="7" spans="1:10">
      <c r="C7" s="339"/>
      <c r="D7" s="363" t="s">
        <v>93</v>
      </c>
      <c r="E7" s="363"/>
      <c r="F7" s="363"/>
      <c r="G7" s="363"/>
      <c r="H7" s="363" t="s">
        <v>93</v>
      </c>
      <c r="I7" s="339"/>
      <c r="J7" s="339"/>
    </row>
    <row r="8" spans="1:10">
      <c r="C8" s="339"/>
      <c r="D8" s="339"/>
      <c r="E8" s="339"/>
      <c r="F8" s="339"/>
      <c r="G8" s="339"/>
      <c r="H8" s="339"/>
      <c r="I8" s="339"/>
      <c r="J8" s="339"/>
    </row>
    <row r="9" spans="1:10">
      <c r="A9" s="7" t="s">
        <v>94</v>
      </c>
      <c r="C9" s="339"/>
      <c r="D9" s="339">
        <v>28875.31</v>
      </c>
      <c r="E9" s="339"/>
      <c r="F9" s="339"/>
      <c r="G9" s="339"/>
      <c r="H9" s="339"/>
      <c r="I9" s="339"/>
      <c r="J9" s="339">
        <v>28875.31</v>
      </c>
    </row>
    <row r="10" spans="1:10">
      <c r="C10" s="339"/>
      <c r="D10" s="339"/>
      <c r="E10" s="339"/>
      <c r="F10" s="339"/>
      <c r="G10" s="339"/>
      <c r="H10" s="339"/>
      <c r="I10" s="339"/>
      <c r="J10" s="339">
        <f>+J9-D9</f>
        <v>0</v>
      </c>
    </row>
    <row r="11" spans="1:10">
      <c r="A11" s="7" t="s">
        <v>95</v>
      </c>
      <c r="C11" s="339"/>
      <c r="D11" s="339">
        <f>Summary!G24</f>
        <v>153120</v>
      </c>
      <c r="E11" s="339" t="s">
        <v>47</v>
      </c>
      <c r="F11" s="339"/>
      <c r="G11" s="339"/>
      <c r="H11" s="339">
        <f>Summary!B47</f>
        <v>227573.34000000005</v>
      </c>
      <c r="I11" s="339"/>
      <c r="J11" s="339"/>
    </row>
    <row r="12" spans="1:10">
      <c r="A12" s="7" t="s">
        <v>133</v>
      </c>
      <c r="C12" s="339"/>
      <c r="D12" s="339">
        <f>Summary!H24</f>
        <v>195.09</v>
      </c>
      <c r="E12" s="339"/>
      <c r="F12" s="339"/>
      <c r="G12" s="339"/>
      <c r="H12" s="339"/>
      <c r="I12" s="339"/>
      <c r="J12" s="339"/>
    </row>
    <row r="13" spans="1:10">
      <c r="A13" s="7" t="s">
        <v>96</v>
      </c>
      <c r="C13" s="339"/>
      <c r="D13" s="339">
        <f>Summary!I24</f>
        <v>0</v>
      </c>
      <c r="E13" s="339"/>
      <c r="F13" s="339"/>
      <c r="G13" s="339"/>
      <c r="H13" s="339"/>
      <c r="I13" s="339"/>
      <c r="J13" s="339"/>
    </row>
    <row r="14" spans="1:10">
      <c r="A14" s="7" t="s">
        <v>97</v>
      </c>
      <c r="C14" s="339"/>
      <c r="D14" s="339">
        <f>Summary!J24</f>
        <v>101044.25</v>
      </c>
      <c r="E14" s="339"/>
      <c r="F14" s="339"/>
      <c r="G14" s="339"/>
      <c r="H14" s="339"/>
      <c r="I14" s="339"/>
      <c r="J14" s="339"/>
    </row>
    <row r="15" spans="1:10">
      <c r="C15" s="339"/>
      <c r="D15" s="339"/>
      <c r="E15" s="339"/>
      <c r="F15" s="339"/>
      <c r="G15" s="428"/>
      <c r="H15" s="339"/>
      <c r="I15" s="339"/>
      <c r="J15" s="339"/>
    </row>
    <row r="16" spans="1:10">
      <c r="A16" s="311" t="s">
        <v>422</v>
      </c>
      <c r="C16" s="339"/>
      <c r="D16" s="339"/>
      <c r="E16" s="339"/>
      <c r="F16" s="428"/>
      <c r="G16" s="428">
        <v>55661.31</v>
      </c>
      <c r="H16" s="339"/>
      <c r="I16" s="339"/>
      <c r="J16" s="339"/>
    </row>
    <row r="17" spans="1:15">
      <c r="A17" s="7" t="s">
        <v>98</v>
      </c>
      <c r="C17" s="339"/>
      <c r="D17" s="339"/>
      <c r="E17" s="339"/>
      <c r="F17" s="339"/>
      <c r="G17" s="364" t="s">
        <v>99</v>
      </c>
      <c r="H17" s="339"/>
      <c r="I17" s="339"/>
      <c r="J17" s="339"/>
    </row>
    <row r="18" spans="1:15">
      <c r="C18" s="339"/>
      <c r="D18" s="339"/>
      <c r="E18" s="339"/>
      <c r="F18" s="339"/>
      <c r="G18" s="364" t="s">
        <v>99</v>
      </c>
      <c r="H18" s="339"/>
      <c r="I18" s="339"/>
      <c r="J18" s="339"/>
      <c r="O18" s="311"/>
    </row>
    <row r="19" spans="1:15">
      <c r="C19" s="339"/>
      <c r="D19" s="339"/>
      <c r="E19" s="339"/>
      <c r="F19" s="339"/>
      <c r="G19" s="339" t="s">
        <v>99</v>
      </c>
      <c r="H19" s="339"/>
      <c r="I19" s="339"/>
      <c r="J19" s="339"/>
    </row>
    <row r="20" spans="1:15">
      <c r="C20" s="339"/>
      <c r="D20" s="339"/>
      <c r="E20" s="339"/>
      <c r="F20" s="339"/>
      <c r="G20" s="339" t="s">
        <v>99</v>
      </c>
      <c r="H20" s="339"/>
      <c r="I20" s="339"/>
      <c r="J20" s="339"/>
    </row>
    <row r="21" spans="1:15">
      <c r="C21" s="339"/>
      <c r="D21" s="339"/>
      <c r="E21" s="339"/>
      <c r="F21" s="339"/>
      <c r="G21" s="339" t="s">
        <v>99</v>
      </c>
      <c r="H21" s="339"/>
      <c r="I21" s="339"/>
      <c r="J21" s="339"/>
    </row>
    <row r="22" spans="1:15">
      <c r="C22" s="339"/>
      <c r="D22" s="339"/>
      <c r="E22" s="339"/>
      <c r="F22" s="339"/>
      <c r="G22" s="365" t="s">
        <v>99</v>
      </c>
      <c r="H22" s="339"/>
      <c r="I22" s="339"/>
      <c r="J22" s="339"/>
    </row>
    <row r="23" spans="1:15">
      <c r="A23" s="7" t="s">
        <v>100</v>
      </c>
      <c r="C23" s="339"/>
      <c r="D23" s="339"/>
      <c r="E23" s="339"/>
      <c r="F23" s="339"/>
      <c r="G23" s="339"/>
      <c r="H23" s="369">
        <f>G16-SUM(G17:G22)</f>
        <v>55661.31</v>
      </c>
      <c r="I23" s="339"/>
      <c r="J23" s="364" t="s">
        <v>538</v>
      </c>
    </row>
    <row r="24" spans="1:15">
      <c r="C24" s="339"/>
      <c r="D24" s="339"/>
      <c r="E24" s="339"/>
      <c r="F24" s="339"/>
      <c r="G24" s="339"/>
      <c r="H24" s="339"/>
      <c r="I24" s="339"/>
      <c r="J24" s="339"/>
    </row>
    <row r="25" spans="1:15" ht="13.5" thickBot="1">
      <c r="C25" s="339"/>
      <c r="D25" s="366">
        <f>SUM(D9:D24)</f>
        <v>283234.65000000002</v>
      </c>
      <c r="E25" s="339"/>
      <c r="F25" s="657">
        <f>D25-H25</f>
        <v>0</v>
      </c>
      <c r="G25" s="339"/>
      <c r="H25" s="366">
        <f>SUM(H9:H24)</f>
        <v>283234.65000000002</v>
      </c>
      <c r="I25" s="339"/>
      <c r="J25" s="339"/>
    </row>
    <row r="26" spans="1:15" ht="13.5" thickTop="1">
      <c r="C26" s="339"/>
      <c r="D26" s="339"/>
      <c r="E26" s="339"/>
      <c r="F26" s="339"/>
      <c r="G26" s="339"/>
      <c r="H26" s="339"/>
      <c r="I26" s="339"/>
      <c r="J26" s="339"/>
    </row>
    <row r="27" spans="1:15">
      <c r="A27" s="429"/>
      <c r="B27" s="429"/>
      <c r="C27" s="365"/>
      <c r="D27" s="365"/>
      <c r="E27" s="365"/>
      <c r="F27" s="365"/>
      <c r="G27" s="365"/>
      <c r="H27" s="365"/>
      <c r="I27" s="339"/>
      <c r="J27" s="339"/>
    </row>
    <row r="28" spans="1:15">
      <c r="D28" s="339"/>
      <c r="E28" s="339"/>
      <c r="F28" s="339"/>
      <c r="G28" s="339"/>
      <c r="H28" s="339"/>
    </row>
    <row r="29" spans="1:15">
      <c r="A29" s="14" t="s">
        <v>424</v>
      </c>
      <c r="C29" s="339"/>
      <c r="D29" s="339"/>
      <c r="E29" s="339"/>
      <c r="F29" s="339"/>
      <c r="G29" s="339"/>
      <c r="H29" s="339"/>
      <c r="I29" s="339"/>
      <c r="J29" s="339"/>
    </row>
    <row r="30" spans="1:15">
      <c r="C30" s="339"/>
      <c r="D30" s="363" t="s">
        <v>93</v>
      </c>
      <c r="E30" s="363"/>
      <c r="F30" s="363"/>
      <c r="G30" s="363"/>
      <c r="H30" s="363" t="s">
        <v>93</v>
      </c>
      <c r="I30" s="339"/>
      <c r="J30" s="339"/>
    </row>
    <row r="31" spans="1:15">
      <c r="C31" s="339"/>
      <c r="D31" s="363"/>
      <c r="E31" s="363"/>
      <c r="F31" s="363"/>
      <c r="G31" s="363"/>
      <c r="H31" s="363"/>
      <c r="I31" s="339"/>
    </row>
    <row r="32" spans="1:15">
      <c r="A32" s="7" t="s">
        <v>94</v>
      </c>
      <c r="C32" s="339"/>
      <c r="D32" s="363">
        <v>87011.69</v>
      </c>
      <c r="E32" s="363"/>
      <c r="F32" s="363"/>
      <c r="G32" s="363"/>
      <c r="H32" s="363"/>
      <c r="I32" s="339"/>
    </row>
    <row r="33" spans="1:12">
      <c r="C33" s="339"/>
      <c r="D33" s="339"/>
      <c r="E33" s="339"/>
      <c r="F33" s="339"/>
      <c r="G33" s="339"/>
      <c r="H33" s="339"/>
      <c r="I33" s="339"/>
      <c r="J33" s="339"/>
    </row>
    <row r="34" spans="1:12">
      <c r="A34" s="7" t="s">
        <v>101</v>
      </c>
      <c r="C34" s="339"/>
      <c r="D34" s="339">
        <f>Summary!V47</f>
        <v>101239.34</v>
      </c>
      <c r="E34" s="339" t="s">
        <v>102</v>
      </c>
      <c r="F34" s="339"/>
      <c r="G34" s="339"/>
      <c r="H34" s="339">
        <f>Summary!J24</f>
        <v>101044.25</v>
      </c>
      <c r="I34" s="339"/>
      <c r="J34" s="339"/>
    </row>
    <row r="35" spans="1:12">
      <c r="A35" s="7" t="s">
        <v>103</v>
      </c>
      <c r="C35" s="339"/>
      <c r="D35" s="339">
        <f>Summary!K24</f>
        <v>-162.38000000000002</v>
      </c>
      <c r="E35" s="339" t="s">
        <v>20</v>
      </c>
      <c r="F35" s="339"/>
      <c r="G35" s="339"/>
      <c r="H35" s="339" t="s">
        <v>20</v>
      </c>
      <c r="I35" s="339"/>
      <c r="J35" s="339"/>
      <c r="K35" s="339"/>
      <c r="L35" s="364"/>
    </row>
    <row r="36" spans="1:12">
      <c r="C36" s="339"/>
      <c r="D36" s="339"/>
      <c r="E36" s="339"/>
      <c r="F36" s="339"/>
      <c r="G36" s="339"/>
      <c r="H36" s="339">
        <f>K36</f>
        <v>0</v>
      </c>
      <c r="I36" s="339"/>
      <c r="J36" s="339"/>
      <c r="K36" s="368"/>
      <c r="L36" s="311"/>
    </row>
    <row r="37" spans="1:12">
      <c r="C37" s="339"/>
      <c r="D37" s="339"/>
      <c r="E37" s="339"/>
      <c r="F37" s="339"/>
      <c r="G37" s="339"/>
      <c r="H37" s="339"/>
      <c r="I37" s="339"/>
      <c r="J37" s="339"/>
    </row>
    <row r="38" spans="1:12">
      <c r="A38" s="364" t="s">
        <v>104</v>
      </c>
      <c r="C38" s="339"/>
      <c r="D38" s="339"/>
      <c r="E38" s="339"/>
      <c r="F38" s="339"/>
      <c r="G38" s="339"/>
      <c r="H38" s="339">
        <f>+K38+K40</f>
        <v>87044.4</v>
      </c>
      <c r="I38" s="339"/>
      <c r="J38" s="364" t="s">
        <v>539</v>
      </c>
      <c r="K38" s="7">
        <v>42038.62</v>
      </c>
    </row>
    <row r="39" spans="1:12">
      <c r="C39" s="339"/>
      <c r="D39" s="339"/>
      <c r="E39" s="339"/>
      <c r="F39" s="339"/>
      <c r="G39" s="339"/>
      <c r="H39" s="339"/>
      <c r="I39" s="339"/>
      <c r="J39" s="339"/>
    </row>
    <row r="40" spans="1:12" ht="13.5" thickBot="1">
      <c r="C40" s="339"/>
      <c r="D40" s="366">
        <f>SUM(D30:D39)</f>
        <v>188088.65</v>
      </c>
      <c r="E40" s="339"/>
      <c r="F40" s="657">
        <f>D40-H40</f>
        <v>0</v>
      </c>
      <c r="G40" s="339"/>
      <c r="H40" s="366">
        <f>SUM(H30:H39)</f>
        <v>188088.65</v>
      </c>
      <c r="I40" s="339"/>
      <c r="J40" s="780" t="s">
        <v>540</v>
      </c>
      <c r="K40" s="443">
        <v>45005.78</v>
      </c>
      <c r="L40" s="780" t="s">
        <v>547</v>
      </c>
    </row>
    <row r="41" spans="1:12" ht="13.5" thickTop="1">
      <c r="C41" s="339"/>
      <c r="D41" s="339"/>
      <c r="E41" s="339"/>
      <c r="F41" s="339"/>
      <c r="G41" s="339"/>
      <c r="H41" s="339"/>
      <c r="I41" s="339"/>
      <c r="J41" s="453"/>
      <c r="K41" s="443"/>
      <c r="L41" s="443"/>
    </row>
    <row r="42" spans="1:12">
      <c r="C42" s="339"/>
      <c r="E42" s="339"/>
      <c r="F42" s="367"/>
      <c r="G42" s="339"/>
      <c r="H42" s="368"/>
      <c r="I42" s="311"/>
    </row>
    <row r="43" spans="1:12">
      <c r="C43" s="339"/>
      <c r="D43" s="339"/>
      <c r="E43" s="339"/>
      <c r="F43" s="339"/>
      <c r="G43" s="339"/>
      <c r="H43" s="339"/>
      <c r="I43" s="339"/>
      <c r="J43" s="339"/>
    </row>
    <row r="44" spans="1:12">
      <c r="B44" s="311"/>
      <c r="C44" s="339"/>
      <c r="D44" s="779"/>
      <c r="E44" s="339"/>
      <c r="F44" s="339"/>
      <c r="G44" s="339"/>
      <c r="H44" s="339"/>
      <c r="I44" s="339"/>
      <c r="J44" s="339"/>
    </row>
    <row r="45" spans="1:12">
      <c r="B45" s="311"/>
      <c r="E45" s="311"/>
    </row>
    <row r="50" spans="9:9">
      <c r="I50" s="339"/>
    </row>
  </sheetData>
  <phoneticPr fontId="0" type="noConversion"/>
  <pageMargins left="0.75" right="0.75" top="1" bottom="1" header="0.5" footer="0.5"/>
  <pageSetup paperSize="9" orientation="portrait" horizontalDpi="300" verticalDpi="3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Q75"/>
  <sheetViews>
    <sheetView zoomScaleNormal="100" workbookViewId="0">
      <selection activeCell="F13" sqref="F13"/>
    </sheetView>
  </sheetViews>
  <sheetFormatPr defaultColWidth="9.140625" defaultRowHeight="12.75"/>
  <cols>
    <col min="1" max="1" width="11.5703125" style="7" customWidth="1"/>
    <col min="2" max="2" width="13.7109375" style="7" bestFit="1" customWidth="1"/>
    <col min="3" max="3" width="9.28515625" style="7" customWidth="1"/>
    <col min="4" max="4" width="11.28515625" style="47" customWidth="1"/>
    <col min="5" max="5" width="9.140625" style="7"/>
    <col min="6" max="6" width="11.28515625" style="7" customWidth="1"/>
    <col min="7" max="7" width="9.28515625" style="7" customWidth="1"/>
    <col min="8" max="8" width="13.140625" style="47" customWidth="1"/>
    <col min="9" max="10" width="9.140625" style="7"/>
    <col min="11" max="11" width="17.28515625" style="7" bestFit="1" customWidth="1"/>
    <col min="12" max="12" width="5.140625" style="7" customWidth="1"/>
    <col min="13" max="13" width="2" style="7" bestFit="1" customWidth="1"/>
    <col min="14" max="16384" width="9.140625" style="7"/>
  </cols>
  <sheetData>
    <row r="1" spans="1:9">
      <c r="A1" s="349" t="str">
        <f>'Nov 17'!A2</f>
        <v>Design-spectrum Limited</v>
      </c>
      <c r="G1" s="437" t="s">
        <v>89</v>
      </c>
      <c r="H1" s="7"/>
    </row>
    <row r="2" spans="1:9">
      <c r="A2" s="350" t="s">
        <v>90</v>
      </c>
      <c r="G2" s="437" t="s">
        <v>91</v>
      </c>
      <c r="H2" s="351">
        <f ca="1">TODAY()</f>
        <v>43500</v>
      </c>
    </row>
    <row r="3" spans="1:9">
      <c r="A3" s="350" t="s">
        <v>92</v>
      </c>
      <c r="B3" s="352">
        <f>'Oct 18'!C4</f>
        <v>43381</v>
      </c>
      <c r="C3" s="352"/>
    </row>
    <row r="5" spans="1:9">
      <c r="A5" s="362" t="s">
        <v>423</v>
      </c>
      <c r="C5" s="339"/>
      <c r="D5" s="339"/>
      <c r="E5" s="339"/>
      <c r="F5" s="339"/>
      <c r="G5" s="339"/>
      <c r="H5" s="339"/>
      <c r="I5" s="339"/>
    </row>
    <row r="6" spans="1:9">
      <c r="C6" s="339"/>
      <c r="D6" s="363" t="s">
        <v>93</v>
      </c>
      <c r="E6" s="363"/>
      <c r="F6" s="363"/>
      <c r="G6" s="363"/>
      <c r="H6" s="363" t="s">
        <v>93</v>
      </c>
      <c r="I6" s="339"/>
    </row>
    <row r="7" spans="1:9">
      <c r="C7" s="339"/>
      <c r="D7" s="339"/>
      <c r="E7" s="339"/>
      <c r="F7" s="339"/>
      <c r="G7" s="339"/>
      <c r="H7" s="339"/>
      <c r="I7" s="339"/>
    </row>
    <row r="8" spans="1:9">
      <c r="A8" s="7" t="s">
        <v>94</v>
      </c>
      <c r="C8" s="339"/>
      <c r="D8" s="339"/>
      <c r="E8" s="339"/>
      <c r="F8" s="339"/>
      <c r="G8" s="339"/>
      <c r="H8" s="339">
        <v>6969.6</v>
      </c>
      <c r="I8" s="339"/>
    </row>
    <row r="9" spans="1:9">
      <c r="C9" s="339"/>
      <c r="D9" s="339"/>
      <c r="E9" s="339"/>
      <c r="F9" s="339"/>
      <c r="G9" s="339"/>
      <c r="H9" s="339"/>
      <c r="I9" s="339"/>
    </row>
    <row r="10" spans="1:9">
      <c r="A10" s="7" t="s">
        <v>106</v>
      </c>
      <c r="C10" s="339"/>
      <c r="D10" s="339">
        <f>Summary!E47</f>
        <v>0</v>
      </c>
      <c r="E10" s="339" t="s">
        <v>107</v>
      </c>
      <c r="F10" s="339"/>
      <c r="G10" s="339"/>
      <c r="H10" s="339">
        <f>Summary!E24</f>
        <v>25520</v>
      </c>
      <c r="I10" s="339"/>
    </row>
    <row r="11" spans="1:9">
      <c r="A11" s="7" t="s">
        <v>108</v>
      </c>
      <c r="C11" s="339"/>
      <c r="D11" s="339">
        <f>Summary!S24</f>
        <v>21997.8</v>
      </c>
      <c r="E11" s="339"/>
      <c r="F11" s="339"/>
      <c r="G11" s="339"/>
      <c r="H11" s="339"/>
      <c r="I11" s="339"/>
    </row>
    <row r="12" spans="1:9">
      <c r="A12" s="311" t="s">
        <v>178</v>
      </c>
      <c r="C12" s="339"/>
      <c r="D12" s="339">
        <f>'VAT Summary'!K36</f>
        <v>255.19999999999709</v>
      </c>
      <c r="E12" s="339"/>
      <c r="F12" s="339"/>
      <c r="G12" s="339"/>
      <c r="H12" s="339"/>
      <c r="I12" s="339"/>
    </row>
    <row r="13" spans="1:9">
      <c r="C13" s="339"/>
      <c r="D13" s="339"/>
      <c r="E13" s="339"/>
      <c r="F13" s="339"/>
      <c r="G13" s="339"/>
      <c r="H13" s="339"/>
      <c r="I13" s="339"/>
    </row>
    <row r="14" spans="1:9">
      <c r="A14" s="311" t="s">
        <v>100</v>
      </c>
      <c r="C14" s="339"/>
      <c r="D14" s="364">
        <f>'VAT Summary'!N34</f>
        <v>10236.6</v>
      </c>
      <c r="E14" s="339"/>
      <c r="F14" s="339"/>
      <c r="G14" s="339"/>
      <c r="H14" s="339"/>
      <c r="I14" s="339"/>
    </row>
    <row r="15" spans="1:9">
      <c r="C15" s="339"/>
      <c r="D15" s="339"/>
      <c r="E15" s="339"/>
      <c r="F15" s="339"/>
      <c r="G15" s="339"/>
      <c r="H15" s="339"/>
      <c r="I15" s="339"/>
    </row>
    <row r="16" spans="1:9" ht="16.5" customHeight="1" thickBot="1">
      <c r="C16" s="339"/>
      <c r="D16" s="366">
        <f>SUM(D8:D15)</f>
        <v>32489.599999999999</v>
      </c>
      <c r="E16" s="339"/>
      <c r="F16" s="339">
        <f>D16-H16</f>
        <v>0</v>
      </c>
      <c r="G16" s="339"/>
      <c r="H16" s="366">
        <f>SUM(H8:H15)</f>
        <v>32489.599999999999</v>
      </c>
      <c r="I16" s="339"/>
    </row>
    <row r="17" spans="1:10" ht="13.5" thickTop="1">
      <c r="C17" s="339"/>
      <c r="D17" s="428"/>
      <c r="E17" s="339"/>
      <c r="F17" s="339"/>
      <c r="G17" s="339"/>
      <c r="H17" s="428"/>
      <c r="I17" s="339"/>
    </row>
    <row r="18" spans="1:10">
      <c r="A18" s="658" t="s">
        <v>325</v>
      </c>
      <c r="B18" s="659"/>
      <c r="C18" s="660"/>
      <c r="D18" s="661"/>
      <c r="E18" s="662"/>
      <c r="F18" s="662"/>
      <c r="G18" s="663"/>
      <c r="H18" s="663"/>
      <c r="I18" s="339"/>
    </row>
    <row r="19" spans="1:10" hidden="1">
      <c r="A19" s="401" t="s">
        <v>326</v>
      </c>
      <c r="B19" s="401" t="s">
        <v>327</v>
      </c>
      <c r="C19" s="401" t="s">
        <v>328</v>
      </c>
      <c r="D19" s="403" t="s">
        <v>329</v>
      </c>
      <c r="E19" s="402" t="s">
        <v>108</v>
      </c>
      <c r="F19" s="402" t="s">
        <v>184</v>
      </c>
      <c r="G19" s="405" t="s">
        <v>178</v>
      </c>
      <c r="H19" s="663"/>
      <c r="I19" s="339"/>
    </row>
    <row r="20" spans="1:10" hidden="1">
      <c r="A20" s="401" t="s">
        <v>331</v>
      </c>
      <c r="B20" s="664"/>
      <c r="C20" s="664"/>
      <c r="D20" s="665">
        <f>B20-C20</f>
        <v>0</v>
      </c>
      <c r="E20" s="665"/>
      <c r="F20" s="665">
        <f>D20-E20</f>
        <v>0</v>
      </c>
      <c r="G20" s="667"/>
      <c r="H20" s="663"/>
      <c r="I20" s="339"/>
    </row>
    <row r="21" spans="1:10" hidden="1">
      <c r="A21" s="401"/>
      <c r="B21" s="664"/>
      <c r="C21" s="664"/>
      <c r="D21" s="665">
        <f t="shared" ref="D21:D26" si="0">B21-C21</f>
        <v>0</v>
      </c>
      <c r="E21" s="665"/>
      <c r="F21" s="665">
        <f t="shared" ref="F21:F26" si="1">D21-E21</f>
        <v>0</v>
      </c>
      <c r="G21" s="666"/>
      <c r="H21" s="663"/>
      <c r="I21" s="339"/>
    </row>
    <row r="22" spans="1:10" hidden="1">
      <c r="A22" s="401"/>
      <c r="B22" s="664"/>
      <c r="C22" s="664"/>
      <c r="D22" s="665">
        <f t="shared" si="0"/>
        <v>0</v>
      </c>
      <c r="E22" s="665"/>
      <c r="F22" s="665">
        <f t="shared" si="1"/>
        <v>0</v>
      </c>
      <c r="G22" s="666"/>
      <c r="H22" s="663"/>
      <c r="I22" s="339"/>
    </row>
    <row r="23" spans="1:10" hidden="1">
      <c r="A23" s="401"/>
      <c r="B23" s="664"/>
      <c r="C23" s="664"/>
      <c r="D23" s="665">
        <f t="shared" si="0"/>
        <v>0</v>
      </c>
      <c r="E23" s="665"/>
      <c r="F23" s="665">
        <f t="shared" si="1"/>
        <v>0</v>
      </c>
      <c r="G23" s="666"/>
      <c r="H23" s="663"/>
      <c r="I23" s="339"/>
    </row>
    <row r="24" spans="1:10" hidden="1">
      <c r="A24" s="401"/>
      <c r="B24" s="664"/>
      <c r="C24" s="664"/>
      <c r="D24" s="665">
        <f t="shared" si="0"/>
        <v>0</v>
      </c>
      <c r="E24" s="665"/>
      <c r="F24" s="665">
        <f t="shared" si="1"/>
        <v>0</v>
      </c>
      <c r="G24" s="666"/>
      <c r="H24" s="663"/>
      <c r="I24" s="339"/>
    </row>
    <row r="25" spans="1:10" hidden="1">
      <c r="A25" s="401"/>
      <c r="B25" s="664"/>
      <c r="C25" s="664"/>
      <c r="D25" s="665">
        <f t="shared" si="0"/>
        <v>0</v>
      </c>
      <c r="E25" s="665"/>
      <c r="F25" s="665">
        <f t="shared" si="1"/>
        <v>0</v>
      </c>
      <c r="G25" s="666"/>
      <c r="H25" s="663"/>
      <c r="I25" s="339"/>
    </row>
    <row r="26" spans="1:10" hidden="1">
      <c r="A26" s="401"/>
      <c r="B26" s="664"/>
      <c r="C26" s="664"/>
      <c r="D26" s="665">
        <f t="shared" si="0"/>
        <v>0</v>
      </c>
      <c r="E26" s="665"/>
      <c r="F26" s="665">
        <f t="shared" si="1"/>
        <v>0</v>
      </c>
      <c r="G26" s="666"/>
      <c r="H26" s="663"/>
      <c r="I26" s="339"/>
    </row>
    <row r="27" spans="1:10" ht="13.5" hidden="1" thickBot="1">
      <c r="A27" s="401" t="s">
        <v>88</v>
      </c>
      <c r="B27" s="404">
        <f t="shared" ref="B27:G27" si="2">SUM(B20:B26)</f>
        <v>0</v>
      </c>
      <c r="C27" s="404">
        <f t="shared" si="2"/>
        <v>0</v>
      </c>
      <c r="D27" s="404">
        <f t="shared" si="2"/>
        <v>0</v>
      </c>
      <c r="E27" s="404">
        <f t="shared" si="2"/>
        <v>0</v>
      </c>
      <c r="F27" s="404">
        <f t="shared" si="2"/>
        <v>0</v>
      </c>
      <c r="G27" s="404">
        <f t="shared" si="2"/>
        <v>0</v>
      </c>
      <c r="H27" s="663"/>
    </row>
    <row r="28" spans="1:10" ht="13.5" customHeight="1">
      <c r="A28" s="429"/>
      <c r="B28" s="429"/>
      <c r="C28" s="365"/>
      <c r="D28" s="365"/>
      <c r="E28" s="365"/>
      <c r="F28" s="430"/>
      <c r="G28" s="365"/>
      <c r="H28" s="365"/>
      <c r="I28" s="339"/>
    </row>
    <row r="29" spans="1:10">
      <c r="C29" s="339"/>
      <c r="D29" s="339"/>
      <c r="E29" s="339"/>
      <c r="F29" s="367"/>
      <c r="G29" s="339"/>
      <c r="H29" s="339"/>
      <c r="I29" s="339"/>
    </row>
    <row r="30" spans="1:10">
      <c r="A30" s="14" t="s">
        <v>425</v>
      </c>
      <c r="C30" s="339"/>
      <c r="D30" s="339"/>
      <c r="E30" s="339"/>
      <c r="F30" s="339"/>
      <c r="G30" s="339"/>
      <c r="H30" s="339"/>
      <c r="I30" s="339"/>
      <c r="J30" s="339"/>
    </row>
    <row r="31" spans="1:10">
      <c r="C31" s="339"/>
      <c r="D31" s="363" t="s">
        <v>93</v>
      </c>
      <c r="E31" s="363"/>
      <c r="F31" s="363"/>
      <c r="G31" s="363"/>
      <c r="H31" s="363" t="s">
        <v>93</v>
      </c>
      <c r="I31" s="339"/>
      <c r="J31" s="339"/>
    </row>
    <row r="32" spans="1:10">
      <c r="C32" s="339"/>
      <c r="D32" s="363"/>
      <c r="E32" s="363"/>
      <c r="F32" s="363"/>
      <c r="G32" s="363"/>
      <c r="H32" s="363"/>
      <c r="I32" s="339"/>
      <c r="J32" s="339"/>
    </row>
    <row r="33" spans="1:16">
      <c r="A33" s="7" t="s">
        <v>94</v>
      </c>
      <c r="C33" s="339"/>
      <c r="D33" s="363">
        <v>23100</v>
      </c>
      <c r="E33" s="363"/>
      <c r="F33" s="363"/>
      <c r="G33" s="363"/>
      <c r="H33" s="363"/>
      <c r="I33" s="339"/>
      <c r="J33" s="339"/>
      <c r="K33" s="7" t="s">
        <v>501</v>
      </c>
      <c r="M33" s="7">
        <v>0</v>
      </c>
      <c r="N33" s="7">
        <v>19250</v>
      </c>
      <c r="O33" s="7">
        <v>23100</v>
      </c>
      <c r="P33" s="7">
        <v>3850</v>
      </c>
    </row>
    <row r="34" spans="1:16">
      <c r="C34" s="339"/>
      <c r="D34" s="339"/>
      <c r="E34" s="339"/>
      <c r="F34" s="339"/>
      <c r="G34" s="339"/>
      <c r="H34" s="339"/>
      <c r="I34" s="339"/>
      <c r="J34" s="339"/>
      <c r="M34" s="7">
        <v>0</v>
      </c>
      <c r="N34" s="7">
        <v>0</v>
      </c>
      <c r="P34" s="7">
        <v>0</v>
      </c>
    </row>
    <row r="35" spans="1:16">
      <c r="A35" s="7" t="s">
        <v>18</v>
      </c>
      <c r="C35" s="339"/>
      <c r="D35" s="339">
        <f>Summary!D24</f>
        <v>153120</v>
      </c>
      <c r="E35" s="339" t="s">
        <v>109</v>
      </c>
      <c r="F35" s="339"/>
      <c r="G35" s="339"/>
      <c r="H35" s="339">
        <f>Summary!G24</f>
        <v>153120</v>
      </c>
      <c r="I35" s="339"/>
      <c r="J35" s="339"/>
    </row>
    <row r="36" spans="1:16">
      <c r="C36" s="339"/>
      <c r="D36" s="339"/>
      <c r="E36" s="339"/>
      <c r="F36" s="339"/>
      <c r="G36" s="339"/>
      <c r="H36" s="339"/>
      <c r="I36" s="339"/>
      <c r="J36" s="339"/>
    </row>
    <row r="37" spans="1:16">
      <c r="A37" s="7" t="s">
        <v>20</v>
      </c>
      <c r="C37" s="339"/>
      <c r="D37" s="339" t="s">
        <v>20</v>
      </c>
      <c r="E37" s="339" t="s">
        <v>20</v>
      </c>
      <c r="F37" s="339"/>
      <c r="G37" s="339"/>
      <c r="H37" s="339" t="s">
        <v>20</v>
      </c>
      <c r="I37" s="339"/>
      <c r="J37" s="339"/>
    </row>
    <row r="38" spans="1:16">
      <c r="C38" s="339"/>
      <c r="D38" s="339"/>
      <c r="E38" s="339"/>
      <c r="F38" s="339"/>
      <c r="G38" s="339"/>
      <c r="H38" s="339"/>
      <c r="I38" s="339"/>
      <c r="J38" s="339"/>
    </row>
    <row r="39" spans="1:16">
      <c r="A39" s="311" t="s">
        <v>100</v>
      </c>
      <c r="C39" s="339"/>
      <c r="D39" s="339"/>
      <c r="E39" s="339"/>
      <c r="F39" s="339"/>
      <c r="G39" s="339"/>
      <c r="H39" s="339">
        <f>O33</f>
        <v>23100</v>
      </c>
      <c r="I39" s="339"/>
      <c r="J39" s="339"/>
    </row>
    <row r="40" spans="1:16">
      <c r="C40" s="339"/>
      <c r="D40" s="339"/>
      <c r="E40" s="339"/>
      <c r="F40" s="339"/>
      <c r="G40" s="339"/>
      <c r="H40" s="339"/>
      <c r="I40" s="339"/>
      <c r="J40" s="339"/>
    </row>
    <row r="41" spans="1:16" ht="13.5" thickBot="1">
      <c r="C41" s="339"/>
      <c r="D41" s="366">
        <f>SUM(D33:D40)</f>
        <v>176220</v>
      </c>
      <c r="E41" s="339"/>
      <c r="F41" s="428">
        <f>D41-H41</f>
        <v>0</v>
      </c>
      <c r="G41" s="339"/>
      <c r="H41" s="366">
        <f>SUM(H33:H40)</f>
        <v>176220</v>
      </c>
      <c r="I41" s="339"/>
      <c r="J41" s="339"/>
    </row>
    <row r="42" spans="1:16" ht="13.5" thickTop="1">
      <c r="C42" s="339"/>
      <c r="D42" s="339"/>
      <c r="E42" s="339"/>
      <c r="F42" s="339"/>
      <c r="G42" s="339"/>
      <c r="H42" s="339"/>
      <c r="I42" s="339"/>
      <c r="J42" s="339"/>
    </row>
    <row r="43" spans="1:16">
      <c r="A43" s="429"/>
      <c r="B43" s="429"/>
      <c r="C43" s="365"/>
      <c r="D43" s="429"/>
      <c r="E43" s="365"/>
      <c r="F43" s="430"/>
      <c r="G43" s="365"/>
      <c r="H43" s="365"/>
      <c r="I43" s="339"/>
      <c r="J43" s="339"/>
    </row>
    <row r="44" spans="1:16">
      <c r="C44" s="339"/>
      <c r="D44" s="339"/>
      <c r="E44" s="339"/>
      <c r="F44" s="339"/>
      <c r="G44" s="339"/>
      <c r="H44" s="339"/>
      <c r="I44" s="339"/>
      <c r="J44" s="339"/>
    </row>
    <row r="45" spans="1:16">
      <c r="A45" s="14" t="s">
        <v>426</v>
      </c>
      <c r="C45" s="339"/>
      <c r="D45" s="339"/>
      <c r="E45" s="339"/>
      <c r="F45" s="339"/>
      <c r="G45" s="339"/>
      <c r="H45" s="339"/>
      <c r="I45" s="339"/>
      <c r="J45" s="339"/>
    </row>
    <row r="46" spans="1:16">
      <c r="C46" s="339"/>
      <c r="D46" s="363" t="s">
        <v>93</v>
      </c>
      <c r="E46" s="363"/>
      <c r="F46" s="363"/>
      <c r="G46" s="363"/>
      <c r="H46" s="363" t="s">
        <v>93</v>
      </c>
      <c r="I46" s="339"/>
      <c r="J46" s="339"/>
    </row>
    <row r="47" spans="1:16">
      <c r="C47" s="339"/>
      <c r="D47" s="363"/>
      <c r="E47" s="363"/>
      <c r="F47" s="363"/>
      <c r="G47" s="363"/>
      <c r="H47" s="363"/>
      <c r="I47" s="339"/>
      <c r="J47" s="339"/>
    </row>
    <row r="48" spans="1:16">
      <c r="A48" s="7" t="s">
        <v>94</v>
      </c>
      <c r="C48" s="339"/>
      <c r="D48" s="363"/>
      <c r="E48" s="363"/>
      <c r="F48" s="363"/>
      <c r="G48" s="363"/>
      <c r="H48" s="363">
        <v>114.52</v>
      </c>
      <c r="I48" s="339"/>
      <c r="J48" s="339"/>
    </row>
    <row r="49" spans="1:10">
      <c r="C49" s="339"/>
      <c r="D49" s="339"/>
      <c r="E49" s="339"/>
      <c r="F49" s="339"/>
      <c r="G49" s="339"/>
      <c r="H49" s="339"/>
      <c r="I49" s="339"/>
      <c r="J49" s="339"/>
    </row>
    <row r="50" spans="1:10">
      <c r="A50" s="7" t="s">
        <v>108</v>
      </c>
      <c r="C50" s="339"/>
      <c r="D50" s="339">
        <f>Summary!K47</f>
        <v>414.56999999999994</v>
      </c>
      <c r="E50" s="339" t="s">
        <v>85</v>
      </c>
      <c r="F50" s="339"/>
      <c r="G50" s="339"/>
      <c r="H50" s="339">
        <f>IF('Wages Summary'!D19&gt;0, 'Wages Summary'!E19,'PAYE Summary'!C41+'PAYE Summary'!D41)</f>
        <v>647.54999999999995</v>
      </c>
      <c r="I50" s="339"/>
      <c r="J50" s="339"/>
    </row>
    <row r="51" spans="1:10">
      <c r="A51" s="311" t="s">
        <v>445</v>
      </c>
      <c r="C51" s="339"/>
      <c r="D51" s="339">
        <f>IF('Wages Summary'!D19&gt;0, 'Wages Summary'!H19,'PAYE Summary'!H41)</f>
        <v>0</v>
      </c>
      <c r="E51" s="339" t="s">
        <v>64</v>
      </c>
      <c r="F51" s="339"/>
      <c r="G51" s="339"/>
      <c r="H51" s="339"/>
      <c r="I51" s="339"/>
      <c r="J51" s="339"/>
    </row>
    <row r="52" spans="1:10">
      <c r="A52" s="7" t="s">
        <v>20</v>
      </c>
      <c r="C52" s="339"/>
      <c r="D52" s="339" t="s">
        <v>20</v>
      </c>
      <c r="E52" s="339" t="s">
        <v>20</v>
      </c>
      <c r="F52" s="339"/>
      <c r="G52" s="339"/>
      <c r="H52" s="339" t="s">
        <v>20</v>
      </c>
      <c r="I52" s="339"/>
      <c r="J52" s="339"/>
    </row>
    <row r="53" spans="1:10">
      <c r="C53" s="339"/>
      <c r="D53" s="339"/>
      <c r="E53" s="339"/>
      <c r="F53" s="339"/>
      <c r="G53" s="339"/>
      <c r="H53" s="339"/>
      <c r="I53" s="339"/>
      <c r="J53" s="339"/>
    </row>
    <row r="54" spans="1:10">
      <c r="A54" s="311" t="s">
        <v>100</v>
      </c>
      <c r="C54" s="339"/>
      <c r="D54" s="339">
        <f>'PAYE Summary'!M41</f>
        <v>347.5</v>
      </c>
      <c r="E54" s="339"/>
      <c r="F54" s="339"/>
      <c r="G54" s="339"/>
      <c r="H54" s="339"/>
      <c r="I54" s="339"/>
      <c r="J54" s="339"/>
    </row>
    <row r="55" spans="1:10">
      <c r="C55" s="339"/>
      <c r="D55" s="339"/>
      <c r="E55" s="339"/>
      <c r="F55" s="339"/>
      <c r="G55" s="339"/>
      <c r="H55" s="339"/>
      <c r="I55" s="339"/>
      <c r="J55" s="339"/>
    </row>
    <row r="56" spans="1:10" ht="13.5" thickBot="1">
      <c r="C56" s="339"/>
      <c r="D56" s="366">
        <f>SUM(D48:D55)</f>
        <v>762.06999999999994</v>
      </c>
      <c r="E56" s="339"/>
      <c r="F56" s="339">
        <f>D56-H56</f>
        <v>0</v>
      </c>
      <c r="G56" s="339"/>
      <c r="H56" s="366">
        <f>SUM(H48:H55)</f>
        <v>762.06999999999994</v>
      </c>
      <c r="I56" s="339"/>
      <c r="J56" s="339"/>
    </row>
    <row r="57" spans="1:10" ht="13.5" thickTop="1">
      <c r="C57" s="339"/>
      <c r="D57" s="339"/>
      <c r="E57" s="339"/>
      <c r="F57" s="339"/>
      <c r="G57" s="339"/>
      <c r="H57" s="339"/>
      <c r="I57" s="339"/>
      <c r="J57" s="339"/>
    </row>
    <row r="58" spans="1:10">
      <c r="C58" s="339"/>
      <c r="D58" s="7"/>
      <c r="E58" s="339"/>
      <c r="F58" s="367"/>
      <c r="G58" s="339"/>
      <c r="H58" s="339"/>
      <c r="I58" s="339"/>
      <c r="J58" s="339"/>
    </row>
    <row r="59" spans="1:10">
      <c r="C59" s="339"/>
      <c r="D59" s="339"/>
      <c r="E59" s="339"/>
      <c r="F59" s="339"/>
      <c r="G59" s="339"/>
      <c r="H59" s="339"/>
      <c r="I59" s="339"/>
      <c r="J59" s="339"/>
    </row>
    <row r="60" spans="1:10">
      <c r="C60" s="339"/>
      <c r="D60" s="339"/>
      <c r="E60" s="339"/>
      <c r="F60" s="339"/>
      <c r="G60" s="339"/>
      <c r="H60" s="339"/>
      <c r="I60" s="339"/>
      <c r="J60" s="339"/>
    </row>
    <row r="61" spans="1:10">
      <c r="C61" s="339"/>
      <c r="D61" s="339"/>
      <c r="E61" s="339"/>
      <c r="F61" s="339"/>
      <c r="G61" s="339"/>
      <c r="H61" s="339"/>
      <c r="I61" s="339"/>
      <c r="J61" s="339"/>
    </row>
    <row r="62" spans="1:10">
      <c r="A62" s="14" t="s">
        <v>459</v>
      </c>
      <c r="C62" s="339"/>
      <c r="D62" s="339"/>
      <c r="E62" s="339"/>
      <c r="F62" s="339"/>
      <c r="G62" s="339"/>
      <c r="H62" s="339"/>
    </row>
    <row r="63" spans="1:10">
      <c r="C63" s="339"/>
      <c r="D63" s="363" t="s">
        <v>93</v>
      </c>
      <c r="E63" s="363"/>
      <c r="F63" s="363"/>
      <c r="G63" s="363"/>
      <c r="H63" s="363" t="s">
        <v>93</v>
      </c>
    </row>
    <row r="64" spans="1:10">
      <c r="C64" s="339"/>
      <c r="D64" s="363"/>
      <c r="E64" s="363"/>
      <c r="F64" s="363"/>
      <c r="G64" s="363"/>
      <c r="H64" s="363"/>
    </row>
    <row r="65" spans="1:17">
      <c r="A65" s="7" t="s">
        <v>94</v>
      </c>
      <c r="C65" s="339"/>
      <c r="D65" s="363"/>
      <c r="E65" s="363"/>
      <c r="F65" s="363"/>
      <c r="G65" s="363"/>
      <c r="H65" s="363">
        <v>0</v>
      </c>
      <c r="M65" s="311"/>
      <c r="O65" s="311"/>
      <c r="Q65" s="311"/>
    </row>
    <row r="66" spans="1:17">
      <c r="C66" s="339"/>
      <c r="D66" s="339"/>
      <c r="E66" s="339"/>
      <c r="F66" s="339"/>
      <c r="G66" s="339"/>
      <c r="H66" s="339"/>
      <c r="K66" s="311"/>
    </row>
    <row r="67" spans="1:17">
      <c r="A67" s="7" t="s">
        <v>108</v>
      </c>
      <c r="C67" s="339"/>
      <c r="D67" s="339">
        <f>Summary!K64</f>
        <v>0</v>
      </c>
      <c r="E67" s="311" t="s">
        <v>460</v>
      </c>
      <c r="F67" s="339"/>
      <c r="G67" s="339"/>
      <c r="H67" s="339">
        <f>IF('Wages Summary'!D36&gt;0, 'Wages Summary'!E36,'PAYE Summary'!C58+'PAYE Summary'!D58)</f>
        <v>0</v>
      </c>
      <c r="K67" s="311"/>
    </row>
    <row r="68" spans="1:17">
      <c r="A68" s="339" t="s">
        <v>85</v>
      </c>
      <c r="C68" s="339"/>
      <c r="D68" s="339"/>
      <c r="E68" s="339"/>
      <c r="F68" s="339"/>
      <c r="G68" s="339"/>
      <c r="H68" s="339">
        <f>IF('Wages Summary'!D36&gt;0, 'Wages Summary'!G36,'PAYE Summary'!F58)</f>
        <v>0</v>
      </c>
    </row>
    <row r="69" spans="1:17">
      <c r="A69" s="7" t="s">
        <v>20</v>
      </c>
      <c r="C69" s="339"/>
      <c r="D69" s="339" t="s">
        <v>20</v>
      </c>
      <c r="E69" s="339" t="s">
        <v>20</v>
      </c>
      <c r="F69" s="339"/>
      <c r="G69" s="339"/>
      <c r="H69" s="339" t="s">
        <v>20</v>
      </c>
      <c r="K69" s="311"/>
    </row>
    <row r="70" spans="1:17">
      <c r="C70" s="339"/>
      <c r="D70" s="339"/>
      <c r="E70" s="339"/>
      <c r="F70" s="339"/>
      <c r="G70" s="339"/>
      <c r="H70" s="339"/>
    </row>
    <row r="71" spans="1:17">
      <c r="A71" s="311" t="s">
        <v>100</v>
      </c>
      <c r="C71" s="339"/>
      <c r="D71" s="339">
        <v>0</v>
      </c>
      <c r="E71" s="339"/>
      <c r="F71" s="339"/>
      <c r="G71" s="339"/>
      <c r="H71" s="339"/>
    </row>
    <row r="72" spans="1:17">
      <c r="C72" s="339"/>
      <c r="D72" s="339"/>
      <c r="E72" s="339"/>
      <c r="F72" s="339"/>
      <c r="G72" s="339"/>
      <c r="H72" s="339"/>
    </row>
    <row r="73" spans="1:17" ht="13.5" thickBot="1">
      <c r="C73" s="339"/>
      <c r="D73" s="366">
        <f>SUM(D65:D72)</f>
        <v>0</v>
      </c>
      <c r="E73" s="339"/>
      <c r="F73" s="339">
        <f>D73-H73</f>
        <v>0</v>
      </c>
      <c r="G73" s="339"/>
      <c r="H73" s="366">
        <f>SUM(H65:H72)</f>
        <v>0</v>
      </c>
    </row>
    <row r="74" spans="1:17" ht="13.5" thickTop="1">
      <c r="C74" s="339"/>
      <c r="D74" s="339"/>
      <c r="E74" s="339"/>
      <c r="F74" s="339"/>
      <c r="G74" s="339"/>
      <c r="H74" s="339"/>
    </row>
    <row r="75" spans="1:17">
      <c r="C75" s="339"/>
      <c r="D75" s="7"/>
      <c r="E75" s="339"/>
      <c r="F75" s="367"/>
      <c r="G75" s="339"/>
      <c r="H75" s="339"/>
    </row>
  </sheetData>
  <phoneticPr fontId="0" type="noConversion"/>
  <pageMargins left="0.75" right="0.75" top="1" bottom="1" header="0.5" footer="0.5"/>
  <pageSetup paperSize="9" orientation="portrait" horizontalDpi="300" verticalDpi="300" r:id="rId1"/>
  <headerFooter alignWithMargins="0"/>
  <ignoredErrors>
    <ignoredError sqref="B27:G27" unlocked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pageSetUpPr fitToPage="1"/>
  </sheetPr>
  <dimension ref="A1:P47"/>
  <sheetViews>
    <sheetView topLeftCell="A10" workbookViewId="0">
      <selection activeCell="E38" sqref="E38"/>
    </sheetView>
  </sheetViews>
  <sheetFormatPr defaultColWidth="9.140625" defaultRowHeight="12.75"/>
  <cols>
    <col min="1" max="1" width="11.85546875" style="7" customWidth="1"/>
    <col min="2" max="2" width="13.7109375" style="7" bestFit="1" customWidth="1"/>
    <col min="3" max="3" width="10.140625" style="7" customWidth="1"/>
    <col min="4" max="4" width="9.140625" style="7"/>
    <col min="5" max="5" width="11.28515625" style="7" customWidth="1"/>
    <col min="6" max="6" width="12.140625" style="7" customWidth="1"/>
    <col min="7" max="7" width="9.28515625" style="339" customWidth="1"/>
    <col min="8" max="8" width="12" style="339" bestFit="1" customWidth="1"/>
    <col min="9" max="9" width="5.140625" style="7" customWidth="1"/>
    <col min="10" max="10" width="12.140625" style="7" bestFit="1" customWidth="1"/>
    <col min="11" max="16384" width="9.140625" style="7"/>
  </cols>
  <sheetData>
    <row r="1" spans="1:13">
      <c r="A1" s="349" t="str">
        <f>'Nov 17'!A2</f>
        <v>Design-spectrum Limited</v>
      </c>
      <c r="L1" s="437" t="s">
        <v>89</v>
      </c>
      <c r="M1" s="217"/>
    </row>
    <row r="2" spans="1:13">
      <c r="A2" s="350" t="s">
        <v>90</v>
      </c>
      <c r="L2" s="437" t="s">
        <v>91</v>
      </c>
      <c r="M2" s="438">
        <f ca="1">TODAY()</f>
        <v>43500</v>
      </c>
    </row>
    <row r="3" spans="1:13">
      <c r="A3" s="350" t="s">
        <v>92</v>
      </c>
      <c r="B3" s="383">
        <f>'Oct 18'!C4</f>
        <v>43381</v>
      </c>
      <c r="C3" s="352"/>
    </row>
    <row r="5" spans="1:13">
      <c r="A5" s="431"/>
      <c r="E5" s="311"/>
      <c r="F5" s="311"/>
    </row>
    <row r="6" spans="1:13">
      <c r="A6" s="431" t="s">
        <v>341</v>
      </c>
      <c r="B6" s="703" t="s">
        <v>440</v>
      </c>
    </row>
    <row r="7" spans="1:13">
      <c r="A7" s="432" t="s">
        <v>81</v>
      </c>
      <c r="B7" s="704" t="s">
        <v>440</v>
      </c>
      <c r="C7" s="339"/>
      <c r="D7" s="339"/>
      <c r="E7" s="339"/>
      <c r="F7" s="339"/>
      <c r="I7" s="339"/>
      <c r="J7" s="339"/>
    </row>
    <row r="8" spans="1:13">
      <c r="B8" s="786" t="s">
        <v>342</v>
      </c>
      <c r="C8" s="786"/>
      <c r="D8" s="786"/>
      <c r="E8" s="786"/>
      <c r="F8" s="786"/>
      <c r="G8" s="786"/>
      <c r="H8" s="545"/>
      <c r="I8" s="339"/>
      <c r="J8" s="785" t="s">
        <v>110</v>
      </c>
      <c r="K8" s="785"/>
      <c r="L8" s="785"/>
      <c r="M8" s="785"/>
    </row>
    <row r="9" spans="1:13">
      <c r="C9" s="368"/>
      <c r="D9" s="368"/>
      <c r="E9" s="368"/>
      <c r="I9" s="371"/>
      <c r="J9" s="368"/>
      <c r="K9" s="368"/>
      <c r="L9" s="368"/>
      <c r="M9" s="368"/>
    </row>
    <row r="10" spans="1:13" s="58" customFormat="1">
      <c r="B10" s="709"/>
      <c r="C10" s="709"/>
      <c r="D10" s="709"/>
      <c r="E10" s="709"/>
      <c r="F10" s="544"/>
      <c r="G10" s="545" t="s">
        <v>26</v>
      </c>
      <c r="H10" s="545" t="s">
        <v>446</v>
      </c>
      <c r="I10" s="710"/>
      <c r="J10" s="709" t="s">
        <v>26</v>
      </c>
      <c r="K10" s="709" t="s">
        <v>230</v>
      </c>
      <c r="L10" s="709"/>
      <c r="M10" s="709"/>
    </row>
    <row r="11" spans="1:13" s="58" customFormat="1">
      <c r="B11" s="709" t="s">
        <v>229</v>
      </c>
      <c r="C11" s="709" t="s">
        <v>110</v>
      </c>
      <c r="D11" s="709" t="s">
        <v>246</v>
      </c>
      <c r="E11" s="709" t="s">
        <v>228</v>
      </c>
      <c r="F11" s="709" t="s">
        <v>232</v>
      </c>
      <c r="G11" s="545" t="s">
        <v>231</v>
      </c>
      <c r="H11" s="545" t="s">
        <v>447</v>
      </c>
      <c r="I11" s="710"/>
      <c r="J11" s="709" t="s">
        <v>233</v>
      </c>
      <c r="K11" s="709" t="s">
        <v>234</v>
      </c>
      <c r="L11" s="709" t="s">
        <v>108</v>
      </c>
      <c r="M11" s="709" t="s">
        <v>184</v>
      </c>
    </row>
    <row r="12" spans="1:13">
      <c r="A12" s="311"/>
      <c r="B12" s="712"/>
      <c r="C12" s="712"/>
      <c r="D12" s="712"/>
      <c r="E12" s="712"/>
      <c r="F12" s="712"/>
      <c r="G12" s="364"/>
      <c r="H12" s="364"/>
      <c r="I12" s="713"/>
      <c r="J12" s="712"/>
      <c r="K12" s="712"/>
      <c r="L12" s="712"/>
      <c r="M12" s="712"/>
    </row>
    <row r="13" spans="1:13">
      <c r="A13" s="711" t="s">
        <v>94</v>
      </c>
      <c r="B13" s="712"/>
      <c r="C13" s="712"/>
      <c r="D13" s="712"/>
      <c r="E13" s="712"/>
      <c r="F13" s="712"/>
      <c r="G13" s="364"/>
      <c r="H13" s="364"/>
      <c r="I13" s="713"/>
      <c r="J13" s="712">
        <f>'Control Accounts'!H48</f>
        <v>114.52</v>
      </c>
      <c r="K13" s="712"/>
      <c r="L13" s="712"/>
      <c r="M13" s="712">
        <f>K13-L13</f>
        <v>0</v>
      </c>
    </row>
    <row r="14" spans="1:13">
      <c r="A14" s="311"/>
      <c r="B14" s="712"/>
      <c r="C14" s="712"/>
      <c r="D14" s="712"/>
      <c r="E14" s="712"/>
      <c r="F14" s="712"/>
      <c r="G14" s="364"/>
      <c r="H14" s="364"/>
      <c r="I14" s="713"/>
      <c r="J14" s="712"/>
      <c r="K14" s="712"/>
      <c r="L14" s="712"/>
      <c r="M14" s="712"/>
    </row>
    <row r="15" spans="1:13">
      <c r="A15" s="714">
        <v>43040</v>
      </c>
      <c r="B15" s="370">
        <v>812</v>
      </c>
      <c r="C15" s="370">
        <v>0</v>
      </c>
      <c r="D15" s="370">
        <v>0</v>
      </c>
      <c r="E15" s="370">
        <f>B15-C15-D15</f>
        <v>812</v>
      </c>
      <c r="F15" s="370">
        <f>G15-D15</f>
        <v>0</v>
      </c>
      <c r="G15" s="369">
        <v>0</v>
      </c>
      <c r="H15" s="369">
        <v>0</v>
      </c>
      <c r="I15" s="713"/>
      <c r="J15" s="712">
        <f>C15+D15+F15-H15</f>
        <v>0</v>
      </c>
      <c r="K15" s="712"/>
      <c r="L15" s="713"/>
      <c r="M15" s="712"/>
    </row>
    <row r="16" spans="1:13">
      <c r="A16" s="714"/>
      <c r="B16" s="435">
        <v>816.36</v>
      </c>
      <c r="C16" s="435">
        <v>0</v>
      </c>
      <c r="D16" s="435">
        <v>16.36</v>
      </c>
      <c r="E16" s="435">
        <f t="shared" ref="E16:E38" si="0">B16-C16-D16</f>
        <v>800</v>
      </c>
      <c r="F16" s="435"/>
      <c r="G16" s="706">
        <v>0</v>
      </c>
      <c r="H16" s="706">
        <v>0</v>
      </c>
      <c r="I16" s="713"/>
      <c r="J16" s="712">
        <f t="shared" ref="J16:J38" si="1">C16+D16+F16-H16</f>
        <v>16.36</v>
      </c>
      <c r="K16" s="712"/>
      <c r="L16" s="713"/>
      <c r="M16" s="712"/>
    </row>
    <row r="17" spans="1:15">
      <c r="A17" s="714">
        <v>43070</v>
      </c>
      <c r="B17" s="370">
        <v>812</v>
      </c>
      <c r="C17" s="370">
        <v>0</v>
      </c>
      <c r="D17" s="370">
        <v>0</v>
      </c>
      <c r="E17" s="370">
        <f t="shared" si="0"/>
        <v>812</v>
      </c>
      <c r="F17" s="370">
        <f t="shared" ref="F17:F37" si="2">G17-D17</f>
        <v>0</v>
      </c>
      <c r="G17" s="369">
        <v>0</v>
      </c>
      <c r="H17" s="369">
        <v>0</v>
      </c>
      <c r="I17" s="713"/>
      <c r="J17" s="712">
        <f t="shared" si="1"/>
        <v>0</v>
      </c>
      <c r="K17" s="712"/>
      <c r="L17" s="712"/>
      <c r="M17" s="712"/>
    </row>
    <row r="18" spans="1:15">
      <c r="A18" s="714"/>
      <c r="B18" s="435">
        <v>816.36</v>
      </c>
      <c r="C18" s="435">
        <v>0</v>
      </c>
      <c r="D18" s="435">
        <v>16.36</v>
      </c>
      <c r="E18" s="435">
        <f t="shared" ref="E18" si="3">B18-C18-D18</f>
        <v>800</v>
      </c>
      <c r="F18" s="435"/>
      <c r="G18" s="706">
        <v>0</v>
      </c>
      <c r="H18" s="706">
        <v>0</v>
      </c>
      <c r="I18" s="713"/>
      <c r="J18" s="712">
        <f t="shared" si="1"/>
        <v>16.36</v>
      </c>
      <c r="K18" s="712">
        <f>SUM(J13:J18)</f>
        <v>147.24</v>
      </c>
      <c r="L18" s="712"/>
      <c r="M18" s="712">
        <f>K18-L18</f>
        <v>147.24</v>
      </c>
    </row>
    <row r="19" spans="1:15">
      <c r="A19" s="714">
        <v>43101</v>
      </c>
      <c r="B19" s="370">
        <v>812</v>
      </c>
      <c r="C19" s="370">
        <v>0</v>
      </c>
      <c r="D19" s="370">
        <v>0</v>
      </c>
      <c r="E19" s="370">
        <f t="shared" si="0"/>
        <v>812</v>
      </c>
      <c r="F19" s="370">
        <f t="shared" si="2"/>
        <v>0</v>
      </c>
      <c r="G19" s="369">
        <v>0</v>
      </c>
      <c r="H19" s="369">
        <v>0</v>
      </c>
      <c r="I19" s="713"/>
      <c r="J19" s="712">
        <f t="shared" si="1"/>
        <v>0</v>
      </c>
      <c r="K19" s="311"/>
      <c r="L19" s="311"/>
      <c r="M19" s="311"/>
    </row>
    <row r="20" spans="1:15">
      <c r="A20" s="714"/>
      <c r="B20" s="435">
        <v>816.36</v>
      </c>
      <c r="C20" s="435">
        <v>0</v>
      </c>
      <c r="D20" s="435">
        <v>16.36</v>
      </c>
      <c r="E20" s="435">
        <f t="shared" ref="E20" si="4">B20-C20-D20</f>
        <v>800</v>
      </c>
      <c r="F20" s="435"/>
      <c r="G20" s="706">
        <v>0</v>
      </c>
      <c r="H20" s="706">
        <v>0</v>
      </c>
      <c r="I20" s="713"/>
      <c r="J20" s="712">
        <f t="shared" si="1"/>
        <v>16.36</v>
      </c>
      <c r="K20" s="712"/>
      <c r="L20" s="712"/>
      <c r="M20" s="712"/>
    </row>
    <row r="21" spans="1:15">
      <c r="A21" s="714">
        <v>43132</v>
      </c>
      <c r="B21" s="370">
        <v>916.73</v>
      </c>
      <c r="C21" s="370">
        <v>0</v>
      </c>
      <c r="D21" s="370">
        <v>104.73</v>
      </c>
      <c r="E21" s="370">
        <f t="shared" si="0"/>
        <v>812</v>
      </c>
      <c r="F21" s="370"/>
      <c r="G21" s="369">
        <v>0</v>
      </c>
      <c r="H21" s="369">
        <v>0</v>
      </c>
      <c r="I21" s="713"/>
      <c r="J21" s="712">
        <f t="shared" si="1"/>
        <v>104.73</v>
      </c>
      <c r="K21" s="712"/>
      <c r="L21" s="712"/>
      <c r="M21" s="712"/>
    </row>
    <row r="22" spans="1:15">
      <c r="A22" s="714"/>
      <c r="B22" s="435">
        <v>816.36</v>
      </c>
      <c r="C22" s="435">
        <v>0</v>
      </c>
      <c r="D22" s="435">
        <v>16.36</v>
      </c>
      <c r="E22" s="435">
        <f t="shared" ref="E22" si="5">B22-C22-D22</f>
        <v>800</v>
      </c>
      <c r="F22" s="435"/>
      <c r="G22" s="706">
        <v>0</v>
      </c>
      <c r="H22" s="706">
        <v>0</v>
      </c>
      <c r="I22" s="713"/>
      <c r="J22" s="712">
        <f t="shared" si="1"/>
        <v>16.36</v>
      </c>
      <c r="K22" s="712"/>
      <c r="L22" s="712"/>
      <c r="M22" s="712"/>
    </row>
    <row r="23" spans="1:15">
      <c r="A23" s="714">
        <v>43160</v>
      </c>
      <c r="B23" s="370">
        <v>922.72</v>
      </c>
      <c r="C23" s="370">
        <v>0</v>
      </c>
      <c r="D23" s="370">
        <v>110.72</v>
      </c>
      <c r="E23" s="370">
        <f t="shared" si="0"/>
        <v>812</v>
      </c>
      <c r="F23" s="370"/>
      <c r="G23" s="369">
        <v>0</v>
      </c>
      <c r="H23" s="369">
        <v>0</v>
      </c>
      <c r="I23" s="713"/>
      <c r="J23" s="712">
        <f t="shared" si="1"/>
        <v>110.72</v>
      </c>
      <c r="K23" s="712"/>
      <c r="L23" s="712"/>
      <c r="M23" s="712"/>
    </row>
    <row r="24" spans="1:15">
      <c r="A24" s="714"/>
      <c r="B24" s="435">
        <v>815.86</v>
      </c>
      <c r="C24" s="435">
        <v>0</v>
      </c>
      <c r="D24" s="435">
        <v>15.86</v>
      </c>
      <c r="E24" s="435">
        <f t="shared" ref="E24" si="6">B24-C24-D24</f>
        <v>800</v>
      </c>
      <c r="F24" s="435"/>
      <c r="G24" s="706">
        <v>0</v>
      </c>
      <c r="H24" s="706">
        <v>0</v>
      </c>
      <c r="I24" s="713"/>
      <c r="J24" s="712">
        <f t="shared" si="1"/>
        <v>15.86</v>
      </c>
      <c r="K24" s="712">
        <f>SUM(J19:J24)</f>
        <v>264.02999999999997</v>
      </c>
      <c r="L24" s="712">
        <f>Summary!K40</f>
        <v>264.02999999999997</v>
      </c>
      <c r="M24" s="712">
        <f>K24-L24</f>
        <v>0</v>
      </c>
    </row>
    <row r="25" spans="1:15">
      <c r="A25" s="714">
        <v>43191</v>
      </c>
      <c r="B25" s="370">
        <v>812</v>
      </c>
      <c r="C25" s="370">
        <v>0</v>
      </c>
      <c r="D25" s="370">
        <v>0</v>
      </c>
      <c r="E25" s="370">
        <f t="shared" si="0"/>
        <v>812</v>
      </c>
      <c r="F25" s="370">
        <f t="shared" si="2"/>
        <v>0</v>
      </c>
      <c r="G25" s="369">
        <v>0</v>
      </c>
      <c r="H25" s="369">
        <v>0</v>
      </c>
      <c r="I25" s="713"/>
      <c r="J25" s="712">
        <f t="shared" si="1"/>
        <v>0</v>
      </c>
      <c r="K25" s="311"/>
      <c r="L25" s="311"/>
      <c r="M25" s="311"/>
    </row>
    <row r="26" spans="1:15">
      <c r="A26" s="714"/>
      <c r="B26" s="435">
        <v>849.95</v>
      </c>
      <c r="C26" s="435">
        <v>32.200000000000003</v>
      </c>
      <c r="D26" s="435">
        <v>17.75</v>
      </c>
      <c r="E26" s="435">
        <f t="shared" si="0"/>
        <v>800</v>
      </c>
      <c r="F26" s="435"/>
      <c r="G26" s="706">
        <v>0</v>
      </c>
      <c r="H26" s="706">
        <v>0</v>
      </c>
      <c r="I26" s="713"/>
      <c r="J26" s="712">
        <f t="shared" si="1"/>
        <v>49.95</v>
      </c>
      <c r="K26" s="712"/>
      <c r="L26" s="712"/>
      <c r="M26" s="712"/>
    </row>
    <row r="27" spans="1:15">
      <c r="A27" s="714">
        <v>43221</v>
      </c>
      <c r="B27" s="370">
        <v>812</v>
      </c>
      <c r="C27" s="370">
        <v>0</v>
      </c>
      <c r="D27" s="370">
        <v>0</v>
      </c>
      <c r="E27" s="370">
        <f t="shared" si="0"/>
        <v>812</v>
      </c>
      <c r="F27" s="370">
        <f t="shared" si="2"/>
        <v>0</v>
      </c>
      <c r="G27" s="369">
        <v>0</v>
      </c>
      <c r="H27" s="369">
        <v>0</v>
      </c>
      <c r="I27" s="713"/>
      <c r="J27" s="712">
        <f t="shared" si="1"/>
        <v>0</v>
      </c>
      <c r="K27" s="712"/>
      <c r="L27" s="712"/>
      <c r="M27" s="712"/>
      <c r="N27" s="311"/>
      <c r="O27" s="368"/>
    </row>
    <row r="28" spans="1:15">
      <c r="A28" s="714"/>
      <c r="B28" s="435">
        <v>850.18</v>
      </c>
      <c r="C28" s="435">
        <v>32.4</v>
      </c>
      <c r="D28" s="435">
        <v>17.78</v>
      </c>
      <c r="E28" s="435">
        <f t="shared" si="0"/>
        <v>800</v>
      </c>
      <c r="F28" s="435"/>
      <c r="G28" s="706">
        <v>0</v>
      </c>
      <c r="H28" s="706">
        <v>0</v>
      </c>
      <c r="I28" s="713"/>
      <c r="J28" s="712">
        <f t="shared" si="1"/>
        <v>50.18</v>
      </c>
      <c r="K28" s="712"/>
      <c r="L28" s="712"/>
      <c r="M28" s="712"/>
      <c r="N28" s="311"/>
      <c r="O28" s="368"/>
    </row>
    <row r="29" spans="1:15">
      <c r="A29" s="714">
        <v>43252</v>
      </c>
      <c r="B29" s="370">
        <v>812</v>
      </c>
      <c r="C29" s="370">
        <v>0</v>
      </c>
      <c r="D29" s="370">
        <v>0</v>
      </c>
      <c r="E29" s="370">
        <f t="shared" si="0"/>
        <v>812</v>
      </c>
      <c r="F29" s="370">
        <f t="shared" si="2"/>
        <v>0</v>
      </c>
      <c r="G29" s="369">
        <v>0</v>
      </c>
      <c r="H29" s="369">
        <v>0</v>
      </c>
      <c r="I29" s="713"/>
      <c r="J29" s="712">
        <f t="shared" si="1"/>
        <v>0</v>
      </c>
      <c r="K29" s="712"/>
      <c r="L29" s="712"/>
      <c r="M29" s="712"/>
    </row>
    <row r="30" spans="1:15">
      <c r="A30" s="714"/>
      <c r="B30" s="435">
        <v>850.18</v>
      </c>
      <c r="C30" s="435">
        <v>32.4</v>
      </c>
      <c r="D30" s="435">
        <v>17.78</v>
      </c>
      <c r="E30" s="435">
        <f t="shared" si="0"/>
        <v>800</v>
      </c>
      <c r="F30" s="435"/>
      <c r="G30" s="706">
        <v>0</v>
      </c>
      <c r="H30" s="706">
        <v>0</v>
      </c>
      <c r="I30" s="713"/>
      <c r="J30" s="712">
        <f t="shared" si="1"/>
        <v>50.18</v>
      </c>
      <c r="K30" s="712">
        <f>SUM(J25:J30)</f>
        <v>150.31</v>
      </c>
      <c r="L30" s="712">
        <f>Summary!K45</f>
        <v>0</v>
      </c>
      <c r="M30" s="712">
        <f>K30-L30</f>
        <v>150.31</v>
      </c>
    </row>
    <row r="31" spans="1:15">
      <c r="A31" s="714">
        <v>43282</v>
      </c>
      <c r="B31" s="370">
        <v>812</v>
      </c>
      <c r="C31" s="370">
        <v>0</v>
      </c>
      <c r="D31" s="370">
        <v>0</v>
      </c>
      <c r="E31" s="370">
        <f t="shared" si="0"/>
        <v>812</v>
      </c>
      <c r="F31" s="370">
        <f t="shared" si="2"/>
        <v>0</v>
      </c>
      <c r="G31" s="369">
        <v>0</v>
      </c>
      <c r="H31" s="369">
        <v>0</v>
      </c>
      <c r="I31" s="713"/>
      <c r="J31" s="712">
        <f t="shared" si="1"/>
        <v>0</v>
      </c>
      <c r="K31" s="311"/>
      <c r="L31" s="311"/>
      <c r="M31" s="311"/>
    </row>
    <row r="32" spans="1:15">
      <c r="A32" s="714"/>
      <c r="B32" s="435">
        <v>850.18</v>
      </c>
      <c r="C32" s="435">
        <v>32.4</v>
      </c>
      <c r="D32" s="435">
        <v>17.78</v>
      </c>
      <c r="E32" s="435">
        <f t="shared" si="0"/>
        <v>800</v>
      </c>
      <c r="F32" s="435"/>
      <c r="G32" s="706">
        <v>0</v>
      </c>
      <c r="H32" s="706">
        <v>0</v>
      </c>
      <c r="I32" s="713"/>
      <c r="J32" s="712">
        <f t="shared" si="1"/>
        <v>50.18</v>
      </c>
      <c r="K32" s="712"/>
      <c r="L32" s="712"/>
      <c r="M32" s="712"/>
    </row>
    <row r="33" spans="1:16">
      <c r="A33" s="714">
        <v>43313</v>
      </c>
      <c r="B33" s="370">
        <v>812</v>
      </c>
      <c r="C33" s="370">
        <v>0</v>
      </c>
      <c r="D33" s="370">
        <v>0</v>
      </c>
      <c r="E33" s="370">
        <f t="shared" si="0"/>
        <v>812</v>
      </c>
      <c r="F33" s="370">
        <f t="shared" si="2"/>
        <v>0</v>
      </c>
      <c r="G33" s="369">
        <v>0</v>
      </c>
      <c r="H33" s="369">
        <v>0</v>
      </c>
      <c r="I33" s="713"/>
      <c r="J33" s="712">
        <f t="shared" si="1"/>
        <v>0</v>
      </c>
      <c r="K33" s="712"/>
      <c r="L33" s="712"/>
      <c r="M33" s="712"/>
    </row>
    <row r="34" spans="1:16">
      <c r="A34" s="714"/>
      <c r="B34" s="435">
        <v>850.18</v>
      </c>
      <c r="C34" s="435">
        <v>32.4</v>
      </c>
      <c r="D34" s="435">
        <v>17.78</v>
      </c>
      <c r="E34" s="435">
        <f t="shared" ref="E34" si="7">B34-C34-D34</f>
        <v>800</v>
      </c>
      <c r="F34" s="435"/>
      <c r="G34" s="706">
        <v>0</v>
      </c>
      <c r="H34" s="706">
        <v>0</v>
      </c>
      <c r="I34" s="713"/>
      <c r="J34" s="712">
        <f t="shared" si="1"/>
        <v>50.18</v>
      </c>
      <c r="K34" s="712"/>
      <c r="L34" s="712"/>
      <c r="M34" s="712"/>
    </row>
    <row r="35" spans="1:16">
      <c r="A35" s="714">
        <v>43344</v>
      </c>
      <c r="B35" s="370">
        <v>812</v>
      </c>
      <c r="C35" s="370">
        <v>0</v>
      </c>
      <c r="D35" s="370">
        <v>0</v>
      </c>
      <c r="E35" s="370">
        <f t="shared" si="0"/>
        <v>812</v>
      </c>
      <c r="F35" s="370">
        <f t="shared" si="2"/>
        <v>0</v>
      </c>
      <c r="G35" s="369">
        <v>0</v>
      </c>
      <c r="H35" s="369">
        <v>0</v>
      </c>
      <c r="I35" s="713"/>
      <c r="J35" s="712">
        <f t="shared" si="1"/>
        <v>0</v>
      </c>
      <c r="K35" s="712"/>
      <c r="L35" s="712"/>
      <c r="M35" s="712"/>
    </row>
    <row r="36" spans="1:16">
      <c r="A36" s="714"/>
      <c r="B36" s="435">
        <v>850.18</v>
      </c>
      <c r="C36" s="435">
        <v>32.4</v>
      </c>
      <c r="D36" s="435">
        <v>17.78</v>
      </c>
      <c r="E36" s="435">
        <f t="shared" ref="E36" si="8">B36-C36-D36</f>
        <v>800</v>
      </c>
      <c r="F36" s="435"/>
      <c r="G36" s="706">
        <v>0</v>
      </c>
      <c r="H36" s="706">
        <v>0</v>
      </c>
      <c r="I36" s="713"/>
      <c r="J36" s="712">
        <f t="shared" si="1"/>
        <v>50.18</v>
      </c>
      <c r="K36" s="712">
        <f>SUM(J31:J36)</f>
        <v>150.54</v>
      </c>
      <c r="L36" s="712">
        <f>Summary!K46</f>
        <v>150.54</v>
      </c>
      <c r="M36" s="712">
        <f>K36-L36</f>
        <v>0</v>
      </c>
    </row>
    <row r="37" spans="1:16">
      <c r="A37" s="714">
        <v>43374</v>
      </c>
      <c r="B37" s="370">
        <v>812</v>
      </c>
      <c r="C37" s="370">
        <v>0</v>
      </c>
      <c r="D37" s="370">
        <v>0</v>
      </c>
      <c r="E37" s="370">
        <f t="shared" si="0"/>
        <v>812</v>
      </c>
      <c r="F37" s="370">
        <f t="shared" si="2"/>
        <v>0</v>
      </c>
      <c r="G37" s="369">
        <v>0</v>
      </c>
      <c r="H37" s="369">
        <v>0</v>
      </c>
      <c r="I37" s="713"/>
      <c r="J37" s="712">
        <f t="shared" si="1"/>
        <v>0</v>
      </c>
      <c r="K37" s="311"/>
      <c r="L37" s="311"/>
      <c r="M37" s="311"/>
      <c r="N37" s="17"/>
    </row>
    <row r="38" spans="1:16">
      <c r="A38" s="311"/>
      <c r="B38" s="436">
        <v>849.95</v>
      </c>
      <c r="C38" s="436">
        <v>32.200000000000003</v>
      </c>
      <c r="D38" s="436">
        <v>17.75</v>
      </c>
      <c r="E38" s="436">
        <f t="shared" si="0"/>
        <v>800</v>
      </c>
      <c r="F38" s="436"/>
      <c r="G38" s="707">
        <v>0</v>
      </c>
      <c r="H38" s="707">
        <v>0</v>
      </c>
      <c r="I38" s="715"/>
      <c r="J38" s="715">
        <f t="shared" si="1"/>
        <v>49.95</v>
      </c>
      <c r="K38" s="715"/>
      <c r="L38" s="715"/>
      <c r="M38" s="712">
        <f>J38</f>
        <v>49.95</v>
      </c>
      <c r="N38" s="368"/>
    </row>
    <row r="39" spans="1:16">
      <c r="A39" s="574" t="s">
        <v>541</v>
      </c>
      <c r="B39" s="370">
        <f>SUM(B15+B17+B19+B21+B23+B25+B27+B29+B31+B33+B35+B37)</f>
        <v>9959.4500000000007</v>
      </c>
      <c r="C39" s="370">
        <f t="shared" ref="C39:F40" si="9">SUM(C15+C17+C19+C21+C23+C25+C27+C29+C31+C33+C35+C37)</f>
        <v>0</v>
      </c>
      <c r="D39" s="370">
        <f t="shared" si="9"/>
        <v>215.45</v>
      </c>
      <c r="E39" s="370">
        <f t="shared" si="9"/>
        <v>9744</v>
      </c>
      <c r="F39" s="370">
        <f t="shared" si="9"/>
        <v>0</v>
      </c>
      <c r="G39" s="369">
        <f>SUM(G15+G17+G19+G21+G23+G25+G27+G29+G31+G33+G35+G37)</f>
        <v>0</v>
      </c>
      <c r="H39" s="369">
        <f>SUM(H15+H17+H19+H21+H23+H25+H27+H29+H31+H33+H35+H37)</f>
        <v>0</v>
      </c>
      <c r="I39" s="713"/>
      <c r="J39" s="712"/>
      <c r="K39" s="712"/>
      <c r="L39" s="712"/>
      <c r="M39" s="712"/>
      <c r="N39" s="368"/>
      <c r="O39" s="368"/>
      <c r="P39" s="368"/>
    </row>
    <row r="40" spans="1:16" ht="13.5" thickBot="1">
      <c r="A40" s="574" t="s">
        <v>542</v>
      </c>
      <c r="B40" s="433">
        <f>SUM(B16+B18+B20+B22+B24+B26+B28+B30+B32+B34+B36+B38)</f>
        <v>10032.100000000002</v>
      </c>
      <c r="C40" s="433">
        <f t="shared" si="9"/>
        <v>226.40000000000003</v>
      </c>
      <c r="D40" s="433">
        <f t="shared" si="9"/>
        <v>205.70000000000002</v>
      </c>
      <c r="E40" s="433">
        <f t="shared" si="9"/>
        <v>9600</v>
      </c>
      <c r="F40" s="433">
        <f t="shared" si="9"/>
        <v>0</v>
      </c>
      <c r="G40" s="708">
        <f>SUM(G16+G18+G20+G22+G24+G26+G28+G30+G32+G34+G36+G38)</f>
        <v>0</v>
      </c>
      <c r="H40" s="708">
        <f>SUM(H16+H18+H20+H22+H24+H26+H28+H30+H32+H34+H36+H38)</f>
        <v>0</v>
      </c>
      <c r="I40" s="311"/>
      <c r="J40" s="717"/>
      <c r="K40" s="717"/>
      <c r="L40" s="717"/>
      <c r="M40" s="716"/>
      <c r="N40" s="368"/>
      <c r="O40" s="368"/>
      <c r="P40" s="368"/>
    </row>
    <row r="41" spans="1:16" ht="13.5" thickTop="1">
      <c r="A41" s="574" t="s">
        <v>88</v>
      </c>
      <c r="B41" s="712">
        <f>SUM(B39:B40)</f>
        <v>19991.550000000003</v>
      </c>
      <c r="C41" s="712">
        <f t="shared" ref="C41:H41" si="10">SUM(C39:C40)</f>
        <v>226.40000000000003</v>
      </c>
      <c r="D41" s="712">
        <f t="shared" si="10"/>
        <v>421.15</v>
      </c>
      <c r="E41" s="712">
        <f t="shared" si="10"/>
        <v>19344</v>
      </c>
      <c r="F41" s="712">
        <f t="shared" si="10"/>
        <v>0</v>
      </c>
      <c r="G41" s="712">
        <f t="shared" si="10"/>
        <v>0</v>
      </c>
      <c r="H41" s="712">
        <f t="shared" si="10"/>
        <v>0</v>
      </c>
      <c r="I41" s="712"/>
      <c r="J41" s="712">
        <f>SUM(J13:J38)</f>
        <v>762.06999999999994</v>
      </c>
      <c r="K41" s="712">
        <f>SUM(K13:K38)</f>
        <v>712.11999999999989</v>
      </c>
      <c r="L41" s="712">
        <f>SUM(L13:L38)</f>
        <v>414.56999999999994</v>
      </c>
      <c r="M41" s="712">
        <f>SUM(M13:M38)</f>
        <v>347.5</v>
      </c>
    </row>
    <row r="42" spans="1:16">
      <c r="J42" s="368"/>
      <c r="K42" s="368"/>
      <c r="L42" s="368"/>
      <c r="M42" s="368"/>
    </row>
    <row r="43" spans="1:16">
      <c r="C43" s="368"/>
      <c r="D43" s="384" t="s">
        <v>236</v>
      </c>
      <c r="E43" s="368">
        <f>Summary!J47</f>
        <v>22440</v>
      </c>
      <c r="F43" s="339"/>
      <c r="G43" s="7"/>
      <c r="I43" s="371"/>
      <c r="J43" s="368"/>
      <c r="K43" s="368"/>
      <c r="L43" s="368"/>
    </row>
    <row r="44" spans="1:16">
      <c r="C44" s="368"/>
      <c r="D44" s="385" t="s">
        <v>237</v>
      </c>
      <c r="E44" s="368">
        <v>0</v>
      </c>
      <c r="F44" s="339"/>
      <c r="G44" s="7"/>
      <c r="I44" s="371"/>
    </row>
    <row r="45" spans="1:16">
      <c r="C45" s="368"/>
      <c r="D45" s="368"/>
      <c r="E45" s="368"/>
      <c r="F45" s="339"/>
      <c r="G45" s="7"/>
      <c r="I45" s="371"/>
    </row>
    <row r="46" spans="1:16">
      <c r="C46" s="368"/>
      <c r="D46" s="384" t="s">
        <v>238</v>
      </c>
      <c r="E46" s="434">
        <f>SUM(E39+E40-E43+E44)</f>
        <v>-3096</v>
      </c>
      <c r="F46" s="706" t="s">
        <v>235</v>
      </c>
      <c r="G46" s="7"/>
      <c r="H46" s="706"/>
      <c r="I46" s="371"/>
    </row>
    <row r="47" spans="1:16">
      <c r="D47" s="47"/>
    </row>
  </sheetData>
  <mergeCells count="2">
    <mergeCell ref="J8:M8"/>
    <mergeCell ref="B8:G8"/>
  </mergeCells>
  <phoneticPr fontId="0" type="noConversion"/>
  <pageMargins left="0.75" right="0.75" top="1" bottom="1" header="0.5" footer="0.5"/>
  <pageSetup paperSize="9" scale="70" orientation="portrait" horizontalDpi="300" verticalDpi="3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9"/>
  <sheetViews>
    <sheetView workbookViewId="0"/>
  </sheetViews>
  <sheetFormatPr defaultColWidth="9.140625" defaultRowHeight="12.75"/>
  <cols>
    <col min="1" max="1" width="11.85546875" style="519" customWidth="1"/>
    <col min="2" max="2" width="13.7109375" style="519" bestFit="1" customWidth="1"/>
    <col min="3" max="3" width="11" style="519" bestFit="1" customWidth="1"/>
    <col min="4" max="4" width="9.28515625" style="519" bestFit="1" customWidth="1"/>
    <col min="5" max="5" width="11.28515625" style="519" customWidth="1"/>
    <col min="6" max="6" width="12.140625" style="519" customWidth="1"/>
    <col min="7" max="7" width="11.28515625" style="519" customWidth="1"/>
    <col min="8" max="8" width="10.5703125" style="519" customWidth="1"/>
    <col min="9" max="9" width="10.28515625" style="519" customWidth="1"/>
    <col min="10" max="16384" width="9.140625" style="519"/>
  </cols>
  <sheetData>
    <row r="1" spans="1:10">
      <c r="A1" s="539" t="str">
        <f>Summary!A1</f>
        <v>Design-spectrum Limited</v>
      </c>
      <c r="B1" s="520"/>
      <c r="C1" s="520"/>
      <c r="D1" s="520"/>
      <c r="E1" s="520"/>
      <c r="F1" s="520"/>
      <c r="G1" s="540" t="s">
        <v>89</v>
      </c>
      <c r="H1" s="520"/>
      <c r="I1" s="520"/>
      <c r="J1" s="520"/>
    </row>
    <row r="2" spans="1:10">
      <c r="A2" s="537" t="s">
        <v>90</v>
      </c>
      <c r="B2" s="520"/>
      <c r="C2" s="520"/>
      <c r="D2" s="520"/>
      <c r="E2" s="520"/>
      <c r="F2" s="520"/>
      <c r="G2" s="540" t="s">
        <v>91</v>
      </c>
      <c r="H2" s="538">
        <f ca="1">TODAY()</f>
        <v>43500</v>
      </c>
      <c r="I2" s="520"/>
      <c r="J2" s="520"/>
    </row>
    <row r="3" spans="1:10">
      <c r="A3" s="537" t="s">
        <v>92</v>
      </c>
      <c r="B3" s="536">
        <f>'Oct 18'!C4</f>
        <v>43381</v>
      </c>
      <c r="C3" s="535"/>
      <c r="D3" s="520"/>
      <c r="E3" s="520"/>
      <c r="F3" s="520"/>
      <c r="G3" s="520"/>
      <c r="H3" s="520"/>
      <c r="I3" s="520"/>
      <c r="J3" s="520"/>
    </row>
    <row r="4" spans="1:10">
      <c r="A4" s="520"/>
      <c r="B4" s="520"/>
      <c r="C4" s="520"/>
      <c r="D4" s="520"/>
      <c r="E4" s="520"/>
      <c r="F4" s="520"/>
      <c r="G4" s="520"/>
      <c r="H4" s="520"/>
      <c r="I4" s="520"/>
      <c r="J4" s="520"/>
    </row>
    <row r="5" spans="1:10">
      <c r="A5" s="520"/>
      <c r="B5" s="520"/>
      <c r="C5" s="520"/>
      <c r="D5" s="520"/>
      <c r="E5" s="520"/>
      <c r="F5" s="520"/>
      <c r="G5" s="520"/>
      <c r="H5" s="520"/>
      <c r="I5" s="520"/>
      <c r="J5" s="520"/>
    </row>
    <row r="6" spans="1:10">
      <c r="A6" s="534" t="s">
        <v>368</v>
      </c>
      <c r="B6" s="520"/>
      <c r="C6" s="520"/>
      <c r="D6" s="520"/>
      <c r="E6" s="520"/>
      <c r="F6" s="520"/>
      <c r="G6" s="520"/>
      <c r="H6" s="520"/>
      <c r="I6" s="520"/>
      <c r="J6" s="520"/>
    </row>
    <row r="7" spans="1:10">
      <c r="A7" s="520"/>
      <c r="B7" s="520"/>
      <c r="C7" s="520"/>
      <c r="D7" s="520"/>
      <c r="E7" s="533"/>
      <c r="F7" s="533"/>
      <c r="G7" s="533"/>
      <c r="H7" s="533"/>
      <c r="I7" s="533"/>
      <c r="J7" s="520"/>
    </row>
    <row r="8" spans="1:10">
      <c r="A8" s="532" t="s">
        <v>369</v>
      </c>
      <c r="B8" s="703" t="s">
        <v>440</v>
      </c>
      <c r="C8" s="520"/>
      <c r="D8" s="520"/>
      <c r="E8" s="520"/>
      <c r="F8" s="520"/>
      <c r="G8" s="520"/>
      <c r="H8" s="520"/>
      <c r="I8" s="520"/>
      <c r="J8" s="520"/>
    </row>
    <row r="9" spans="1:10">
      <c r="A9" s="520" t="s">
        <v>370</v>
      </c>
      <c r="B9" s="704" t="s">
        <v>440</v>
      </c>
      <c r="C9" s="520"/>
      <c r="D9" s="520"/>
      <c r="E9" s="520"/>
      <c r="F9" s="520"/>
      <c r="G9" s="520"/>
      <c r="H9" s="520"/>
      <c r="I9" s="520"/>
      <c r="J9" s="520"/>
    </row>
    <row r="10" spans="1:10">
      <c r="A10" s="520"/>
      <c r="B10" s="520"/>
      <c r="C10" s="520"/>
      <c r="D10" s="520"/>
      <c r="E10" s="520"/>
      <c r="F10" s="520"/>
      <c r="G10" s="520"/>
      <c r="H10" s="787" t="s">
        <v>445</v>
      </c>
      <c r="I10" s="520"/>
      <c r="J10" s="520"/>
    </row>
    <row r="11" spans="1:10">
      <c r="A11" s="520"/>
      <c r="B11" s="520"/>
      <c r="D11" s="530" t="s">
        <v>16</v>
      </c>
      <c r="E11" s="530" t="s">
        <v>110</v>
      </c>
      <c r="F11" s="531" t="s">
        <v>111</v>
      </c>
      <c r="G11" s="530" t="s">
        <v>64</v>
      </c>
      <c r="H11" s="787"/>
      <c r="I11" s="529"/>
      <c r="J11" s="520"/>
    </row>
    <row r="12" spans="1:10">
      <c r="A12" s="520"/>
      <c r="B12" s="520"/>
      <c r="D12" s="520"/>
      <c r="E12" s="520"/>
      <c r="F12" s="529"/>
      <c r="G12" s="520"/>
      <c r="H12" s="520"/>
      <c r="I12" s="520"/>
      <c r="J12" s="520"/>
    </row>
    <row r="13" spans="1:10">
      <c r="A13" s="520" t="s">
        <v>438</v>
      </c>
      <c r="B13" s="520"/>
      <c r="C13" s="702" t="s">
        <v>443</v>
      </c>
      <c r="D13" s="487">
        <v>0</v>
      </c>
      <c r="E13" s="487">
        <v>0</v>
      </c>
      <c r="F13" s="487">
        <f>D13-E13</f>
        <v>0</v>
      </c>
      <c r="G13" s="487">
        <v>0</v>
      </c>
      <c r="H13" s="487">
        <v>0</v>
      </c>
      <c r="I13" s="520"/>
      <c r="J13" s="520"/>
    </row>
    <row r="14" spans="1:10">
      <c r="A14" s="520"/>
      <c r="B14" s="520"/>
      <c r="C14" s="519" t="s">
        <v>444</v>
      </c>
      <c r="D14" s="488">
        <v>0</v>
      </c>
      <c r="E14" s="488">
        <v>0</v>
      </c>
      <c r="F14" s="488">
        <f>D14-E14</f>
        <v>0</v>
      </c>
      <c r="G14" s="488">
        <v>0</v>
      </c>
      <c r="H14" s="488">
        <v>0</v>
      </c>
      <c r="I14" s="520"/>
      <c r="J14" s="520"/>
    </row>
    <row r="15" spans="1:10">
      <c r="A15" s="520"/>
      <c r="B15" s="520"/>
      <c r="D15" s="488"/>
      <c r="E15" s="488"/>
      <c r="F15" s="487"/>
      <c r="G15" s="488" t="s">
        <v>20</v>
      </c>
      <c r="H15" s="488" t="s">
        <v>20</v>
      </c>
      <c r="I15" s="520"/>
      <c r="J15" s="520"/>
    </row>
    <row r="16" spans="1:10">
      <c r="A16" s="520" t="s">
        <v>439</v>
      </c>
      <c r="B16" s="528">
        <f>B3</f>
        <v>43381</v>
      </c>
      <c r="C16" s="702" t="s">
        <v>443</v>
      </c>
      <c r="D16" s="487">
        <v>0</v>
      </c>
      <c r="E16" s="487">
        <v>0</v>
      </c>
      <c r="F16" s="487">
        <f>D16-E16</f>
        <v>0</v>
      </c>
      <c r="G16" s="487">
        <v>0</v>
      </c>
      <c r="H16" s="487">
        <v>0</v>
      </c>
      <c r="I16" s="520"/>
      <c r="J16" s="520"/>
    </row>
    <row r="17" spans="1:10">
      <c r="A17" s="520"/>
      <c r="B17" s="520"/>
      <c r="C17" s="519" t="s">
        <v>444</v>
      </c>
      <c r="D17" s="488">
        <v>0</v>
      </c>
      <c r="E17" s="488">
        <v>0</v>
      </c>
      <c r="F17" s="488">
        <f>D17-E17</f>
        <v>0</v>
      </c>
      <c r="G17" s="488">
        <v>0</v>
      </c>
      <c r="H17" s="488">
        <v>0</v>
      </c>
      <c r="I17" s="520"/>
      <c r="J17" s="520"/>
    </row>
    <row r="18" spans="1:10">
      <c r="A18" s="520"/>
      <c r="B18" s="520"/>
      <c r="D18" s="488"/>
      <c r="E18" s="488"/>
      <c r="F18" s="488"/>
      <c r="G18" s="488"/>
      <c r="H18" s="488"/>
      <c r="I18" s="520"/>
      <c r="J18" s="520"/>
    </row>
    <row r="19" spans="1:10" ht="13.5" thickBot="1">
      <c r="A19" s="520"/>
      <c r="B19" s="520"/>
      <c r="D19" s="489">
        <f>SUM(D13:D18)</f>
        <v>0</v>
      </c>
      <c r="E19" s="489">
        <f>SUM(E13:E18)</f>
        <v>0</v>
      </c>
      <c r="F19" s="489">
        <f>SUM(F13:F18)</f>
        <v>0</v>
      </c>
      <c r="G19" s="489">
        <f>SUM(G13:G18)</f>
        <v>0</v>
      </c>
      <c r="H19" s="489">
        <f>SUM(H13:H18)</f>
        <v>0</v>
      </c>
      <c r="I19" s="520"/>
      <c r="J19" s="520"/>
    </row>
    <row r="20" spans="1:10" ht="13.5" thickTop="1">
      <c r="A20" s="520"/>
      <c r="B20" s="520"/>
      <c r="D20" s="492"/>
      <c r="E20" s="492"/>
      <c r="F20" s="492"/>
      <c r="G20" s="492"/>
      <c r="H20" s="520"/>
      <c r="I20" s="520"/>
      <c r="J20" s="520"/>
    </row>
    <row r="21" spans="1:10">
      <c r="A21" s="532" t="s">
        <v>369</v>
      </c>
      <c r="B21" s="703" t="str">
        <f>B8</f>
        <v>enter employee name</v>
      </c>
      <c r="D21" s="705">
        <f>D13+D16</f>
        <v>0</v>
      </c>
      <c r="E21" s="705"/>
      <c r="F21" s="705"/>
      <c r="G21" s="705">
        <f>SUM(G13-H13,G16-H16)</f>
        <v>0</v>
      </c>
      <c r="H21" s="520"/>
      <c r="I21" s="520"/>
      <c r="J21" s="520"/>
    </row>
    <row r="22" spans="1:10">
      <c r="A22" s="520" t="s">
        <v>370</v>
      </c>
      <c r="B22" s="704" t="str">
        <f>B9</f>
        <v>enter employee name</v>
      </c>
      <c r="D22" s="492">
        <f>D14+D17</f>
        <v>0</v>
      </c>
      <c r="E22" s="492"/>
      <c r="F22" s="492"/>
      <c r="G22" s="492">
        <f>SUM(G14-H14,G17-H17)</f>
        <v>0</v>
      </c>
      <c r="H22" s="520"/>
      <c r="I22" s="520"/>
      <c r="J22" s="520"/>
    </row>
    <row r="23" spans="1:10">
      <c r="A23" s="520"/>
      <c r="B23" s="520"/>
      <c r="C23" s="520"/>
      <c r="D23" s="520"/>
      <c r="E23" s="520"/>
      <c r="F23" s="520"/>
      <c r="G23" s="520"/>
      <c r="H23" s="520"/>
      <c r="I23" s="520"/>
      <c r="J23" s="520"/>
    </row>
    <row r="24" spans="1:10" ht="15">
      <c r="A24" s="490" t="s">
        <v>371</v>
      </c>
      <c r="B24" s="402"/>
      <c r="C24" s="402"/>
      <c r="D24" s="402"/>
      <c r="E24" s="402"/>
      <c r="F24" s="520"/>
      <c r="G24" s="520"/>
      <c r="H24" s="520"/>
      <c r="I24" s="520"/>
      <c r="J24" s="520"/>
    </row>
    <row r="25" spans="1:10" hidden="1">
      <c r="A25" s="402" t="s">
        <v>84</v>
      </c>
      <c r="B25" s="402" t="s">
        <v>329</v>
      </c>
      <c r="C25" s="402" t="s">
        <v>108</v>
      </c>
      <c r="D25" s="402" t="s">
        <v>184</v>
      </c>
      <c r="E25" s="402"/>
      <c r="F25" s="520"/>
      <c r="G25" s="520"/>
      <c r="H25" s="520"/>
      <c r="I25" s="520"/>
      <c r="J25" s="520"/>
    </row>
    <row r="26" spans="1:10" hidden="1">
      <c r="A26" s="402"/>
      <c r="B26" s="402"/>
      <c r="C26" s="402"/>
      <c r="D26" s="402">
        <f>B26-C26</f>
        <v>0</v>
      </c>
      <c r="E26" s="491"/>
      <c r="F26" s="520"/>
      <c r="G26" s="520"/>
      <c r="H26" s="520"/>
      <c r="I26" s="520"/>
      <c r="J26" s="520"/>
    </row>
    <row r="27" spans="1:10" hidden="1">
      <c r="A27" s="402"/>
      <c r="B27" s="402"/>
      <c r="C27" s="402"/>
      <c r="D27" s="402">
        <f t="shared" ref="D27:D37" si="0">B27-C27</f>
        <v>0</v>
      </c>
      <c r="E27" s="491"/>
      <c r="F27" s="520"/>
      <c r="G27" s="520"/>
      <c r="H27" s="520"/>
      <c r="I27" s="520"/>
      <c r="J27" s="520"/>
    </row>
    <row r="28" spans="1:10" hidden="1">
      <c r="A28" s="402"/>
      <c r="B28" s="402"/>
      <c r="C28" s="402"/>
      <c r="D28" s="402">
        <f t="shared" si="0"/>
        <v>0</v>
      </c>
      <c r="E28" s="491"/>
      <c r="F28" s="520"/>
      <c r="G28" s="520"/>
      <c r="H28" s="520"/>
      <c r="I28" s="520"/>
      <c r="J28" s="520"/>
    </row>
    <row r="29" spans="1:10" hidden="1">
      <c r="A29" s="402"/>
      <c r="B29" s="402"/>
      <c r="C29" s="402"/>
      <c r="D29" s="402">
        <f t="shared" si="0"/>
        <v>0</v>
      </c>
      <c r="E29" s="491"/>
      <c r="F29" s="520"/>
      <c r="G29" s="520"/>
      <c r="H29" s="520"/>
      <c r="I29" s="520"/>
      <c r="J29" s="520"/>
    </row>
    <row r="30" spans="1:10" hidden="1">
      <c r="A30" s="402"/>
      <c r="B30" s="402"/>
      <c r="C30" s="402"/>
      <c r="D30" s="402">
        <f t="shared" si="0"/>
        <v>0</v>
      </c>
      <c r="E30" s="491"/>
      <c r="F30" s="520"/>
      <c r="G30" s="520"/>
      <c r="H30" s="520"/>
      <c r="I30" s="520"/>
      <c r="J30" s="520"/>
    </row>
    <row r="31" spans="1:10" hidden="1">
      <c r="A31" s="402"/>
      <c r="B31" s="402"/>
      <c r="C31" s="402"/>
      <c r="D31" s="402">
        <f t="shared" si="0"/>
        <v>0</v>
      </c>
      <c r="E31" s="491"/>
      <c r="F31" s="520"/>
      <c r="G31" s="520"/>
      <c r="H31" s="520"/>
      <c r="I31" s="520"/>
      <c r="J31" s="520"/>
    </row>
    <row r="32" spans="1:10" hidden="1">
      <c r="A32" s="402"/>
      <c r="B32" s="402"/>
      <c r="C32" s="402"/>
      <c r="D32" s="402">
        <f t="shared" si="0"/>
        <v>0</v>
      </c>
      <c r="E32" s="491"/>
      <c r="F32" s="520"/>
      <c r="G32" s="520"/>
      <c r="H32" s="520"/>
      <c r="I32" s="520"/>
      <c r="J32" s="520"/>
    </row>
    <row r="33" spans="1:10" hidden="1">
      <c r="A33" s="402"/>
      <c r="B33" s="402"/>
      <c r="C33" s="402"/>
      <c r="D33" s="402">
        <f t="shared" si="0"/>
        <v>0</v>
      </c>
      <c r="E33" s="491"/>
      <c r="F33" s="520"/>
      <c r="G33" s="520"/>
      <c r="H33" s="520"/>
      <c r="I33" s="520"/>
      <c r="J33" s="520"/>
    </row>
    <row r="34" spans="1:10" hidden="1">
      <c r="A34" s="402"/>
      <c r="B34" s="402"/>
      <c r="C34" s="402"/>
      <c r="D34" s="402">
        <f t="shared" si="0"/>
        <v>0</v>
      </c>
      <c r="E34" s="491"/>
      <c r="F34" s="520"/>
      <c r="G34" s="520"/>
      <c r="H34" s="520"/>
      <c r="I34" s="520"/>
      <c r="J34" s="520"/>
    </row>
    <row r="35" spans="1:10" hidden="1">
      <c r="A35" s="402"/>
      <c r="B35" s="402"/>
      <c r="C35" s="402"/>
      <c r="D35" s="402">
        <f t="shared" si="0"/>
        <v>0</v>
      </c>
      <c r="E35" s="491"/>
      <c r="F35" s="520"/>
      <c r="G35" s="520"/>
      <c r="H35" s="520"/>
      <c r="I35" s="520"/>
      <c r="J35" s="520"/>
    </row>
    <row r="36" spans="1:10" hidden="1">
      <c r="A36" s="402"/>
      <c r="B36" s="402"/>
      <c r="C36" s="402"/>
      <c r="D36" s="402">
        <f t="shared" si="0"/>
        <v>0</v>
      </c>
      <c r="E36" s="491"/>
      <c r="F36" s="520"/>
      <c r="G36" s="520"/>
      <c r="H36" s="520"/>
      <c r="I36" s="520"/>
      <c r="J36" s="520"/>
    </row>
    <row r="37" spans="1:10" hidden="1">
      <c r="A37" s="402"/>
      <c r="B37" s="402"/>
      <c r="C37" s="402"/>
      <c r="D37" s="402">
        <f t="shared" si="0"/>
        <v>0</v>
      </c>
      <c r="E37" s="491"/>
      <c r="F37" s="520"/>
      <c r="G37" s="520"/>
      <c r="H37" s="520"/>
      <c r="I37" s="520"/>
      <c r="J37" s="520"/>
    </row>
    <row r="38" spans="1:10" ht="13.5" hidden="1" thickBot="1">
      <c r="A38" s="402" t="s">
        <v>88</v>
      </c>
      <c r="B38" s="404">
        <f>SUM(B26:B37)</f>
        <v>0</v>
      </c>
      <c r="C38" s="404">
        <f>SUM(C26:C37)</f>
        <v>0</v>
      </c>
      <c r="D38" s="404">
        <f>SUM(D26:D37)</f>
        <v>0</v>
      </c>
      <c r="E38" s="402"/>
      <c r="F38" s="520"/>
      <c r="G38" s="520"/>
      <c r="H38" s="520"/>
      <c r="I38" s="520"/>
      <c r="J38" s="520"/>
    </row>
    <row r="39" spans="1:10">
      <c r="A39" s="520"/>
      <c r="B39" s="520"/>
      <c r="C39" s="520"/>
      <c r="D39" s="520"/>
      <c r="E39" s="520"/>
      <c r="F39" s="520"/>
      <c r="G39" s="520"/>
      <c r="H39" s="520"/>
      <c r="I39" s="520"/>
      <c r="J39" s="520"/>
    </row>
    <row r="40" spans="1:10" ht="15">
      <c r="A40" s="490" t="s">
        <v>372</v>
      </c>
      <c r="B40" s="402"/>
      <c r="C40" s="402"/>
      <c r="D40" s="402"/>
      <c r="E40" s="402"/>
      <c r="F40" s="520"/>
      <c r="G40" s="520"/>
      <c r="H40" s="520"/>
      <c r="I40" s="520"/>
      <c r="J40" s="520"/>
    </row>
    <row r="41" spans="1:10" hidden="1">
      <c r="A41" s="402" t="s">
        <v>84</v>
      </c>
      <c r="B41" s="402" t="s">
        <v>441</v>
      </c>
      <c r="C41" s="402" t="s">
        <v>442</v>
      </c>
      <c r="D41" s="402" t="s">
        <v>26</v>
      </c>
      <c r="E41" s="402" t="s">
        <v>108</v>
      </c>
      <c r="F41" s="402" t="s">
        <v>184</v>
      </c>
      <c r="G41" s="520"/>
      <c r="H41" s="520"/>
      <c r="I41" s="520"/>
      <c r="J41" s="520"/>
    </row>
    <row r="42" spans="1:10" hidden="1">
      <c r="A42" s="402"/>
      <c r="B42" s="402"/>
      <c r="C42" s="402"/>
      <c r="D42" s="402">
        <f>B42+C42</f>
        <v>0</v>
      </c>
      <c r="E42" s="402"/>
      <c r="F42" s="402">
        <f t="shared" ref="F42:F53" si="1">D42-E42</f>
        <v>0</v>
      </c>
      <c r="G42" s="520"/>
      <c r="H42" s="520"/>
      <c r="I42" s="520"/>
      <c r="J42" s="520"/>
    </row>
    <row r="43" spans="1:10" hidden="1">
      <c r="A43" s="402"/>
      <c r="B43" s="402"/>
      <c r="C43" s="402"/>
      <c r="D43" s="402">
        <f t="shared" ref="D43:D53" si="2">B43+C43</f>
        <v>0</v>
      </c>
      <c r="E43" s="402"/>
      <c r="F43" s="402">
        <f t="shared" si="1"/>
        <v>0</v>
      </c>
      <c r="G43" s="520"/>
      <c r="H43" s="520"/>
      <c r="I43" s="520"/>
      <c r="J43" s="520"/>
    </row>
    <row r="44" spans="1:10" hidden="1">
      <c r="A44" s="402"/>
      <c r="B44" s="402"/>
      <c r="C44" s="402"/>
      <c r="D44" s="402">
        <f t="shared" si="2"/>
        <v>0</v>
      </c>
      <c r="E44" s="402"/>
      <c r="F44" s="402">
        <f t="shared" si="1"/>
        <v>0</v>
      </c>
      <c r="G44" s="520"/>
      <c r="H44" s="520"/>
      <c r="I44" s="520"/>
      <c r="J44" s="520"/>
    </row>
    <row r="45" spans="1:10" hidden="1">
      <c r="A45" s="402"/>
      <c r="B45" s="402"/>
      <c r="C45" s="402"/>
      <c r="D45" s="402">
        <f t="shared" si="2"/>
        <v>0</v>
      </c>
      <c r="E45" s="402"/>
      <c r="F45" s="402">
        <f t="shared" si="1"/>
        <v>0</v>
      </c>
      <c r="G45" s="520"/>
      <c r="H45" s="520"/>
      <c r="I45" s="520"/>
      <c r="J45" s="520"/>
    </row>
    <row r="46" spans="1:10" hidden="1">
      <c r="A46" s="402"/>
      <c r="B46" s="402"/>
      <c r="C46" s="402"/>
      <c r="D46" s="402">
        <f t="shared" si="2"/>
        <v>0</v>
      </c>
      <c r="E46" s="402"/>
      <c r="F46" s="402">
        <f t="shared" si="1"/>
        <v>0</v>
      </c>
      <c r="G46" s="520"/>
      <c r="H46" s="520"/>
      <c r="I46" s="520"/>
      <c r="J46" s="520"/>
    </row>
    <row r="47" spans="1:10" hidden="1">
      <c r="A47" s="402"/>
      <c r="B47" s="402"/>
      <c r="C47" s="402"/>
      <c r="D47" s="402">
        <f t="shared" si="2"/>
        <v>0</v>
      </c>
      <c r="E47" s="402"/>
      <c r="F47" s="402">
        <f t="shared" si="1"/>
        <v>0</v>
      </c>
      <c r="G47" s="520"/>
      <c r="H47" s="520"/>
      <c r="I47" s="520"/>
      <c r="J47" s="520"/>
    </row>
    <row r="48" spans="1:10" hidden="1">
      <c r="A48" s="402"/>
      <c r="B48" s="402"/>
      <c r="C48" s="402"/>
      <c r="D48" s="402">
        <f t="shared" si="2"/>
        <v>0</v>
      </c>
      <c r="E48" s="402"/>
      <c r="F48" s="402">
        <f t="shared" si="1"/>
        <v>0</v>
      </c>
      <c r="G48" s="520"/>
      <c r="H48" s="520"/>
      <c r="I48" s="520"/>
      <c r="J48" s="520"/>
    </row>
    <row r="49" spans="1:10" hidden="1">
      <c r="A49" s="402"/>
      <c r="B49" s="402"/>
      <c r="C49" s="402"/>
      <c r="D49" s="402">
        <f t="shared" si="2"/>
        <v>0</v>
      </c>
      <c r="E49" s="402"/>
      <c r="F49" s="402">
        <f t="shared" si="1"/>
        <v>0</v>
      </c>
      <c r="G49" s="520"/>
      <c r="H49" s="520"/>
      <c r="I49" s="520"/>
      <c r="J49" s="520"/>
    </row>
    <row r="50" spans="1:10" hidden="1">
      <c r="A50" s="402"/>
      <c r="B50" s="402"/>
      <c r="C50" s="402"/>
      <c r="D50" s="402">
        <f t="shared" si="2"/>
        <v>0</v>
      </c>
      <c r="E50" s="402"/>
      <c r="F50" s="402">
        <f t="shared" si="1"/>
        <v>0</v>
      </c>
      <c r="G50" s="520"/>
      <c r="H50" s="520"/>
      <c r="I50" s="520"/>
      <c r="J50" s="520"/>
    </row>
    <row r="51" spans="1:10" hidden="1">
      <c r="A51" s="402"/>
      <c r="B51" s="402"/>
      <c r="C51" s="402"/>
      <c r="D51" s="402">
        <f t="shared" si="2"/>
        <v>0</v>
      </c>
      <c r="E51" s="402"/>
      <c r="F51" s="402">
        <f t="shared" si="1"/>
        <v>0</v>
      </c>
      <c r="G51" s="520"/>
      <c r="H51" s="520"/>
      <c r="I51" s="520"/>
      <c r="J51" s="520"/>
    </row>
    <row r="52" spans="1:10" hidden="1">
      <c r="A52" s="402"/>
      <c r="B52" s="402"/>
      <c r="C52" s="402"/>
      <c r="D52" s="402">
        <f t="shared" si="2"/>
        <v>0</v>
      </c>
      <c r="E52" s="402"/>
      <c r="F52" s="402">
        <f t="shared" si="1"/>
        <v>0</v>
      </c>
      <c r="G52" s="520"/>
      <c r="H52" s="520"/>
      <c r="I52" s="520"/>
      <c r="J52" s="520"/>
    </row>
    <row r="53" spans="1:10" hidden="1">
      <c r="A53" s="402"/>
      <c r="B53" s="402"/>
      <c r="C53" s="402"/>
      <c r="D53" s="402">
        <f t="shared" si="2"/>
        <v>0</v>
      </c>
      <c r="E53" s="402"/>
      <c r="F53" s="402">
        <f t="shared" si="1"/>
        <v>0</v>
      </c>
      <c r="G53" s="520"/>
      <c r="H53" s="520"/>
      <c r="I53" s="520"/>
      <c r="J53" s="520"/>
    </row>
    <row r="54" spans="1:10" ht="13.5" hidden="1" thickBot="1">
      <c r="A54" s="402" t="s">
        <v>88</v>
      </c>
      <c r="B54" s="404">
        <f>SUM(B42:B53)</f>
        <v>0</v>
      </c>
      <c r="C54" s="404">
        <f>SUM(C42:C53)</f>
        <v>0</v>
      </c>
      <c r="D54" s="404">
        <f>SUM(D42:D53)</f>
        <v>0</v>
      </c>
      <c r="E54" s="404">
        <f>SUM(E42:E53)</f>
        <v>0</v>
      </c>
      <c r="F54" s="404">
        <f>SUM(F42:F53)</f>
        <v>0</v>
      </c>
      <c r="G54" s="520"/>
      <c r="H54" s="520"/>
      <c r="I54" s="520"/>
      <c r="J54" s="520"/>
    </row>
    <row r="55" spans="1:10">
      <c r="A55" s="520"/>
      <c r="B55" s="520"/>
      <c r="C55" s="520"/>
      <c r="D55" s="520"/>
      <c r="E55" s="520"/>
      <c r="F55" s="520"/>
      <c r="G55" s="520"/>
      <c r="H55" s="520"/>
      <c r="I55" s="520"/>
      <c r="J55" s="520"/>
    </row>
    <row r="56" spans="1:10" s="521" customFormat="1">
      <c r="A56" s="524"/>
      <c r="B56" s="522"/>
      <c r="C56" s="522"/>
      <c r="D56" s="522"/>
      <c r="E56" s="522"/>
      <c r="F56" s="522"/>
      <c r="G56" s="522"/>
      <c r="H56" s="522"/>
      <c r="I56" s="522"/>
      <c r="J56" s="522"/>
    </row>
    <row r="57" spans="1:10" s="521" customFormat="1">
      <c r="A57" s="522"/>
      <c r="B57" s="522"/>
      <c r="C57" s="492"/>
      <c r="D57" s="493"/>
      <c r="E57" s="493"/>
      <c r="F57" s="493"/>
      <c r="G57" s="493"/>
      <c r="H57" s="493"/>
      <c r="I57" s="522"/>
      <c r="J57" s="522"/>
    </row>
    <row r="58" spans="1:10" s="521" customFormat="1">
      <c r="A58" s="522"/>
      <c r="B58" s="527"/>
      <c r="C58" s="492"/>
      <c r="D58" s="492"/>
      <c r="E58" s="493"/>
      <c r="F58" s="493"/>
      <c r="G58" s="493"/>
      <c r="H58" s="493"/>
      <c r="I58" s="522"/>
      <c r="J58" s="522"/>
    </row>
    <row r="59" spans="1:10" s="521" customFormat="1">
      <c r="A59" s="522"/>
      <c r="B59" s="527"/>
      <c r="C59" s="492"/>
      <c r="D59" s="492"/>
      <c r="E59" s="493"/>
      <c r="F59" s="493"/>
      <c r="G59" s="493"/>
      <c r="H59" s="493"/>
      <c r="I59" s="522"/>
      <c r="J59" s="522"/>
    </row>
    <row r="60" spans="1:10" s="521" customFormat="1">
      <c r="A60" s="522"/>
      <c r="B60" s="527"/>
      <c r="C60" s="492"/>
      <c r="D60" s="492"/>
      <c r="E60" s="492"/>
      <c r="F60" s="492"/>
      <c r="G60" s="492"/>
      <c r="H60" s="492"/>
      <c r="I60" s="522"/>
      <c r="J60" s="522"/>
    </row>
    <row r="61" spans="1:10" s="521" customFormat="1">
      <c r="A61" s="522"/>
      <c r="B61" s="492"/>
      <c r="C61" s="492"/>
      <c r="D61" s="494"/>
      <c r="E61" s="492"/>
      <c r="F61" s="492"/>
      <c r="G61" s="492"/>
      <c r="H61" s="492"/>
      <c r="I61" s="522"/>
      <c r="J61" s="522"/>
    </row>
    <row r="62" spans="1:10" s="521" customFormat="1">
      <c r="A62" s="522"/>
      <c r="B62" s="522"/>
      <c r="C62" s="492"/>
      <c r="D62" s="492"/>
      <c r="E62" s="492"/>
      <c r="F62" s="492"/>
      <c r="G62" s="492"/>
      <c r="H62" s="492"/>
      <c r="I62" s="522"/>
      <c r="J62" s="522"/>
    </row>
    <row r="63" spans="1:10" s="521" customFormat="1">
      <c r="A63" s="522"/>
      <c r="B63" s="522"/>
      <c r="C63" s="492"/>
      <c r="D63" s="494"/>
      <c r="E63" s="492"/>
      <c r="F63" s="492"/>
      <c r="G63" s="492"/>
      <c r="H63" s="494"/>
      <c r="I63" s="522"/>
      <c r="J63" s="522"/>
    </row>
    <row r="64" spans="1:10" s="521" customFormat="1">
      <c r="A64" s="522"/>
      <c r="B64" s="522"/>
      <c r="C64" s="492"/>
      <c r="D64" s="494"/>
      <c r="E64" s="492"/>
      <c r="F64" s="492"/>
      <c r="G64" s="492"/>
      <c r="H64" s="492"/>
      <c r="I64" s="522"/>
      <c r="J64" s="522"/>
    </row>
    <row r="65" spans="1:10" s="521" customFormat="1">
      <c r="A65" s="522"/>
      <c r="B65" s="522"/>
      <c r="C65" s="492"/>
      <c r="D65" s="492"/>
      <c r="E65" s="492"/>
      <c r="F65" s="492"/>
      <c r="G65" s="492"/>
      <c r="H65" s="492"/>
      <c r="I65" s="522"/>
      <c r="J65" s="522"/>
    </row>
    <row r="66" spans="1:10" s="521" customFormat="1">
      <c r="A66" s="522"/>
      <c r="B66" s="522"/>
      <c r="C66" s="492"/>
      <c r="D66" s="492"/>
      <c r="E66" s="492"/>
      <c r="F66" s="492"/>
      <c r="G66" s="492"/>
      <c r="H66" s="492"/>
      <c r="I66" s="522"/>
      <c r="J66" s="522"/>
    </row>
    <row r="67" spans="1:10" s="521" customFormat="1">
      <c r="A67" s="522"/>
      <c r="B67" s="523"/>
      <c r="C67" s="492"/>
      <c r="D67" s="492"/>
      <c r="E67" s="492"/>
      <c r="F67" s="492"/>
      <c r="G67" s="492"/>
      <c r="H67" s="492"/>
      <c r="I67" s="522"/>
      <c r="J67" s="522"/>
    </row>
    <row r="68" spans="1:10" s="521" customFormat="1">
      <c r="B68" s="527"/>
      <c r="C68" s="494"/>
      <c r="D68" s="492"/>
      <c r="E68" s="492"/>
      <c r="J68" s="522"/>
    </row>
    <row r="69" spans="1:10" s="521" customFormat="1">
      <c r="A69" s="522"/>
      <c r="B69" s="492"/>
      <c r="C69" s="527"/>
      <c r="D69" s="494"/>
      <c r="E69" s="492"/>
      <c r="I69" s="526"/>
      <c r="J69" s="522"/>
    </row>
    <row r="70" spans="1:10" s="521" customFormat="1">
      <c r="A70" s="522"/>
      <c r="B70" s="522"/>
      <c r="C70" s="492"/>
      <c r="D70" s="492"/>
      <c r="E70" s="492"/>
      <c r="F70" s="492"/>
      <c r="G70" s="492"/>
      <c r="H70" s="492"/>
      <c r="I70" s="522"/>
      <c r="J70" s="522"/>
    </row>
    <row r="71" spans="1:10" s="521" customFormat="1">
      <c r="A71" s="522"/>
      <c r="B71" s="522"/>
      <c r="C71" s="492"/>
      <c r="D71" s="494"/>
      <c r="E71" s="492"/>
      <c r="F71" s="492"/>
      <c r="G71" s="492"/>
      <c r="H71" s="494"/>
      <c r="I71" s="522"/>
      <c r="J71" s="522"/>
    </row>
    <row r="72" spans="1:10" s="521" customFormat="1">
      <c r="A72" s="525"/>
      <c r="B72" s="522"/>
      <c r="C72" s="522"/>
      <c r="D72" s="522"/>
      <c r="E72" s="522"/>
      <c r="F72" s="522"/>
      <c r="G72" s="522"/>
      <c r="H72" s="522"/>
      <c r="I72" s="522"/>
      <c r="J72" s="522"/>
    </row>
    <row r="73" spans="1:10" s="521" customFormat="1">
      <c r="A73" s="525"/>
      <c r="B73" s="522"/>
      <c r="C73" s="522"/>
      <c r="D73" s="522"/>
      <c r="E73" s="522"/>
      <c r="F73" s="522"/>
      <c r="G73" s="522"/>
      <c r="H73" s="522"/>
      <c r="I73" s="522"/>
      <c r="J73" s="522"/>
    </row>
    <row r="74" spans="1:10" s="521" customFormat="1">
      <c r="A74" s="524"/>
      <c r="B74" s="522"/>
      <c r="C74" s="522"/>
      <c r="D74" s="522"/>
      <c r="E74" s="522"/>
      <c r="F74" s="522"/>
      <c r="G74" s="522"/>
      <c r="H74" s="522"/>
      <c r="I74" s="522"/>
      <c r="J74" s="522"/>
    </row>
    <row r="75" spans="1:10" s="521" customFormat="1">
      <c r="A75" s="522"/>
      <c r="B75" s="522"/>
      <c r="C75" s="492"/>
      <c r="D75" s="493"/>
      <c r="E75" s="493"/>
      <c r="F75" s="493"/>
      <c r="G75" s="493"/>
      <c r="H75" s="493"/>
      <c r="I75" s="522"/>
      <c r="J75" s="522"/>
    </row>
    <row r="76" spans="1:10" s="521" customFormat="1">
      <c r="A76" s="522"/>
      <c r="B76" s="523"/>
      <c r="C76" s="492"/>
      <c r="D76" s="493"/>
      <c r="E76" s="493"/>
      <c r="F76" s="493"/>
      <c r="G76" s="493"/>
      <c r="H76" s="493"/>
      <c r="I76" s="522"/>
      <c r="J76" s="522"/>
    </row>
    <row r="77" spans="1:10" s="521" customFormat="1">
      <c r="A77" s="522"/>
      <c r="B77" s="523"/>
      <c r="C77" s="492"/>
      <c r="D77" s="492"/>
      <c r="E77" s="492"/>
      <c r="F77" s="492"/>
      <c r="G77" s="492"/>
      <c r="H77" s="492"/>
      <c r="I77" s="522"/>
      <c r="J77" s="522"/>
    </row>
    <row r="78" spans="1:10" s="521" customFormat="1">
      <c r="B78" s="522"/>
      <c r="C78" s="492"/>
      <c r="D78" s="492"/>
      <c r="E78" s="492"/>
      <c r="F78" s="492"/>
      <c r="G78" s="492"/>
      <c r="H78" s="492"/>
      <c r="I78" s="522"/>
      <c r="J78" s="522"/>
    </row>
    <row r="79" spans="1:10" s="521" customFormat="1">
      <c r="A79" s="522"/>
      <c r="B79" s="522"/>
      <c r="C79" s="492"/>
      <c r="D79" s="494"/>
      <c r="E79" s="492"/>
      <c r="F79" s="492"/>
      <c r="G79" s="492"/>
      <c r="H79" s="494"/>
      <c r="I79" s="522"/>
      <c r="J79" s="522"/>
    </row>
    <row r="80" spans="1:10" s="521" customFormat="1">
      <c r="A80" s="522"/>
      <c r="B80" s="522"/>
      <c r="C80" s="492"/>
      <c r="D80" s="494"/>
      <c r="E80" s="492"/>
      <c r="F80" s="492"/>
      <c r="G80" s="492"/>
      <c r="H80" s="494"/>
      <c r="I80" s="522"/>
      <c r="J80" s="522"/>
    </row>
    <row r="81" spans="1:10" s="521" customFormat="1">
      <c r="A81" s="522"/>
      <c r="B81" s="522"/>
      <c r="C81" s="492"/>
      <c r="D81" s="494"/>
      <c r="E81" s="492"/>
      <c r="F81" s="492"/>
      <c r="G81" s="492"/>
      <c r="H81" s="494"/>
      <c r="I81" s="522"/>
      <c r="J81" s="522"/>
    </row>
    <row r="82" spans="1:10" s="521" customFormat="1">
      <c r="A82" s="522"/>
      <c r="B82" s="522"/>
      <c r="C82" s="492"/>
      <c r="D82" s="494"/>
      <c r="E82" s="492"/>
      <c r="F82" s="492"/>
      <c r="G82" s="492"/>
      <c r="H82" s="494"/>
      <c r="I82" s="522"/>
      <c r="J82" s="522"/>
    </row>
    <row r="83" spans="1:10" s="521" customFormat="1">
      <c r="A83" s="522"/>
      <c r="B83" s="522"/>
      <c r="C83" s="492"/>
      <c r="D83" s="492"/>
      <c r="E83" s="492"/>
      <c r="F83" s="492"/>
      <c r="G83" s="492"/>
      <c r="H83" s="494"/>
      <c r="I83" s="522"/>
      <c r="J83" s="522"/>
    </row>
    <row r="84" spans="1:10" s="521" customFormat="1">
      <c r="A84" s="522"/>
      <c r="B84" s="522"/>
      <c r="C84" s="492"/>
      <c r="D84" s="492"/>
      <c r="E84" s="492"/>
      <c r="F84" s="492"/>
      <c r="G84" s="492"/>
      <c r="H84" s="492"/>
      <c r="I84" s="522"/>
    </row>
    <row r="85" spans="1:10" s="521" customFormat="1">
      <c r="A85" s="522"/>
      <c r="B85" s="522"/>
      <c r="C85" s="492"/>
      <c r="D85" s="494"/>
      <c r="E85" s="492"/>
      <c r="F85" s="492"/>
      <c r="G85" s="492"/>
      <c r="H85" s="494"/>
      <c r="I85" s="522"/>
    </row>
    <row r="86" spans="1:10" s="521" customFormat="1"/>
    <row r="87" spans="1:10" s="521" customFormat="1">
      <c r="A87" s="522"/>
      <c r="B87" s="522"/>
      <c r="C87" s="522"/>
      <c r="D87" s="522"/>
      <c r="E87" s="522"/>
      <c r="F87" s="522"/>
      <c r="G87" s="522"/>
      <c r="H87" s="522"/>
      <c r="I87" s="522"/>
      <c r="J87" s="522"/>
    </row>
    <row r="88" spans="1:10" s="521" customFormat="1">
      <c r="A88" s="522"/>
      <c r="B88" s="522"/>
      <c r="C88" s="522"/>
      <c r="D88" s="522"/>
      <c r="E88" s="522"/>
      <c r="F88" s="522"/>
      <c r="G88" s="522"/>
      <c r="H88" s="522"/>
      <c r="I88" s="522"/>
      <c r="J88" s="522"/>
    </row>
    <row r="89" spans="1:10">
      <c r="A89" s="520"/>
      <c r="B89" s="520"/>
      <c r="C89" s="520"/>
      <c r="D89" s="520"/>
      <c r="E89" s="520"/>
      <c r="F89" s="520"/>
      <c r="G89" s="520"/>
      <c r="H89" s="520"/>
      <c r="I89" s="520"/>
      <c r="J89" s="520"/>
    </row>
  </sheetData>
  <sheetProtection password="CE8E" sheet="1"/>
  <mergeCells count="1">
    <mergeCell ref="H10:H11"/>
  </mergeCells>
  <pageMargins left="0.7" right="0.7" top="0.75" bottom="0.75" header="0.3" footer="0.3"/>
  <ignoredErrors>
    <ignoredError sqref="F13:F14 F16:F17 D21:D22 D19:G19 B21:B22 D26 D27:D28 D29:D37 B38:D38 D42:D53 F42:F53 B54:F54 G21:G22" unlocked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N77"/>
  <sheetViews>
    <sheetView topLeftCell="A7" workbookViewId="0">
      <selection activeCell="K36" sqref="K36"/>
    </sheetView>
  </sheetViews>
  <sheetFormatPr defaultColWidth="9.140625" defaultRowHeight="12.75"/>
  <cols>
    <col min="1" max="1" width="12" style="672" customWidth="1"/>
    <col min="2" max="2" width="13.7109375" style="672" bestFit="1" customWidth="1"/>
    <col min="3" max="4" width="11.28515625" style="672" bestFit="1" customWidth="1"/>
    <col min="5" max="5" width="10.28515625" style="672" bestFit="1" customWidth="1"/>
    <col min="6" max="6" width="9.140625" style="672"/>
    <col min="7" max="7" width="13.7109375" style="672" bestFit="1" customWidth="1"/>
    <col min="8" max="8" width="4.140625" style="672" bestFit="1" customWidth="1"/>
    <col min="9" max="9" width="11.28515625" style="672" bestFit="1" customWidth="1"/>
    <col min="10" max="10" width="4.140625" style="672" bestFit="1" customWidth="1"/>
    <col min="11" max="11" width="12.28515625" style="672" bestFit="1" customWidth="1"/>
    <col min="12" max="12" width="5.42578125" style="672" bestFit="1" customWidth="1"/>
    <col min="13" max="13" width="11.85546875" style="672" bestFit="1" customWidth="1"/>
    <col min="14" max="14" width="10.28515625" style="672" bestFit="1" customWidth="1"/>
    <col min="15" max="16384" width="9.140625" style="672"/>
  </cols>
  <sheetData>
    <row r="1" spans="1:14">
      <c r="A1" s="512" t="str">
        <f>Summary!A1</f>
        <v>Design-spectrum Limited</v>
      </c>
      <c r="C1" s="673"/>
      <c r="M1" s="674" t="s">
        <v>89</v>
      </c>
    </row>
    <row r="2" spans="1:14">
      <c r="A2" s="518" t="s">
        <v>90</v>
      </c>
      <c r="C2" s="673"/>
      <c r="M2" s="674" t="s">
        <v>91</v>
      </c>
      <c r="N2" s="675">
        <f ca="1">TODAY()</f>
        <v>43500</v>
      </c>
    </row>
    <row r="3" spans="1:14">
      <c r="A3" s="518" t="s">
        <v>92</v>
      </c>
      <c r="B3" s="517">
        <f>'Oct 18'!C4</f>
        <v>43381</v>
      </c>
      <c r="C3" s="673"/>
    </row>
    <row r="5" spans="1:14" s="694" customFormat="1">
      <c r="A5" s="518" t="s">
        <v>138</v>
      </c>
      <c r="B5" s="545"/>
      <c r="C5" s="545"/>
      <c r="D5" s="545"/>
      <c r="E5" s="545"/>
      <c r="F5" s="545"/>
      <c r="G5" s="545" t="s">
        <v>435</v>
      </c>
      <c r="H5" s="545"/>
      <c r="I5" s="698"/>
      <c r="J5" s="698"/>
      <c r="K5" s="698"/>
      <c r="L5" s="698"/>
      <c r="M5" s="698"/>
      <c r="N5" s="698"/>
    </row>
    <row r="6" spans="1:14" s="694" customFormat="1">
      <c r="B6" s="670" t="s">
        <v>431</v>
      </c>
      <c r="C6" s="671" t="s">
        <v>228</v>
      </c>
      <c r="D6" s="671" t="s">
        <v>229</v>
      </c>
      <c r="E6" s="671" t="s">
        <v>17</v>
      </c>
      <c r="F6" s="671"/>
      <c r="G6" s="682" t="s">
        <v>436</v>
      </c>
      <c r="H6" s="671"/>
      <c r="I6" s="671" t="s">
        <v>88</v>
      </c>
      <c r="J6" s="671"/>
      <c r="K6" s="671" t="s">
        <v>357</v>
      </c>
      <c r="L6" s="671"/>
      <c r="M6" s="671" t="s">
        <v>434</v>
      </c>
      <c r="N6" s="671" t="s">
        <v>184</v>
      </c>
    </row>
    <row r="7" spans="1:14">
      <c r="B7" s="673"/>
      <c r="C7" s="682"/>
      <c r="D7" s="682"/>
      <c r="E7" s="682"/>
      <c r="F7" s="682"/>
      <c r="G7" s="682"/>
      <c r="H7" s="682"/>
      <c r="I7" s="682"/>
      <c r="J7" s="683" t="s">
        <v>358</v>
      </c>
      <c r="K7" s="682">
        <f>'Control Accounts'!H8</f>
        <v>6969.6</v>
      </c>
      <c r="L7" s="516"/>
      <c r="M7" s="684">
        <f>Summary!S13</f>
        <v>6969.6</v>
      </c>
      <c r="N7" s="682"/>
    </row>
    <row r="8" spans="1:14">
      <c r="B8" s="673"/>
      <c r="C8" s="676"/>
      <c r="D8" s="676"/>
      <c r="E8" s="676"/>
      <c r="F8" s="676"/>
      <c r="G8" s="676"/>
      <c r="H8" s="676"/>
      <c r="I8" s="676"/>
      <c r="J8" s="516"/>
      <c r="K8" s="516"/>
      <c r="L8" s="516"/>
      <c r="M8" s="516"/>
      <c r="N8" s="677"/>
    </row>
    <row r="9" spans="1:14">
      <c r="A9" s="672" t="s">
        <v>359</v>
      </c>
      <c r="B9" s="229">
        <v>43040</v>
      </c>
      <c r="C9" s="676">
        <f>Summary!C12</f>
        <v>0</v>
      </c>
      <c r="D9" s="676">
        <f>C9+E9</f>
        <v>0</v>
      </c>
      <c r="E9" s="676">
        <f>C9*0.2</f>
        <v>0</v>
      </c>
      <c r="F9" s="676"/>
      <c r="G9" s="676"/>
      <c r="H9" s="676"/>
      <c r="I9" s="676">
        <f>D9+G9</f>
        <v>0</v>
      </c>
      <c r="J9" s="676"/>
      <c r="K9" s="516">
        <f t="shared" ref="K9" si="0">I9*0.165</f>
        <v>0</v>
      </c>
      <c r="L9" s="516"/>
      <c r="M9" s="516"/>
      <c r="N9" s="516"/>
    </row>
    <row r="10" spans="1:14">
      <c r="A10" s="515"/>
      <c r="B10" s="229">
        <v>43071</v>
      </c>
      <c r="C10" s="676">
        <f>Summary!C13</f>
        <v>19250</v>
      </c>
      <c r="D10" s="676">
        <f>C10+E10</f>
        <v>23100</v>
      </c>
      <c r="E10" s="676">
        <f>C10*0.2</f>
        <v>3850</v>
      </c>
      <c r="F10" s="516"/>
      <c r="G10" s="516"/>
      <c r="H10" s="516"/>
      <c r="I10" s="676">
        <f>D10+G10</f>
        <v>23100</v>
      </c>
      <c r="J10" s="676"/>
      <c r="K10" s="516">
        <f>I10*0.165</f>
        <v>3811.5</v>
      </c>
      <c r="L10" s="516"/>
      <c r="M10" s="516"/>
      <c r="N10" s="516"/>
    </row>
    <row r="11" spans="1:14">
      <c r="A11" s="515"/>
      <c r="B11" s="229">
        <v>43102</v>
      </c>
      <c r="C11" s="676">
        <f>Summary!C14</f>
        <v>0</v>
      </c>
      <c r="D11" s="679">
        <f>C11+E11</f>
        <v>0</v>
      </c>
      <c r="E11" s="679">
        <f>C11*0.2</f>
        <v>0</v>
      </c>
      <c r="F11" s="516"/>
      <c r="G11" s="679"/>
      <c r="H11" s="516"/>
      <c r="I11" s="679">
        <f>D11+G11</f>
        <v>0</v>
      </c>
      <c r="J11" s="516"/>
      <c r="K11" s="516">
        <f t="shared" ref="K11" si="1">I11*0.165</f>
        <v>0</v>
      </c>
      <c r="L11" s="516"/>
      <c r="M11" s="516"/>
      <c r="N11" s="516"/>
    </row>
    <row r="12" spans="1:14">
      <c r="A12" s="515"/>
      <c r="C12" s="516">
        <f>SUM(C9:C11)</f>
        <v>19250</v>
      </c>
      <c r="D12" s="516">
        <f>SUM(D9:D11)</f>
        <v>23100</v>
      </c>
      <c r="E12" s="516">
        <f>SUM(E9:E11)</f>
        <v>3850</v>
      </c>
      <c r="F12" s="516"/>
      <c r="G12" s="516">
        <f>SUM(G9:G11)</f>
        <v>0</v>
      </c>
      <c r="H12" s="516"/>
      <c r="I12" s="516">
        <f>SUM(I9:I11)</f>
        <v>23100</v>
      </c>
      <c r="J12" s="516"/>
      <c r="K12" s="516">
        <f>SUM(K9:K11)</f>
        <v>3811.5</v>
      </c>
      <c r="L12" s="516"/>
      <c r="M12" s="516">
        <f>Summary!S16</f>
        <v>3811.5</v>
      </c>
      <c r="N12" s="516">
        <f>K12+K7-M12-M7</f>
        <v>0</v>
      </c>
    </row>
    <row r="13" spans="1:14">
      <c r="C13" s="678"/>
      <c r="D13" s="678"/>
      <c r="E13" s="678"/>
      <c r="F13" s="676"/>
      <c r="G13" s="678"/>
      <c r="H13" s="676"/>
      <c r="I13" s="678"/>
      <c r="J13" s="516"/>
      <c r="K13" s="678"/>
      <c r="L13" s="516"/>
      <c r="M13" s="516"/>
      <c r="N13" s="516"/>
    </row>
    <row r="14" spans="1:14">
      <c r="A14" s="672" t="s">
        <v>360</v>
      </c>
      <c r="B14" s="229">
        <v>43133</v>
      </c>
      <c r="C14" s="516">
        <f>Summary!C15</f>
        <v>13200</v>
      </c>
      <c r="D14" s="516">
        <f>C14+E14</f>
        <v>15840</v>
      </c>
      <c r="E14" s="516">
        <f>C14*0.2</f>
        <v>2640</v>
      </c>
      <c r="F14" s="516"/>
      <c r="G14" s="516"/>
      <c r="H14" s="516"/>
      <c r="I14" s="516">
        <f>D14+G14</f>
        <v>15840</v>
      </c>
      <c r="J14" s="516"/>
      <c r="K14" s="516">
        <f t="shared" ref="K14" si="2">I14*0.165</f>
        <v>2613.6</v>
      </c>
      <c r="L14" s="516"/>
      <c r="M14" s="516"/>
      <c r="N14" s="516"/>
    </row>
    <row r="15" spans="1:14">
      <c r="A15" s="515"/>
      <c r="B15" s="229">
        <v>43164</v>
      </c>
      <c r="C15" s="516">
        <f>Summary!C16</f>
        <v>11000</v>
      </c>
      <c r="D15" s="516">
        <f>C15+E15</f>
        <v>13200</v>
      </c>
      <c r="E15" s="516">
        <f>C15*0.2</f>
        <v>2200</v>
      </c>
      <c r="F15" s="516"/>
      <c r="G15" s="516"/>
      <c r="H15" s="516"/>
      <c r="I15" s="516">
        <f>D15+G15</f>
        <v>13200</v>
      </c>
      <c r="J15" s="516"/>
      <c r="K15" s="516">
        <f>I15*0.165</f>
        <v>2178</v>
      </c>
      <c r="L15" s="516"/>
      <c r="M15" s="516"/>
      <c r="N15" s="516"/>
    </row>
    <row r="16" spans="1:14">
      <c r="A16" s="515"/>
      <c r="B16" s="229">
        <v>43195</v>
      </c>
      <c r="C16" s="516">
        <f>Summary!C17</f>
        <v>11550</v>
      </c>
      <c r="D16" s="679">
        <f>C16+E16</f>
        <v>13860</v>
      </c>
      <c r="E16" s="679">
        <f>C16*0.2</f>
        <v>2310</v>
      </c>
      <c r="F16" s="516"/>
      <c r="G16" s="679"/>
      <c r="H16" s="516"/>
      <c r="I16" s="679">
        <f>D16+G16</f>
        <v>13860</v>
      </c>
      <c r="J16" s="516"/>
      <c r="K16" s="679">
        <f t="shared" ref="K16" si="3">I16*0.165</f>
        <v>2286.9</v>
      </c>
      <c r="L16" s="516"/>
      <c r="M16" s="516"/>
      <c r="N16" s="516"/>
    </row>
    <row r="17" spans="1:14">
      <c r="A17" s="515"/>
      <c r="C17" s="679">
        <f>SUM(C14:C16)</f>
        <v>35750</v>
      </c>
      <c r="D17" s="516">
        <f>SUM(D14:D16)</f>
        <v>42900</v>
      </c>
      <c r="E17" s="679">
        <f>SUM(E14:E16)</f>
        <v>7150</v>
      </c>
      <c r="F17" s="676"/>
      <c r="G17" s="676">
        <f>SUM(G14:G16)</f>
        <v>0</v>
      </c>
      <c r="H17" s="676"/>
      <c r="I17" s="516">
        <f>SUM(I14:I16)</f>
        <v>42900</v>
      </c>
      <c r="J17" s="516"/>
      <c r="K17" s="516">
        <f>SUM(K14:K16)</f>
        <v>7078.5</v>
      </c>
      <c r="L17" s="516"/>
      <c r="M17" s="516">
        <f>Summary!S19</f>
        <v>7078.5</v>
      </c>
      <c r="N17" s="516">
        <f>K17-M17</f>
        <v>0</v>
      </c>
    </row>
    <row r="18" spans="1:14">
      <c r="A18" s="515"/>
      <c r="C18" s="678"/>
      <c r="D18" s="678"/>
      <c r="E18" s="516"/>
      <c r="F18" s="516"/>
      <c r="G18" s="678"/>
      <c r="H18" s="516"/>
      <c r="I18" s="678"/>
      <c r="J18" s="516"/>
      <c r="K18" s="678"/>
      <c r="L18" s="516"/>
      <c r="M18" s="516"/>
      <c r="N18" s="516"/>
    </row>
    <row r="19" spans="1:14">
      <c r="A19" s="672" t="s">
        <v>361</v>
      </c>
      <c r="B19" s="229">
        <v>43226</v>
      </c>
      <c r="C19" s="516">
        <f>Summary!C18</f>
        <v>0</v>
      </c>
      <c r="D19" s="516">
        <f>C19+E19</f>
        <v>0</v>
      </c>
      <c r="E19" s="516">
        <f>C19*0.2</f>
        <v>0</v>
      </c>
      <c r="F19" s="516"/>
      <c r="G19" s="516"/>
      <c r="H19" s="516"/>
      <c r="I19" s="516">
        <f>D19+G19</f>
        <v>0</v>
      </c>
      <c r="J19" s="516"/>
      <c r="K19" s="516">
        <f t="shared" ref="K19" si="4">I19*0.165</f>
        <v>0</v>
      </c>
      <c r="L19" s="516"/>
      <c r="M19" s="516"/>
      <c r="N19" s="516"/>
    </row>
    <row r="20" spans="1:14">
      <c r="A20" s="515"/>
      <c r="B20" s="229">
        <v>43257</v>
      </c>
      <c r="C20" s="516">
        <f>Summary!C19</f>
        <v>20900</v>
      </c>
      <c r="D20" s="516">
        <f>C20+E20</f>
        <v>25080</v>
      </c>
      <c r="E20" s="516">
        <f>C20*0.2</f>
        <v>4180</v>
      </c>
      <c r="F20" s="516"/>
      <c r="G20" s="516"/>
      <c r="H20" s="516"/>
      <c r="I20" s="516">
        <f>D20+G20</f>
        <v>25080</v>
      </c>
      <c r="J20" s="516"/>
      <c r="K20" s="516">
        <f>I20*0.165</f>
        <v>4138.2</v>
      </c>
      <c r="L20" s="516"/>
      <c r="M20" s="516"/>
      <c r="N20" s="516"/>
    </row>
    <row r="21" spans="1:14">
      <c r="A21" s="515"/>
      <c r="B21" s="229">
        <v>43288</v>
      </c>
      <c r="C21" s="516">
        <f>Summary!C20</f>
        <v>0</v>
      </c>
      <c r="D21" s="679">
        <f>C21+E21</f>
        <v>0</v>
      </c>
      <c r="E21" s="679">
        <f>C21*0.2</f>
        <v>0</v>
      </c>
      <c r="F21" s="516"/>
      <c r="G21" s="679"/>
      <c r="H21" s="516"/>
      <c r="I21" s="679">
        <f>D21+G21</f>
        <v>0</v>
      </c>
      <c r="J21" s="516"/>
      <c r="K21" s="679">
        <f t="shared" ref="K21" si="5">I21*0.165</f>
        <v>0</v>
      </c>
      <c r="L21" s="516"/>
      <c r="M21" s="516"/>
      <c r="N21" s="516"/>
    </row>
    <row r="22" spans="1:14">
      <c r="A22" s="515"/>
      <c r="C22" s="679">
        <f>SUM(C19:C21)</f>
        <v>20900</v>
      </c>
      <c r="D22" s="516">
        <f>SUM(D19:D21)</f>
        <v>25080</v>
      </c>
      <c r="E22" s="679">
        <f>SUM(E19:E21)</f>
        <v>4180</v>
      </c>
      <c r="F22" s="676"/>
      <c r="G22" s="676">
        <f>SUM(G19:G21)</f>
        <v>0</v>
      </c>
      <c r="H22" s="676"/>
      <c r="I22" s="516">
        <f>SUM(I19:I21)</f>
        <v>25080</v>
      </c>
      <c r="J22" s="516"/>
      <c r="K22" s="516">
        <f>SUM(K19:K21)</f>
        <v>4138.2</v>
      </c>
      <c r="L22" s="516"/>
      <c r="M22" s="516">
        <f>Summary!S22</f>
        <v>4138.2</v>
      </c>
      <c r="N22" s="516">
        <f>K22-M22</f>
        <v>0</v>
      </c>
    </row>
    <row r="23" spans="1:14">
      <c r="C23" s="678"/>
      <c r="D23" s="678"/>
      <c r="E23" s="516"/>
      <c r="F23" s="516"/>
      <c r="G23" s="678"/>
      <c r="H23" s="516"/>
      <c r="I23" s="678"/>
      <c r="J23" s="516"/>
      <c r="K23" s="678"/>
      <c r="L23" s="516"/>
      <c r="M23" s="516"/>
      <c r="N23" s="516"/>
    </row>
    <row r="24" spans="1:14">
      <c r="A24" s="672" t="s">
        <v>362</v>
      </c>
      <c r="B24" s="229">
        <v>43319</v>
      </c>
      <c r="C24" s="516">
        <f>Summary!C21</f>
        <v>19250</v>
      </c>
      <c r="D24" s="516">
        <f>C24+E24</f>
        <v>23100</v>
      </c>
      <c r="E24" s="516">
        <f>C24*0.2</f>
        <v>3850</v>
      </c>
      <c r="F24" s="516"/>
      <c r="G24" s="516"/>
      <c r="H24" s="516"/>
      <c r="I24" s="516">
        <f>D24+G24</f>
        <v>23100</v>
      </c>
      <c r="J24" s="516"/>
      <c r="K24" s="516">
        <f t="shared" ref="K24" si="6">I24*0.165</f>
        <v>3811.5</v>
      </c>
      <c r="L24" s="516"/>
      <c r="M24" s="516"/>
      <c r="N24" s="516"/>
    </row>
    <row r="25" spans="1:14">
      <c r="A25" s="515"/>
      <c r="B25" s="229">
        <v>43350</v>
      </c>
      <c r="C25" s="516">
        <f>Summary!C22</f>
        <v>13200</v>
      </c>
      <c r="D25" s="516">
        <f>C25+E25</f>
        <v>15840</v>
      </c>
      <c r="E25" s="516">
        <f>C25*0.2</f>
        <v>2640</v>
      </c>
      <c r="F25" s="516"/>
      <c r="G25" s="516"/>
      <c r="H25" s="516"/>
      <c r="I25" s="516">
        <f>D25+G25</f>
        <v>15840</v>
      </c>
      <c r="J25" s="516"/>
      <c r="K25" s="516">
        <f>I25*0.165</f>
        <v>2613.6</v>
      </c>
      <c r="L25" s="516"/>
      <c r="M25" s="516"/>
      <c r="N25" s="516"/>
    </row>
    <row r="26" spans="1:14" ht="13.5" thickBot="1">
      <c r="A26" s="515"/>
      <c r="B26" s="230">
        <v>43381</v>
      </c>
      <c r="C26" s="516">
        <f>Summary!C23</f>
        <v>19250</v>
      </c>
      <c r="D26" s="679">
        <f>C26+E26</f>
        <v>23100</v>
      </c>
      <c r="E26" s="679">
        <f>C26*0.2</f>
        <v>3850</v>
      </c>
      <c r="F26" s="516"/>
      <c r="G26" s="679"/>
      <c r="H26" s="516"/>
      <c r="I26" s="679">
        <f>D26+G26</f>
        <v>23100</v>
      </c>
      <c r="J26" s="516"/>
      <c r="K26" s="679">
        <f t="shared" ref="K26" si="7">I26*0.165</f>
        <v>3811.5</v>
      </c>
      <c r="L26" s="516"/>
      <c r="M26" s="516"/>
      <c r="N26" s="516"/>
    </row>
    <row r="27" spans="1:14">
      <c r="A27" s="515"/>
      <c r="B27" s="673"/>
      <c r="C27" s="679">
        <f>SUM(C24:C26)</f>
        <v>51700</v>
      </c>
      <c r="D27" s="516">
        <f>SUM(D24:D26)</f>
        <v>62040</v>
      </c>
      <c r="E27" s="679">
        <f>SUM(E24:E26)</f>
        <v>10340</v>
      </c>
      <c r="F27" s="676"/>
      <c r="G27" s="676">
        <f>SUM(G24:G26)</f>
        <v>0</v>
      </c>
      <c r="H27" s="676"/>
      <c r="I27" s="516">
        <f>SUM(I24:I26)</f>
        <v>62040</v>
      </c>
      <c r="J27" s="516"/>
      <c r="K27" s="516">
        <f>SUM(K24:K26)</f>
        <v>10236.6</v>
      </c>
      <c r="L27" s="516"/>
      <c r="M27" s="516"/>
      <c r="N27" s="516">
        <f>K27-M27</f>
        <v>10236.6</v>
      </c>
    </row>
    <row r="28" spans="1:14">
      <c r="B28" s="673"/>
      <c r="C28" s="678"/>
      <c r="D28" s="678"/>
      <c r="E28" s="516"/>
      <c r="F28" s="516"/>
      <c r="G28" s="678"/>
      <c r="H28" s="516"/>
      <c r="I28" s="678"/>
      <c r="J28" s="516"/>
      <c r="K28" s="678"/>
      <c r="L28" s="516"/>
      <c r="M28" s="516"/>
      <c r="N28" s="516"/>
    </row>
    <row r="29" spans="1:14">
      <c r="A29" s="672" t="s">
        <v>363</v>
      </c>
      <c r="B29" s="673"/>
      <c r="C29" s="516"/>
      <c r="D29" s="516">
        <f>C29+E29</f>
        <v>0</v>
      </c>
      <c r="E29" s="516">
        <f>C29*0.2</f>
        <v>0</v>
      </c>
      <c r="F29" s="516"/>
      <c r="G29" s="516"/>
      <c r="H29" s="516"/>
      <c r="I29" s="516">
        <f>E29+G29</f>
        <v>0</v>
      </c>
      <c r="J29" s="516"/>
      <c r="K29" s="676">
        <f>I29*0.145</f>
        <v>0</v>
      </c>
      <c r="L29" s="516"/>
      <c r="M29" s="516"/>
      <c r="N29" s="516"/>
    </row>
    <row r="30" spans="1:14">
      <c r="A30" s="515"/>
      <c r="B30" s="673"/>
      <c r="C30" s="516"/>
      <c r="D30" s="516">
        <f>C30+E30</f>
        <v>0</v>
      </c>
      <c r="E30" s="516">
        <f>C30*0.2</f>
        <v>0</v>
      </c>
      <c r="F30" s="516"/>
      <c r="G30" s="516"/>
      <c r="H30" s="516"/>
      <c r="I30" s="516">
        <f>E30+G30</f>
        <v>0</v>
      </c>
      <c r="J30" s="516"/>
      <c r="K30" s="516">
        <f>I30*0.145</f>
        <v>0</v>
      </c>
      <c r="L30" s="516"/>
      <c r="M30" s="516"/>
      <c r="N30" s="516"/>
    </row>
    <row r="31" spans="1:14">
      <c r="A31" s="515"/>
      <c r="B31" s="680"/>
      <c r="C31" s="516"/>
      <c r="D31" s="516">
        <f>C31+E31</f>
        <v>0</v>
      </c>
      <c r="E31" s="516">
        <f>C31*0.2</f>
        <v>0</v>
      </c>
      <c r="F31" s="516"/>
      <c r="G31" s="516"/>
      <c r="H31" s="516"/>
      <c r="I31" s="516">
        <f>E31+G31</f>
        <v>0</v>
      </c>
      <c r="J31" s="516"/>
      <c r="K31" s="516">
        <f>I31*0.145</f>
        <v>0</v>
      </c>
      <c r="L31" s="516"/>
      <c r="M31" s="516"/>
      <c r="N31" s="516"/>
    </row>
    <row r="32" spans="1:14">
      <c r="A32" s="515"/>
      <c r="B32" s="680"/>
      <c r="C32" s="516">
        <f>SUM(C29:C31)</f>
        <v>0</v>
      </c>
      <c r="D32" s="516">
        <f>SUM(D29:D31)</f>
        <v>0</v>
      </c>
      <c r="E32" s="516">
        <f>SUM(E29:E31)</f>
        <v>0</v>
      </c>
      <c r="F32" s="516"/>
      <c r="G32" s="516">
        <f>SUM(G29:G31)</f>
        <v>0</v>
      </c>
      <c r="H32" s="516"/>
      <c r="I32" s="516">
        <f>SUM(I29:I31)</f>
        <v>0</v>
      </c>
      <c r="J32" s="516"/>
      <c r="K32" s="516">
        <f>SUM(K29:K31)</f>
        <v>0</v>
      </c>
      <c r="L32" s="516"/>
      <c r="M32" s="516"/>
      <c r="N32" s="516">
        <f>K32-M32</f>
        <v>0</v>
      </c>
    </row>
    <row r="33" spans="1:14">
      <c r="B33" s="673"/>
      <c r="C33" s="678"/>
      <c r="D33" s="678"/>
      <c r="E33" s="678"/>
      <c r="F33" s="676"/>
      <c r="G33" s="678"/>
      <c r="H33" s="676"/>
      <c r="I33" s="678"/>
      <c r="J33" s="516"/>
      <c r="K33" s="678"/>
      <c r="L33" s="516"/>
      <c r="M33" s="516"/>
      <c r="N33" s="516"/>
    </row>
    <row r="34" spans="1:14">
      <c r="A34" s="672" t="s">
        <v>26</v>
      </c>
      <c r="B34" s="673"/>
      <c r="C34" s="681">
        <f>C12+C17+C22+C27+C32</f>
        <v>127600</v>
      </c>
      <c r="D34" s="681">
        <f>D12+D17+D22+D27+D32</f>
        <v>153120</v>
      </c>
      <c r="E34" s="681">
        <f>E12+E17+E22+E27+E32</f>
        <v>25520</v>
      </c>
      <c r="F34" s="516"/>
      <c r="G34" s="681">
        <f>G12+G17+G22+G27+G32</f>
        <v>0</v>
      </c>
      <c r="H34" s="516"/>
      <c r="I34" s="681">
        <f>I12+I17+I22+I27+I32</f>
        <v>153120</v>
      </c>
      <c r="J34" s="516"/>
      <c r="K34" s="681">
        <f>+K12+K17+K22+K27+K32</f>
        <v>25264.800000000003</v>
      </c>
      <c r="L34" s="516"/>
      <c r="M34" s="681">
        <f>SUM(M7:M33)</f>
        <v>21997.8</v>
      </c>
      <c r="N34" s="681">
        <f>SUM(N7:N33)</f>
        <v>10236.6</v>
      </c>
    </row>
    <row r="35" spans="1:14">
      <c r="B35" s="673"/>
      <c r="C35" s="681"/>
      <c r="D35" s="681"/>
      <c r="E35" s="681"/>
      <c r="F35" s="676"/>
      <c r="G35" s="681"/>
      <c r="H35" s="676"/>
      <c r="I35" s="678"/>
      <c r="J35" s="516"/>
      <c r="K35" s="678"/>
      <c r="L35" s="676"/>
      <c r="M35" s="678"/>
      <c r="N35" s="678"/>
    </row>
    <row r="36" spans="1:14">
      <c r="A36" s="672" t="s">
        <v>364</v>
      </c>
      <c r="B36" s="673"/>
      <c r="C36" s="516">
        <f>Summary!B24+Summary!C24</f>
        <v>127600</v>
      </c>
      <c r="D36" s="516">
        <f>Summary!D24</f>
        <v>153120</v>
      </c>
      <c r="E36" s="516">
        <f>Summary!E24</f>
        <v>25520</v>
      </c>
      <c r="F36" s="516"/>
      <c r="G36" s="681">
        <v>0</v>
      </c>
      <c r="H36" s="516"/>
      <c r="I36" s="516"/>
      <c r="J36" s="516"/>
      <c r="K36" s="516">
        <f>E34-K34</f>
        <v>255.19999999999709</v>
      </c>
      <c r="L36" s="516"/>
      <c r="M36" s="516"/>
      <c r="N36" s="516"/>
    </row>
    <row r="37" spans="1:14">
      <c r="B37" s="673"/>
      <c r="C37" s="516"/>
      <c r="D37" s="516"/>
      <c r="E37" s="516"/>
      <c r="F37" s="516"/>
      <c r="G37" s="516"/>
      <c r="H37" s="516"/>
      <c r="I37" s="516"/>
      <c r="J37" s="516"/>
      <c r="K37" s="516"/>
      <c r="L37" s="516"/>
      <c r="M37" s="516"/>
      <c r="N37" s="516"/>
    </row>
    <row r="38" spans="1:14">
      <c r="A38" s="672" t="s">
        <v>365</v>
      </c>
      <c r="B38" s="673"/>
      <c r="C38" s="681">
        <f>C34-C36</f>
        <v>0</v>
      </c>
      <c r="D38" s="681">
        <f>D34-D36</f>
        <v>0</v>
      </c>
      <c r="E38" s="681">
        <f>E34-E36</f>
        <v>0</v>
      </c>
      <c r="F38" s="516"/>
      <c r="G38" s="681">
        <f>G34-G36</f>
        <v>0</v>
      </c>
      <c r="H38" s="516"/>
      <c r="I38" s="516"/>
    </row>
    <row r="39" spans="1:14">
      <c r="A39" s="699" t="s">
        <v>366</v>
      </c>
      <c r="B39" s="673"/>
      <c r="C39" s="701"/>
      <c r="D39" s="701"/>
      <c r="E39" s="701"/>
      <c r="F39" s="514"/>
      <c r="G39" s="701"/>
      <c r="H39" s="514"/>
      <c r="I39" s="514"/>
    </row>
    <row r="40" spans="1:14">
      <c r="B40" s="673"/>
      <c r="C40" s="516"/>
      <c r="D40" s="516"/>
      <c r="E40" s="516"/>
      <c r="F40" s="516"/>
      <c r="G40" s="516"/>
      <c r="H40" s="516"/>
      <c r="I40" s="516"/>
    </row>
    <row r="41" spans="1:14" s="694" customFormat="1">
      <c r="A41" s="518" t="s">
        <v>437</v>
      </c>
      <c r="B41" s="695"/>
      <c r="C41" s="788" t="s">
        <v>432</v>
      </c>
      <c r="D41" s="788"/>
      <c r="E41" s="788"/>
      <c r="F41" s="696"/>
      <c r="G41" s="700" t="s">
        <v>433</v>
      </c>
      <c r="H41" s="696"/>
      <c r="I41" s="689" t="s">
        <v>228</v>
      </c>
      <c r="J41" s="696"/>
      <c r="K41" s="696"/>
      <c r="L41" s="696"/>
      <c r="M41" s="697"/>
    </row>
    <row r="42" spans="1:14" s="694" customFormat="1">
      <c r="A42" s="697"/>
      <c r="B42" s="670" t="s">
        <v>431</v>
      </c>
      <c r="C42" s="671" t="s">
        <v>228</v>
      </c>
      <c r="D42" s="671" t="s">
        <v>229</v>
      </c>
      <c r="E42" s="671" t="s">
        <v>17</v>
      </c>
      <c r="F42" s="689"/>
      <c r="G42" s="689" t="s">
        <v>17</v>
      </c>
      <c r="H42" s="689"/>
      <c r="I42" s="689" t="s">
        <v>367</v>
      </c>
      <c r="J42" s="696"/>
      <c r="K42" s="689" t="s">
        <v>434</v>
      </c>
      <c r="L42" s="689" t="s">
        <v>184</v>
      </c>
      <c r="M42" s="697"/>
    </row>
    <row r="43" spans="1:14">
      <c r="A43" s="688"/>
      <c r="B43" s="685"/>
      <c r="C43" s="689"/>
      <c r="D43" s="689"/>
      <c r="E43" s="689"/>
      <c r="F43" s="689"/>
      <c r="G43" s="689"/>
      <c r="H43" s="689"/>
      <c r="I43" s="689"/>
      <c r="J43" s="686"/>
      <c r="K43" s="687"/>
      <c r="L43" s="689"/>
      <c r="M43" s="688"/>
    </row>
    <row r="44" spans="1:14">
      <c r="A44" s="688"/>
      <c r="B44" s="685"/>
      <c r="C44" s="686"/>
      <c r="D44" s="686"/>
      <c r="E44" s="686"/>
      <c r="F44" s="686"/>
      <c r="G44" s="686"/>
      <c r="H44" s="514" t="s">
        <v>358</v>
      </c>
      <c r="I44" s="686">
        <v>0</v>
      </c>
      <c r="J44" s="686"/>
      <c r="K44" s="686"/>
      <c r="L44" s="686"/>
      <c r="M44" s="686"/>
    </row>
    <row r="45" spans="1:14">
      <c r="A45" s="688"/>
      <c r="B45" s="685"/>
      <c r="C45" s="686"/>
      <c r="D45" s="686"/>
      <c r="E45" s="686"/>
      <c r="F45" s="686"/>
      <c r="G45" s="686"/>
      <c r="H45" s="686"/>
      <c r="I45" s="686"/>
      <c r="J45" s="514"/>
      <c r="K45" s="686"/>
      <c r="L45" s="686"/>
      <c r="M45" s="688"/>
    </row>
    <row r="46" spans="1:14">
      <c r="A46" s="690" t="s">
        <v>359</v>
      </c>
      <c r="B46" s="685"/>
      <c r="C46" s="686"/>
      <c r="D46" s="676">
        <f>C46+E46</f>
        <v>0</v>
      </c>
      <c r="E46" s="676">
        <f>C46*0.2</f>
        <v>0</v>
      </c>
      <c r="F46" s="686"/>
      <c r="G46" s="686"/>
      <c r="H46" s="686"/>
      <c r="I46" s="686">
        <f>E46-G46</f>
        <v>0</v>
      </c>
      <c r="J46" s="514"/>
      <c r="K46" s="686"/>
      <c r="L46" s="686"/>
      <c r="M46" s="688"/>
    </row>
    <row r="47" spans="1:14">
      <c r="A47" s="690"/>
      <c r="B47" s="685"/>
      <c r="C47" s="686"/>
      <c r="D47" s="676">
        <f>C47+E47</f>
        <v>0</v>
      </c>
      <c r="E47" s="676">
        <f>C47*0.2</f>
        <v>0</v>
      </c>
      <c r="F47" s="686"/>
      <c r="G47" s="686"/>
      <c r="H47" s="686"/>
      <c r="I47" s="686">
        <f>E47-G47</f>
        <v>0</v>
      </c>
      <c r="J47" s="686"/>
      <c r="K47" s="686"/>
      <c r="L47" s="686"/>
      <c r="M47" s="688"/>
    </row>
    <row r="48" spans="1:14">
      <c r="A48" s="690"/>
      <c r="B48" s="685"/>
      <c r="C48" s="686"/>
      <c r="D48" s="679">
        <f>C48+E48</f>
        <v>0</v>
      </c>
      <c r="E48" s="679">
        <f>C48*0.2</f>
        <v>0</v>
      </c>
      <c r="F48" s="686"/>
      <c r="G48" s="686"/>
      <c r="H48" s="686"/>
      <c r="I48" s="691">
        <f>E48-G48</f>
        <v>0</v>
      </c>
      <c r="J48" s="686"/>
      <c r="K48" s="686"/>
      <c r="L48" s="686"/>
      <c r="M48" s="688"/>
    </row>
    <row r="49" spans="1:13">
      <c r="A49" s="688"/>
      <c r="B49" s="685"/>
      <c r="C49" s="693">
        <f>SUM(C46:C48)</f>
        <v>0</v>
      </c>
      <c r="D49" s="693">
        <f>SUM(D46:D48)</f>
        <v>0</v>
      </c>
      <c r="E49" s="693">
        <f>SUM(E46:E48)</f>
        <v>0</v>
      </c>
      <c r="F49" s="686"/>
      <c r="G49" s="693">
        <f>SUM(G46:G48)</f>
        <v>0</v>
      </c>
      <c r="H49" s="686"/>
      <c r="I49" s="693">
        <f>SUM(I46:I48)</f>
        <v>0</v>
      </c>
      <c r="J49" s="686"/>
      <c r="K49" s="686"/>
      <c r="L49" s="686">
        <f>I49+I44-K49</f>
        <v>0</v>
      </c>
      <c r="M49" s="688"/>
    </row>
    <row r="50" spans="1:13">
      <c r="A50" s="688"/>
      <c r="B50" s="685"/>
      <c r="C50" s="686"/>
      <c r="D50" s="686"/>
      <c r="E50" s="686"/>
      <c r="F50" s="686"/>
      <c r="G50" s="686"/>
      <c r="H50" s="686"/>
      <c r="I50" s="686"/>
      <c r="J50" s="686"/>
      <c r="K50" s="686"/>
      <c r="L50" s="686"/>
      <c r="M50" s="688"/>
    </row>
    <row r="51" spans="1:13">
      <c r="A51" s="690" t="s">
        <v>360</v>
      </c>
      <c r="B51" s="685"/>
      <c r="C51" s="686"/>
      <c r="D51" s="676">
        <f>C51+E51</f>
        <v>0</v>
      </c>
      <c r="E51" s="676">
        <f>C51*0.2</f>
        <v>0</v>
      </c>
      <c r="F51" s="686"/>
      <c r="G51" s="686"/>
      <c r="H51" s="686"/>
      <c r="I51" s="686">
        <f>E51-G51</f>
        <v>0</v>
      </c>
      <c r="J51" s="686"/>
      <c r="K51" s="686"/>
      <c r="L51" s="686"/>
      <c r="M51" s="688"/>
    </row>
    <row r="52" spans="1:13">
      <c r="A52" s="690"/>
      <c r="B52" s="685"/>
      <c r="C52" s="686"/>
      <c r="D52" s="676">
        <f>C52+E52</f>
        <v>0</v>
      </c>
      <c r="E52" s="676">
        <f>C52*0.2</f>
        <v>0</v>
      </c>
      <c r="F52" s="686"/>
      <c r="G52" s="686"/>
      <c r="H52" s="686"/>
      <c r="I52" s="686">
        <f>E52-G52</f>
        <v>0</v>
      </c>
      <c r="J52" s="686"/>
      <c r="K52" s="686"/>
      <c r="L52" s="686"/>
      <c r="M52" s="688"/>
    </row>
    <row r="53" spans="1:13">
      <c r="A53" s="690"/>
      <c r="B53" s="685"/>
      <c r="C53" s="691"/>
      <c r="D53" s="679">
        <f>C53+E53</f>
        <v>0</v>
      </c>
      <c r="E53" s="679">
        <f>C53*0.2</f>
        <v>0</v>
      </c>
      <c r="F53" s="686"/>
      <c r="G53" s="686"/>
      <c r="H53" s="686"/>
      <c r="I53" s="691">
        <f>E53-G53</f>
        <v>0</v>
      </c>
      <c r="J53" s="686"/>
      <c r="K53" s="686"/>
      <c r="L53" s="686"/>
      <c r="M53" s="688"/>
    </row>
    <row r="54" spans="1:13">
      <c r="A54" s="690"/>
      <c r="B54" s="685"/>
      <c r="C54" s="693">
        <f>SUM(C51:C53)</f>
        <v>0</v>
      </c>
      <c r="D54" s="693">
        <f>SUM(D51:D53)</f>
        <v>0</v>
      </c>
      <c r="E54" s="693">
        <f>SUM(E51:E53)</f>
        <v>0</v>
      </c>
      <c r="F54" s="686"/>
      <c r="G54" s="693">
        <f>SUM(G51:G53)</f>
        <v>0</v>
      </c>
      <c r="H54" s="686"/>
      <c r="I54" s="693">
        <f>SUM(I51:I53)</f>
        <v>0</v>
      </c>
      <c r="J54" s="686"/>
      <c r="K54" s="686"/>
      <c r="L54" s="686">
        <f>I54-K54</f>
        <v>0</v>
      </c>
      <c r="M54" s="688"/>
    </row>
    <row r="55" spans="1:13">
      <c r="A55" s="688"/>
      <c r="B55" s="685"/>
      <c r="C55" s="686"/>
      <c r="D55" s="686"/>
      <c r="E55" s="686"/>
      <c r="F55" s="686"/>
      <c r="G55" s="686"/>
      <c r="H55" s="686"/>
      <c r="I55" s="686"/>
      <c r="J55" s="686"/>
      <c r="K55" s="686"/>
      <c r="L55" s="686"/>
      <c r="M55" s="688"/>
    </row>
    <row r="56" spans="1:13">
      <c r="A56" s="690" t="s">
        <v>361</v>
      </c>
      <c r="B56" s="685"/>
      <c r="C56" s="686"/>
      <c r="D56" s="676">
        <f>C56+E56</f>
        <v>0</v>
      </c>
      <c r="E56" s="676">
        <f>C56*0.2</f>
        <v>0</v>
      </c>
      <c r="F56" s="686"/>
      <c r="G56" s="686"/>
      <c r="H56" s="686"/>
      <c r="I56" s="686">
        <f>E56-G56</f>
        <v>0</v>
      </c>
      <c r="J56" s="686"/>
      <c r="K56" s="686"/>
      <c r="L56" s="686"/>
      <c r="M56" s="688"/>
    </row>
    <row r="57" spans="1:13">
      <c r="A57" s="690"/>
      <c r="B57" s="685"/>
      <c r="C57" s="686"/>
      <c r="D57" s="676">
        <f>C57+E57</f>
        <v>0</v>
      </c>
      <c r="E57" s="676">
        <f>C57*0.2</f>
        <v>0</v>
      </c>
      <c r="F57" s="686"/>
      <c r="G57" s="686"/>
      <c r="H57" s="686"/>
      <c r="I57" s="686">
        <f>E57-G57</f>
        <v>0</v>
      </c>
      <c r="J57" s="686"/>
      <c r="K57" s="686"/>
      <c r="L57" s="686"/>
      <c r="M57" s="688"/>
    </row>
    <row r="58" spans="1:13">
      <c r="A58" s="690"/>
      <c r="B58" s="685"/>
      <c r="C58" s="691"/>
      <c r="D58" s="679">
        <f>C58+E58</f>
        <v>0</v>
      </c>
      <c r="E58" s="679">
        <f>C58*0.2</f>
        <v>0</v>
      </c>
      <c r="F58" s="686"/>
      <c r="G58" s="686"/>
      <c r="H58" s="686"/>
      <c r="I58" s="691">
        <f>E58-G58</f>
        <v>0</v>
      </c>
      <c r="J58" s="686"/>
      <c r="K58" s="686"/>
      <c r="L58" s="686"/>
      <c r="M58" s="688"/>
    </row>
    <row r="59" spans="1:13">
      <c r="A59" s="688"/>
      <c r="B59" s="685"/>
      <c r="C59" s="693">
        <f>SUM(C56:C58)</f>
        <v>0</v>
      </c>
      <c r="D59" s="693">
        <f>SUM(D56:D58)</f>
        <v>0</v>
      </c>
      <c r="E59" s="693">
        <f>SUM(E56:E58)</f>
        <v>0</v>
      </c>
      <c r="F59" s="686"/>
      <c r="G59" s="693">
        <f>SUM(G56:G58)</f>
        <v>0</v>
      </c>
      <c r="H59" s="686"/>
      <c r="I59" s="693">
        <f>SUM(I56:I58)</f>
        <v>0</v>
      </c>
      <c r="J59" s="686"/>
      <c r="K59" s="686"/>
      <c r="L59" s="686">
        <f>I59-K59</f>
        <v>0</v>
      </c>
      <c r="M59" s="688"/>
    </row>
    <row r="60" spans="1:13">
      <c r="A60" s="688"/>
      <c r="B60" s="685"/>
      <c r="C60" s="686"/>
      <c r="D60" s="686"/>
      <c r="E60" s="686"/>
      <c r="F60" s="686"/>
      <c r="G60" s="686"/>
      <c r="H60" s="686"/>
      <c r="I60" s="686"/>
      <c r="J60" s="686"/>
      <c r="K60" s="686"/>
      <c r="L60" s="686"/>
      <c r="M60" s="688"/>
    </row>
    <row r="61" spans="1:13">
      <c r="A61" s="690" t="s">
        <v>362</v>
      </c>
      <c r="B61" s="685"/>
      <c r="C61" s="686"/>
      <c r="D61" s="676">
        <f>C61+E61</f>
        <v>0</v>
      </c>
      <c r="E61" s="676">
        <f>C61*0.2</f>
        <v>0</v>
      </c>
      <c r="F61" s="686"/>
      <c r="G61" s="686"/>
      <c r="H61" s="686"/>
      <c r="I61" s="686">
        <f>E61-G61</f>
        <v>0</v>
      </c>
      <c r="J61" s="686"/>
      <c r="K61" s="686"/>
      <c r="L61" s="686"/>
      <c r="M61" s="688"/>
    </row>
    <row r="62" spans="1:13">
      <c r="A62" s="690"/>
      <c r="B62" s="685"/>
      <c r="C62" s="686"/>
      <c r="D62" s="676">
        <f>C62+E62</f>
        <v>0</v>
      </c>
      <c r="E62" s="676">
        <f>C62*0.2</f>
        <v>0</v>
      </c>
      <c r="F62" s="686"/>
      <c r="G62" s="686"/>
      <c r="H62" s="686"/>
      <c r="I62" s="686">
        <f>E62-G62</f>
        <v>0</v>
      </c>
      <c r="J62" s="686"/>
      <c r="K62" s="686"/>
      <c r="L62" s="686"/>
      <c r="M62" s="688"/>
    </row>
    <row r="63" spans="1:13">
      <c r="A63" s="690"/>
      <c r="B63" s="685"/>
      <c r="C63" s="691"/>
      <c r="D63" s="679">
        <f>C63+E63</f>
        <v>0</v>
      </c>
      <c r="E63" s="679">
        <f>C63*0.2</f>
        <v>0</v>
      </c>
      <c r="F63" s="686"/>
      <c r="G63" s="686"/>
      <c r="H63" s="686"/>
      <c r="I63" s="691">
        <f>E63-G63</f>
        <v>0</v>
      </c>
      <c r="J63" s="686"/>
      <c r="K63" s="686"/>
      <c r="L63" s="686"/>
      <c r="M63" s="688"/>
    </row>
    <row r="64" spans="1:13">
      <c r="A64" s="688"/>
      <c r="B64" s="685"/>
      <c r="C64" s="693">
        <f>SUM(C61:C63)</f>
        <v>0</v>
      </c>
      <c r="D64" s="693">
        <f>SUM(D61:D63)</f>
        <v>0</v>
      </c>
      <c r="E64" s="693">
        <f>SUM(E61:E63)</f>
        <v>0</v>
      </c>
      <c r="F64" s="686"/>
      <c r="G64" s="693">
        <f>SUM(G61:G63)</f>
        <v>0</v>
      </c>
      <c r="H64" s="686"/>
      <c r="I64" s="693">
        <f>SUM(I61:I63)</f>
        <v>0</v>
      </c>
      <c r="J64" s="686"/>
      <c r="K64" s="686"/>
      <c r="L64" s="686">
        <f>I64-K64</f>
        <v>0</v>
      </c>
      <c r="M64" s="688"/>
    </row>
    <row r="65" spans="1:13">
      <c r="A65" s="688"/>
      <c r="B65" s="685"/>
      <c r="C65" s="686"/>
      <c r="D65" s="686"/>
      <c r="E65" s="686"/>
      <c r="F65" s="686"/>
      <c r="G65" s="686"/>
      <c r="H65" s="686"/>
      <c r="I65" s="686"/>
      <c r="J65" s="686"/>
      <c r="K65" s="686"/>
      <c r="L65" s="686"/>
      <c r="M65" s="688"/>
    </row>
    <row r="66" spans="1:13">
      <c r="A66" s="690" t="s">
        <v>363</v>
      </c>
      <c r="B66" s="685"/>
      <c r="C66" s="686"/>
      <c r="D66" s="676">
        <f>C66+E66</f>
        <v>0</v>
      </c>
      <c r="E66" s="676">
        <f>C66*0.2</f>
        <v>0</v>
      </c>
      <c r="F66" s="686"/>
      <c r="G66" s="686"/>
      <c r="H66" s="686"/>
      <c r="I66" s="686">
        <f>E66-G66</f>
        <v>0</v>
      </c>
      <c r="J66" s="686"/>
      <c r="K66" s="686"/>
      <c r="L66" s="686"/>
      <c r="M66" s="688"/>
    </row>
    <row r="67" spans="1:13">
      <c r="A67" s="690"/>
      <c r="B67" s="692"/>
      <c r="C67" s="686"/>
      <c r="D67" s="676">
        <f>C67+E67</f>
        <v>0</v>
      </c>
      <c r="E67" s="676">
        <f>C67*0.2</f>
        <v>0</v>
      </c>
      <c r="F67" s="686"/>
      <c r="G67" s="686"/>
      <c r="H67" s="686"/>
      <c r="I67" s="686">
        <f>E67-G67</f>
        <v>0</v>
      </c>
      <c r="J67" s="686"/>
      <c r="K67" s="686"/>
      <c r="L67" s="686"/>
      <c r="M67" s="688"/>
    </row>
    <row r="68" spans="1:13">
      <c r="A68" s="513"/>
      <c r="B68" s="692"/>
      <c r="C68" s="686"/>
      <c r="D68" s="679">
        <f>C68+E68</f>
        <v>0</v>
      </c>
      <c r="E68" s="679">
        <f>C68*0.2</f>
        <v>0</v>
      </c>
      <c r="F68" s="686"/>
      <c r="G68" s="686"/>
      <c r="H68" s="686"/>
      <c r="I68" s="691">
        <f>E68-G68</f>
        <v>0</v>
      </c>
      <c r="J68" s="686"/>
      <c r="K68" s="686"/>
      <c r="L68" s="686"/>
      <c r="M68" s="688"/>
    </row>
    <row r="69" spans="1:13">
      <c r="A69" s="688"/>
      <c r="B69" s="685"/>
      <c r="C69" s="693">
        <f>SUM(C66:C68)</f>
        <v>0</v>
      </c>
      <c r="D69" s="693">
        <f>SUM(D66:D68)</f>
        <v>0</v>
      </c>
      <c r="E69" s="693">
        <f>SUM(E66:E68)</f>
        <v>0</v>
      </c>
      <c r="F69" s="686"/>
      <c r="G69" s="693">
        <f>SUM(G66:G68)</f>
        <v>0</v>
      </c>
      <c r="H69" s="686"/>
      <c r="I69" s="693">
        <f>SUM(I66:I68)</f>
        <v>0</v>
      </c>
      <c r="J69" s="686"/>
      <c r="K69" s="686"/>
      <c r="L69" s="686">
        <f>I69-K69</f>
        <v>0</v>
      </c>
      <c r="M69" s="688"/>
    </row>
    <row r="70" spans="1:13">
      <c r="A70" s="688"/>
      <c r="B70" s="685"/>
      <c r="C70" s="686"/>
      <c r="D70" s="686"/>
      <c r="E70" s="686"/>
      <c r="F70" s="686"/>
      <c r="G70" s="686"/>
      <c r="H70" s="686"/>
      <c r="I70" s="686"/>
      <c r="J70" s="686"/>
      <c r="K70" s="686"/>
      <c r="L70" s="686"/>
      <c r="M70" s="688"/>
    </row>
    <row r="71" spans="1:13">
      <c r="A71" s="688" t="s">
        <v>26</v>
      </c>
      <c r="B71" s="685"/>
      <c r="C71" s="693">
        <f>C49+C54+C59+C64+C69</f>
        <v>0</v>
      </c>
      <c r="D71" s="693">
        <f>D49+D54+D59+D64+D69</f>
        <v>0</v>
      </c>
      <c r="E71" s="693">
        <f>E49+E54+E59+E64+E69</f>
        <v>0</v>
      </c>
      <c r="F71" s="686"/>
      <c r="G71" s="693">
        <f>G49+G54+G59+G64+G69</f>
        <v>0</v>
      </c>
      <c r="H71" s="686"/>
      <c r="I71" s="693">
        <f>I44+I49+I54+I59+I64+I69</f>
        <v>0</v>
      </c>
      <c r="J71" s="686"/>
      <c r="K71" s="693">
        <f>SUM(K44:K70)</f>
        <v>0</v>
      </c>
      <c r="L71" s="693">
        <f>SUM(L44:L70)</f>
        <v>0</v>
      </c>
      <c r="M71" s="688"/>
    </row>
    <row r="72" spans="1:13">
      <c r="A72" s="688"/>
      <c r="B72" s="685"/>
      <c r="C72" s="686"/>
      <c r="D72" s="686"/>
      <c r="E72" s="686"/>
      <c r="F72" s="686"/>
      <c r="G72" s="686"/>
      <c r="H72" s="686"/>
      <c r="I72" s="686"/>
      <c r="J72" s="686"/>
      <c r="K72" s="686"/>
      <c r="L72" s="686"/>
      <c r="M72" s="688"/>
    </row>
    <row r="73" spans="1:13">
      <c r="A73" s="688" t="s">
        <v>364</v>
      </c>
      <c r="B73" s="685"/>
      <c r="C73" s="686">
        <f>Summary!B24+Summary!C24</f>
        <v>127600</v>
      </c>
      <c r="D73" s="686">
        <f>Summary!D24</f>
        <v>153120</v>
      </c>
      <c r="E73" s="686">
        <f>Summary!E24</f>
        <v>25520</v>
      </c>
      <c r="F73" s="686"/>
      <c r="G73" s="686">
        <f>Summary!E47</f>
        <v>0</v>
      </c>
      <c r="H73" s="686"/>
      <c r="I73" s="686"/>
      <c r="J73" s="686"/>
      <c r="K73" s="686"/>
      <c r="L73" s="686"/>
      <c r="M73" s="688"/>
    </row>
    <row r="74" spans="1:13">
      <c r="A74" s="688"/>
      <c r="B74" s="685"/>
      <c r="C74" s="686"/>
      <c r="D74" s="686"/>
      <c r="E74" s="686"/>
      <c r="F74" s="686"/>
      <c r="G74" s="686"/>
      <c r="H74" s="686"/>
      <c r="I74" s="686"/>
      <c r="J74" s="686"/>
      <c r="K74" s="686"/>
      <c r="L74" s="686"/>
      <c r="M74" s="688"/>
    </row>
    <row r="75" spans="1:13">
      <c r="A75" s="688" t="s">
        <v>365</v>
      </c>
      <c r="B75" s="685"/>
      <c r="C75" s="693">
        <f>C71-C73</f>
        <v>-127600</v>
      </c>
      <c r="D75" s="693">
        <f>D71-D73</f>
        <v>-153120</v>
      </c>
      <c r="E75" s="693">
        <f>E71-E73</f>
        <v>-25520</v>
      </c>
      <c r="F75" s="686"/>
      <c r="G75" s="693">
        <f>G71-G73</f>
        <v>0</v>
      </c>
      <c r="H75" s="686"/>
      <c r="I75" s="686"/>
      <c r="J75" s="686"/>
      <c r="K75" s="686"/>
      <c r="L75" s="688"/>
      <c r="M75" s="688"/>
    </row>
    <row r="76" spans="1:13">
      <c r="A76" s="688" t="s">
        <v>366</v>
      </c>
      <c r="B76" s="685"/>
      <c r="C76" s="686"/>
      <c r="D76" s="686"/>
      <c r="E76" s="686"/>
      <c r="F76" s="686"/>
      <c r="G76" s="686"/>
      <c r="H76" s="686"/>
      <c r="I76" s="686"/>
      <c r="J76" s="686"/>
      <c r="K76" s="686"/>
      <c r="L76" s="688"/>
      <c r="M76" s="688"/>
    </row>
    <row r="77" spans="1:13">
      <c r="A77" s="688"/>
      <c r="B77" s="685"/>
      <c r="C77" s="686"/>
      <c r="D77" s="686"/>
      <c r="E77" s="686"/>
      <c r="F77" s="686"/>
      <c r="G77" s="686"/>
      <c r="H77" s="686"/>
      <c r="I77" s="686"/>
      <c r="J77" s="686"/>
      <c r="K77" s="686"/>
      <c r="L77" s="688"/>
      <c r="M77" s="688"/>
    </row>
  </sheetData>
  <mergeCells count="1">
    <mergeCell ref="C41:E41"/>
  </mergeCells>
  <pageMargins left="0.7" right="0.7" top="0.75" bottom="0.75" header="0.3" footer="0.3"/>
  <pageSetup paperSize="9" scale="90" orientation="landscape" horizontalDpi="4294967293"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pageSetUpPr fitToPage="1"/>
  </sheetPr>
  <dimension ref="A1:M54"/>
  <sheetViews>
    <sheetView workbookViewId="0">
      <selection activeCell="M9" sqref="M9"/>
    </sheetView>
  </sheetViews>
  <sheetFormatPr defaultColWidth="9.140625" defaultRowHeight="12.75"/>
  <cols>
    <col min="1" max="1" width="12.5703125" style="372" customWidth="1"/>
    <col min="2" max="2" width="30.5703125" style="372" customWidth="1"/>
    <col min="3" max="3" width="10.42578125" style="372" customWidth="1"/>
    <col min="4" max="4" width="9.5703125" style="372" bestFit="1" customWidth="1"/>
    <col min="5" max="5" width="11" style="372" customWidth="1"/>
    <col min="6" max="6" width="13" style="372" customWidth="1"/>
    <col min="7" max="7" width="9.5703125" style="372" customWidth="1"/>
    <col min="8" max="8" width="10.7109375" style="372" customWidth="1"/>
    <col min="9" max="12" width="9.140625" style="372"/>
    <col min="13" max="13" width="9.5703125" style="372" bestFit="1" customWidth="1"/>
    <col min="14" max="16384" width="9.140625" style="372"/>
  </cols>
  <sheetData>
    <row r="1" spans="1:13">
      <c r="A1" s="495" t="str">
        <f>Summary!A1</f>
        <v>Design-spectrum Limited</v>
      </c>
      <c r="D1" s="373"/>
      <c r="H1" s="373"/>
      <c r="L1" s="439" t="s">
        <v>89</v>
      </c>
      <c r="M1" s="440"/>
    </row>
    <row r="2" spans="1:13">
      <c r="A2" s="374" t="s">
        <v>90</v>
      </c>
      <c r="D2" s="373"/>
      <c r="H2" s="373"/>
      <c r="L2" s="439" t="s">
        <v>91</v>
      </c>
      <c r="M2" s="441">
        <f ca="1">TODAY()</f>
        <v>43500</v>
      </c>
    </row>
    <row r="3" spans="1:13">
      <c r="A3" s="374" t="s">
        <v>92</v>
      </c>
      <c r="B3" s="406">
        <f>SUM('Oct 18'!C4)</f>
        <v>43381</v>
      </c>
      <c r="C3" s="375"/>
      <c r="D3" s="373"/>
      <c r="H3" s="373"/>
    </row>
    <row r="6" spans="1:13">
      <c r="A6" s="407"/>
    </row>
    <row r="7" spans="1:13" ht="18.75" customHeight="1">
      <c r="A7" s="408"/>
      <c r="B7" s="409" t="s">
        <v>332</v>
      </c>
      <c r="C7" s="789" t="s">
        <v>239</v>
      </c>
      <c r="D7" s="789"/>
      <c r="E7" s="789"/>
      <c r="F7" s="789"/>
      <c r="G7" s="442"/>
      <c r="H7" s="789" t="s">
        <v>343</v>
      </c>
      <c r="I7" s="789"/>
      <c r="J7" s="789"/>
      <c r="K7" s="789"/>
      <c r="L7" s="410"/>
      <c r="M7" s="410" t="s">
        <v>240</v>
      </c>
    </row>
    <row r="8" spans="1:13" ht="15">
      <c r="A8" s="408"/>
      <c r="B8" s="411"/>
      <c r="C8" s="412" t="s">
        <v>333</v>
      </c>
      <c r="D8" s="412" t="s">
        <v>334</v>
      </c>
      <c r="E8" s="412" t="s">
        <v>335</v>
      </c>
      <c r="F8" s="412" t="s">
        <v>336</v>
      </c>
      <c r="G8" s="412"/>
      <c r="H8" s="412" t="s">
        <v>333</v>
      </c>
      <c r="I8" s="412" t="s">
        <v>334</v>
      </c>
      <c r="J8" s="412" t="s">
        <v>335</v>
      </c>
      <c r="K8" s="412" t="s">
        <v>336</v>
      </c>
      <c r="L8" s="412"/>
      <c r="M8" s="412">
        <v>2016</v>
      </c>
    </row>
    <row r="9" spans="1:13" ht="15">
      <c r="A9" s="413"/>
      <c r="B9" s="414"/>
      <c r="C9" s="415"/>
      <c r="D9" s="415"/>
      <c r="E9" s="415"/>
      <c r="F9" s="415"/>
      <c r="G9" s="415"/>
      <c r="H9" s="415"/>
      <c r="I9" s="415"/>
      <c r="J9" s="416"/>
      <c r="K9" s="417"/>
      <c r="L9" s="415"/>
      <c r="M9" s="415"/>
    </row>
    <row r="10" spans="1:13" ht="15">
      <c r="B10" s="418" t="s">
        <v>337</v>
      </c>
      <c r="C10" s="415"/>
      <c r="D10" s="415"/>
      <c r="E10" s="415"/>
      <c r="F10" s="415"/>
      <c r="G10" s="415"/>
      <c r="H10" s="415"/>
      <c r="I10" s="415"/>
      <c r="J10" s="416"/>
      <c r="K10" s="417"/>
      <c r="L10" s="415"/>
      <c r="M10" s="415"/>
    </row>
    <row r="11" spans="1:13" ht="15">
      <c r="B11" s="414"/>
      <c r="C11" s="415"/>
      <c r="D11" s="415"/>
      <c r="E11" s="415"/>
      <c r="F11" s="415"/>
      <c r="G11" s="415"/>
      <c r="H11" s="415"/>
      <c r="I11" s="415"/>
      <c r="J11" s="416"/>
      <c r="K11" s="417"/>
      <c r="L11" s="415"/>
      <c r="M11" s="415"/>
    </row>
    <row r="12" spans="1:13" ht="15">
      <c r="B12" s="419"/>
      <c r="C12" s="415"/>
      <c r="D12" s="415"/>
      <c r="E12" s="415"/>
      <c r="F12" s="415">
        <f>SUM(C12+D12-E12)</f>
        <v>0</v>
      </c>
      <c r="G12" s="415"/>
      <c r="H12" s="415"/>
      <c r="I12" s="415"/>
      <c r="J12" s="415"/>
      <c r="K12" s="415">
        <f>SUM(H12+I12-J12)</f>
        <v>0</v>
      </c>
      <c r="L12" s="415"/>
      <c r="M12" s="415">
        <f>SUM(F12-K12)</f>
        <v>0</v>
      </c>
    </row>
    <row r="13" spans="1:13" ht="15">
      <c r="B13" s="419"/>
      <c r="C13" s="415"/>
      <c r="D13" s="415"/>
      <c r="E13" s="415"/>
      <c r="F13" s="415">
        <f>SUM(C13+D13-E13)</f>
        <v>0</v>
      </c>
      <c r="G13" s="415"/>
      <c r="H13" s="415"/>
      <c r="I13" s="415"/>
      <c r="J13" s="415"/>
      <c r="K13" s="415">
        <f>SUM(H13+I13-J13)</f>
        <v>0</v>
      </c>
      <c r="L13" s="415"/>
      <c r="M13" s="415">
        <f>SUM(F13-K13)</f>
        <v>0</v>
      </c>
    </row>
    <row r="14" spans="1:13" ht="15">
      <c r="B14" s="419"/>
      <c r="C14" s="415"/>
      <c r="D14" s="415"/>
      <c r="E14" s="415"/>
      <c r="F14" s="415">
        <f>SUM(C14+D14-E14)</f>
        <v>0</v>
      </c>
      <c r="G14" s="415"/>
      <c r="H14" s="415"/>
      <c r="I14" s="415"/>
      <c r="J14" s="415"/>
      <c r="K14" s="415">
        <f>SUM(H14+I14-J14)</f>
        <v>0</v>
      </c>
      <c r="L14" s="415"/>
      <c r="M14" s="415">
        <f>SUM(F14-K14)</f>
        <v>0</v>
      </c>
    </row>
    <row r="15" spans="1:13" ht="15">
      <c r="B15" s="419"/>
      <c r="C15" s="415"/>
      <c r="D15" s="415"/>
      <c r="E15" s="415"/>
      <c r="F15" s="415"/>
      <c r="G15" s="415"/>
      <c r="H15" s="415"/>
      <c r="I15" s="415"/>
      <c r="J15" s="415"/>
      <c r="K15" s="415"/>
      <c r="L15" s="415"/>
      <c r="M15" s="415"/>
    </row>
    <row r="16" spans="1:13" ht="15">
      <c r="B16" s="419"/>
      <c r="C16" s="420">
        <f>SUM(C11:C15)</f>
        <v>0</v>
      </c>
      <c r="D16" s="420">
        <f>SUM(D11:D15)</f>
        <v>0</v>
      </c>
      <c r="E16" s="420">
        <f>SUM(E11:E15)</f>
        <v>0</v>
      </c>
      <c r="F16" s="420">
        <f>SUM(F11:F15)</f>
        <v>0</v>
      </c>
      <c r="G16" s="415"/>
      <c r="H16" s="420">
        <f>SUM(H11:H15)</f>
        <v>0</v>
      </c>
      <c r="I16" s="420">
        <f>SUM(I11:I15)</f>
        <v>0</v>
      </c>
      <c r="J16" s="420">
        <f>SUM(J11:J15)</f>
        <v>0</v>
      </c>
      <c r="K16" s="420">
        <f>SUM(K11:K15)</f>
        <v>0</v>
      </c>
      <c r="L16" s="415"/>
      <c r="M16" s="420">
        <f>SUM(M12:M15)</f>
        <v>0</v>
      </c>
    </row>
    <row r="17" spans="1:13" ht="15">
      <c r="B17" s="419"/>
      <c r="C17" s="421"/>
      <c r="D17" s="421"/>
      <c r="E17" s="421"/>
      <c r="F17" s="421"/>
      <c r="G17" s="415"/>
      <c r="H17" s="421"/>
      <c r="I17" s="421"/>
      <c r="J17" s="421"/>
      <c r="K17" s="421"/>
      <c r="L17" s="415"/>
      <c r="M17" s="421"/>
    </row>
    <row r="18" spans="1:13" ht="15">
      <c r="B18" s="418" t="s">
        <v>338</v>
      </c>
      <c r="C18" s="791"/>
      <c r="D18" s="791"/>
      <c r="E18" s="791"/>
      <c r="F18" s="791"/>
      <c r="G18" s="415"/>
      <c r="H18" s="790" t="s">
        <v>343</v>
      </c>
      <c r="I18" s="790"/>
      <c r="J18" s="790"/>
      <c r="K18" s="790"/>
      <c r="L18" s="415"/>
      <c r="M18" s="415"/>
    </row>
    <row r="19" spans="1:13" ht="15">
      <c r="B19" s="419"/>
      <c r="C19" s="415"/>
      <c r="D19" s="415"/>
      <c r="E19" s="415"/>
      <c r="F19" s="415"/>
      <c r="G19" s="415"/>
      <c r="H19" s="415"/>
      <c r="I19" s="415"/>
      <c r="J19" s="415"/>
      <c r="K19" s="415"/>
      <c r="L19" s="415"/>
      <c r="M19" s="415"/>
    </row>
    <row r="20" spans="1:13" ht="15">
      <c r="B20" s="419"/>
      <c r="C20" s="415"/>
      <c r="D20" s="415"/>
      <c r="E20" s="415"/>
      <c r="F20" s="415">
        <f>C20+D20-E20</f>
        <v>0</v>
      </c>
      <c r="G20" s="415"/>
      <c r="H20" s="415"/>
      <c r="I20" s="415"/>
      <c r="J20" s="415"/>
      <c r="K20" s="415">
        <f>H20+I20-J20</f>
        <v>0</v>
      </c>
      <c r="L20" s="415"/>
      <c r="M20" s="415">
        <f>SUM(F20-K20)</f>
        <v>0</v>
      </c>
    </row>
    <row r="21" spans="1:13" ht="15">
      <c r="B21" s="419"/>
      <c r="C21" s="415"/>
      <c r="D21" s="415"/>
      <c r="E21" s="415"/>
      <c r="F21" s="415">
        <f>C21+D21-E21</f>
        <v>0</v>
      </c>
      <c r="G21" s="415"/>
      <c r="H21" s="415"/>
      <c r="I21" s="415"/>
      <c r="J21" s="415"/>
      <c r="K21" s="415">
        <f>H21+I21-J21</f>
        <v>0</v>
      </c>
      <c r="L21" s="415"/>
      <c r="M21" s="415">
        <f>SUM(F21-K21)</f>
        <v>0</v>
      </c>
    </row>
    <row r="22" spans="1:13" ht="15">
      <c r="B22" s="419"/>
      <c r="C22" s="415"/>
      <c r="D22" s="415"/>
      <c r="E22" s="415"/>
      <c r="F22" s="415">
        <f>C22+D22-E22</f>
        <v>0</v>
      </c>
      <c r="G22" s="415"/>
      <c r="H22" s="415"/>
      <c r="I22" s="415"/>
      <c r="J22" s="415"/>
      <c r="K22" s="415">
        <f>H22+I22-J22</f>
        <v>0</v>
      </c>
      <c r="L22" s="415"/>
      <c r="M22" s="415">
        <f>SUM(F22-K22)</f>
        <v>0</v>
      </c>
    </row>
    <row r="23" spans="1:13" ht="15">
      <c r="B23" s="414"/>
      <c r="C23" s="415"/>
      <c r="D23" s="415"/>
      <c r="E23" s="415"/>
      <c r="F23" s="415"/>
      <c r="G23" s="415"/>
      <c r="H23" s="415"/>
      <c r="I23" s="415"/>
      <c r="J23" s="415"/>
      <c r="K23" s="415"/>
      <c r="L23" s="415"/>
      <c r="M23" s="415"/>
    </row>
    <row r="24" spans="1:13" ht="15">
      <c r="B24" s="414"/>
      <c r="C24" s="420">
        <f>SUM(C20:C22)</f>
        <v>0</v>
      </c>
      <c r="D24" s="420">
        <f>SUM(D20:D22)</f>
        <v>0</v>
      </c>
      <c r="E24" s="420">
        <f>SUM(E20:E22)</f>
        <v>0</v>
      </c>
      <c r="F24" s="420">
        <f>SUM(F20:F22)</f>
        <v>0</v>
      </c>
      <c r="G24" s="415"/>
      <c r="H24" s="420">
        <f>SUM(H20:H22)</f>
        <v>0</v>
      </c>
      <c r="I24" s="420">
        <f>SUM(I20:I22)</f>
        <v>0</v>
      </c>
      <c r="J24" s="420">
        <f>SUM(J20:J22)</f>
        <v>0</v>
      </c>
      <c r="K24" s="420">
        <f>SUM(K20:K22)</f>
        <v>0</v>
      </c>
      <c r="L24" s="415"/>
      <c r="M24" s="420">
        <f>SUM(M20:M23)</f>
        <v>0</v>
      </c>
    </row>
    <row r="25" spans="1:13" ht="15">
      <c r="B25" s="414"/>
      <c r="C25" s="415"/>
      <c r="D25" s="415"/>
      <c r="E25" s="415"/>
      <c r="F25" s="415"/>
      <c r="G25" s="415"/>
      <c r="H25" s="415"/>
      <c r="I25" s="415"/>
      <c r="J25" s="415"/>
      <c r="K25" s="415"/>
      <c r="L25" s="415"/>
      <c r="M25" s="415"/>
    </row>
    <row r="26" spans="1:13" ht="15">
      <c r="B26" s="414"/>
    </row>
    <row r="27" spans="1:13" ht="15.75" thickBot="1">
      <c r="B27" s="378" t="s">
        <v>88</v>
      </c>
      <c r="C27" s="422">
        <f>SUM(C16+C24)</f>
        <v>0</v>
      </c>
      <c r="D27" s="422">
        <f>SUM(D16+D24)</f>
        <v>0</v>
      </c>
      <c r="E27" s="422">
        <f>SUM(E16+E24)</f>
        <v>0</v>
      </c>
      <c r="F27" s="422">
        <f>SUM(F16+F24)</f>
        <v>0</v>
      </c>
      <c r="G27" s="423"/>
      <c r="H27" s="422">
        <f>SUM(H16+H24)</f>
        <v>0</v>
      </c>
      <c r="I27" s="422">
        <f>SUM(I16+I24)</f>
        <v>0</v>
      </c>
      <c r="J27" s="422">
        <f>SUM(J16+J24)</f>
        <v>0</v>
      </c>
      <c r="K27" s="422">
        <f>SUM(K16+K24)</f>
        <v>0</v>
      </c>
      <c r="L27" s="423"/>
      <c r="M27" s="422">
        <f>SUM(M16+M24)</f>
        <v>0</v>
      </c>
    </row>
    <row r="28" spans="1:13" ht="13.5" thickTop="1"/>
    <row r="30" spans="1:13">
      <c r="A30" s="377"/>
      <c r="B30" s="377"/>
      <c r="C30" s="377"/>
      <c r="D30" s="377"/>
      <c r="E30" s="377"/>
      <c r="F30" s="377"/>
      <c r="G30" s="377"/>
      <c r="H30" s="377"/>
      <c r="I30" s="377"/>
    </row>
    <row r="31" spans="1:13">
      <c r="A31" s="377"/>
      <c r="B31" s="377"/>
      <c r="C31" s="379"/>
      <c r="D31" s="379"/>
      <c r="E31" s="379"/>
      <c r="F31" s="379"/>
      <c r="G31" s="379"/>
      <c r="H31" s="379"/>
      <c r="I31" s="379"/>
    </row>
    <row r="32" spans="1:13">
      <c r="A32" s="377"/>
      <c r="B32" s="377"/>
      <c r="C32" s="379"/>
      <c r="D32" s="379"/>
      <c r="E32" s="379"/>
      <c r="F32" s="379"/>
      <c r="G32" s="379"/>
      <c r="H32" s="379"/>
      <c r="I32" s="379"/>
    </row>
    <row r="33" spans="1:9">
      <c r="A33" s="377"/>
      <c r="B33" s="377"/>
      <c r="C33" s="379"/>
      <c r="D33" s="379"/>
      <c r="E33" s="379"/>
      <c r="F33" s="379"/>
      <c r="G33" s="379"/>
      <c r="H33" s="379"/>
      <c r="I33" s="379"/>
    </row>
    <row r="36" spans="1:9">
      <c r="A36" s="380"/>
    </row>
    <row r="37" spans="1:9">
      <c r="A37" s="376"/>
      <c r="B37" s="376"/>
      <c r="C37" s="376"/>
      <c r="D37" s="376"/>
      <c r="E37" s="376"/>
      <c r="F37" s="376"/>
      <c r="G37" s="376"/>
      <c r="H37" s="376"/>
    </row>
    <row r="38" spans="1:9">
      <c r="A38" s="376"/>
      <c r="B38" s="379"/>
      <c r="C38" s="379"/>
      <c r="D38" s="379"/>
      <c r="E38" s="379"/>
      <c r="F38" s="379"/>
      <c r="G38" s="379"/>
      <c r="H38" s="379"/>
    </row>
    <row r="39" spans="1:9">
      <c r="A39" s="376"/>
      <c r="B39" s="379"/>
      <c r="C39" s="379"/>
      <c r="D39" s="379"/>
      <c r="E39" s="379"/>
      <c r="F39" s="379"/>
      <c r="G39" s="379"/>
      <c r="H39" s="379"/>
    </row>
    <row r="40" spans="1:9">
      <c r="A40" s="376"/>
      <c r="B40" s="379"/>
      <c r="C40" s="379"/>
      <c r="D40" s="379"/>
      <c r="E40" s="379"/>
      <c r="F40" s="379"/>
      <c r="G40" s="379"/>
      <c r="H40" s="381"/>
    </row>
    <row r="41" spans="1:9">
      <c r="A41" s="376"/>
      <c r="B41" s="379"/>
      <c r="C41" s="379"/>
      <c r="D41" s="379"/>
      <c r="E41" s="379"/>
      <c r="F41" s="379"/>
      <c r="G41" s="379"/>
      <c r="H41" s="381"/>
    </row>
    <row r="42" spans="1:9">
      <c r="A42" s="376"/>
      <c r="B42" s="379"/>
      <c r="C42" s="379"/>
      <c r="D42" s="379"/>
      <c r="E42" s="379"/>
      <c r="F42" s="379"/>
      <c r="G42" s="379"/>
      <c r="H42" s="381"/>
    </row>
    <row r="43" spans="1:9">
      <c r="A43" s="376"/>
      <c r="B43" s="379"/>
      <c r="C43" s="379"/>
      <c r="D43" s="379"/>
      <c r="E43" s="379"/>
      <c r="F43" s="379"/>
      <c r="G43" s="379"/>
      <c r="H43" s="381"/>
    </row>
    <row r="44" spans="1:9">
      <c r="A44" s="376"/>
      <c r="B44" s="379"/>
      <c r="C44" s="379"/>
      <c r="D44" s="379"/>
      <c r="E44" s="379"/>
      <c r="F44" s="379"/>
      <c r="G44" s="382"/>
    </row>
    <row r="45" spans="1:9">
      <c r="A45" s="380"/>
    </row>
    <row r="46" spans="1:9">
      <c r="A46" s="376"/>
      <c r="C46" s="376"/>
      <c r="D46" s="376"/>
      <c r="E46" s="376"/>
      <c r="F46" s="376"/>
      <c r="G46" s="376"/>
    </row>
    <row r="47" spans="1:9">
      <c r="C47" s="376"/>
      <c r="D47" s="376"/>
      <c r="E47" s="376"/>
      <c r="F47" s="376"/>
      <c r="G47" s="376"/>
    </row>
    <row r="48" spans="1:9">
      <c r="A48" s="377"/>
      <c r="C48" s="379"/>
      <c r="D48" s="379"/>
      <c r="E48" s="379"/>
      <c r="F48" s="379"/>
      <c r="G48" s="381"/>
    </row>
    <row r="49" spans="1:7">
      <c r="B49" s="379"/>
      <c r="C49" s="379"/>
      <c r="D49" s="379"/>
      <c r="E49" s="379"/>
      <c r="F49" s="379"/>
    </row>
    <row r="52" spans="1:7">
      <c r="A52" s="380"/>
    </row>
    <row r="53" spans="1:7">
      <c r="A53" s="376"/>
      <c r="C53" s="376"/>
      <c r="D53" s="376"/>
      <c r="E53" s="376"/>
      <c r="F53" s="376"/>
      <c r="G53" s="376"/>
    </row>
    <row r="54" spans="1:7">
      <c r="C54" s="376"/>
      <c r="D54" s="376"/>
      <c r="E54" s="376"/>
      <c r="F54" s="376"/>
      <c r="G54" s="376"/>
    </row>
  </sheetData>
  <sheetProtection password="CE8E" sheet="1"/>
  <mergeCells count="4">
    <mergeCell ref="C7:F7"/>
    <mergeCell ref="H7:K7"/>
    <mergeCell ref="H18:K18"/>
    <mergeCell ref="C18:F18"/>
  </mergeCells>
  <pageMargins left="0.7" right="0.7" top="0.75" bottom="0.75" header="0.3" footer="0.3"/>
  <pageSetup paperSize="9" scale="58" orientation="portrait" horizontalDpi="4294967293"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1">
    <pageSetUpPr fitToPage="1"/>
  </sheetPr>
  <dimension ref="A1:I62"/>
  <sheetViews>
    <sheetView topLeftCell="A13" workbookViewId="0">
      <selection activeCell="F43" sqref="F43"/>
    </sheetView>
  </sheetViews>
  <sheetFormatPr defaultColWidth="9.140625" defaultRowHeight="12.75"/>
  <cols>
    <col min="1" max="1" width="12.5703125" style="496" customWidth="1"/>
    <col min="2" max="2" width="13.7109375" style="496" bestFit="1" customWidth="1"/>
    <col min="3" max="4" width="9.140625" style="496"/>
    <col min="5" max="5" width="9.42578125" style="496" customWidth="1"/>
    <col min="6" max="6" width="13" style="496" customWidth="1"/>
    <col min="7" max="7" width="9.5703125" style="496" customWidth="1"/>
    <col min="8" max="16384" width="9.140625" style="496"/>
  </cols>
  <sheetData>
    <row r="1" spans="1:9">
      <c r="A1" s="512" t="str">
        <f>Summary!A1</f>
        <v>Design-spectrum Limited</v>
      </c>
      <c r="D1" s="508"/>
      <c r="H1" s="541" t="s">
        <v>89</v>
      </c>
    </row>
    <row r="2" spans="1:9">
      <c r="A2" s="510" t="s">
        <v>90</v>
      </c>
      <c r="D2" s="508"/>
      <c r="H2" s="541" t="s">
        <v>91</v>
      </c>
      <c r="I2" s="511">
        <f ca="1">TODAY()</f>
        <v>43500</v>
      </c>
    </row>
    <row r="3" spans="1:9">
      <c r="A3" s="510" t="s">
        <v>92</v>
      </c>
      <c r="B3" s="509">
        <f>'Oct 18'!C4</f>
        <v>43381</v>
      </c>
      <c r="C3" s="509"/>
      <c r="D3" s="508"/>
      <c r="H3" s="508"/>
    </row>
    <row r="6" spans="1:9">
      <c r="A6" s="507" t="s">
        <v>395</v>
      </c>
      <c r="C6" s="718" t="s">
        <v>448</v>
      </c>
      <c r="E6" s="718" t="s">
        <v>449</v>
      </c>
      <c r="G6" s="718" t="s">
        <v>450</v>
      </c>
    </row>
    <row r="7" spans="1:9">
      <c r="B7" s="500"/>
      <c r="C7" s="506" t="s">
        <v>392</v>
      </c>
      <c r="D7" s="500"/>
      <c r="E7" s="506" t="s">
        <v>391</v>
      </c>
      <c r="F7" s="500"/>
      <c r="G7" s="506" t="s">
        <v>390</v>
      </c>
      <c r="H7" s="500"/>
      <c r="I7" s="506" t="s">
        <v>26</v>
      </c>
    </row>
    <row r="8" spans="1:9">
      <c r="B8" s="500"/>
      <c r="C8" s="506" t="s">
        <v>389</v>
      </c>
      <c r="D8" s="500"/>
      <c r="E8" s="506" t="s">
        <v>388</v>
      </c>
      <c r="F8" s="500"/>
      <c r="G8" s="506" t="s">
        <v>387</v>
      </c>
      <c r="H8" s="500"/>
      <c r="I8" s="506"/>
    </row>
    <row r="9" spans="1:9">
      <c r="B9" s="500"/>
      <c r="C9" s="497" t="s">
        <v>393</v>
      </c>
      <c r="E9" s="497" t="s">
        <v>394</v>
      </c>
      <c r="G9" s="497" t="s">
        <v>393</v>
      </c>
      <c r="H9" s="500"/>
      <c r="I9" s="506"/>
    </row>
    <row r="10" spans="1:9">
      <c r="A10" s="503" t="s">
        <v>239</v>
      </c>
      <c r="C10" s="497" t="s">
        <v>93</v>
      </c>
      <c r="D10" s="497"/>
      <c r="E10" s="497" t="s">
        <v>93</v>
      </c>
      <c r="F10" s="497"/>
      <c r="G10" s="497" t="s">
        <v>93</v>
      </c>
      <c r="H10" s="497"/>
      <c r="I10" s="497" t="s">
        <v>93</v>
      </c>
    </row>
    <row r="11" spans="1:9">
      <c r="A11" s="505"/>
    </row>
    <row r="12" spans="1:9">
      <c r="A12" s="500" t="s">
        <v>427</v>
      </c>
      <c r="B12" s="500"/>
      <c r="C12" s="379"/>
      <c r="D12" s="379"/>
      <c r="E12" s="379">
        <f>B51</f>
        <v>0</v>
      </c>
      <c r="F12" s="379"/>
      <c r="G12" s="379">
        <f>B43</f>
        <v>1200</v>
      </c>
      <c r="H12" s="379"/>
      <c r="I12" s="379">
        <f>C12+E12+G12</f>
        <v>1200</v>
      </c>
    </row>
    <row r="13" spans="1:9">
      <c r="A13" s="500"/>
      <c r="B13" s="500"/>
      <c r="C13" s="379"/>
      <c r="D13" s="379"/>
      <c r="E13" s="379"/>
      <c r="F13" s="379"/>
      <c r="G13" s="379"/>
      <c r="H13" s="379"/>
      <c r="I13" s="379"/>
    </row>
    <row r="14" spans="1:9">
      <c r="A14" s="500" t="s">
        <v>381</v>
      </c>
      <c r="B14" s="500"/>
      <c r="C14" s="379"/>
      <c r="D14" s="379"/>
      <c r="E14" s="379">
        <f>C51</f>
        <v>0</v>
      </c>
      <c r="F14" s="379"/>
      <c r="G14" s="379">
        <f>C43</f>
        <v>0</v>
      </c>
      <c r="H14" s="379"/>
      <c r="I14" s="379">
        <f>C14+E14+G14</f>
        <v>0</v>
      </c>
    </row>
    <row r="15" spans="1:9">
      <c r="A15" s="500"/>
      <c r="B15" s="500"/>
      <c r="C15" s="379"/>
      <c r="D15" s="379"/>
      <c r="E15" s="379"/>
      <c r="F15" s="379"/>
      <c r="G15" s="379"/>
      <c r="H15" s="379"/>
      <c r="I15" s="379"/>
    </row>
    <row r="16" spans="1:9">
      <c r="A16" s="500" t="s">
        <v>385</v>
      </c>
      <c r="B16" s="500"/>
      <c r="C16" s="379"/>
      <c r="D16" s="379"/>
      <c r="E16" s="379">
        <v>0</v>
      </c>
      <c r="F16" s="379"/>
      <c r="G16" s="379">
        <v>0</v>
      </c>
      <c r="H16" s="379"/>
      <c r="I16" s="379">
        <f>C16+E16+G16</f>
        <v>0</v>
      </c>
    </row>
    <row r="17" spans="1:9">
      <c r="A17" s="500"/>
      <c r="B17" s="500"/>
      <c r="C17" s="379"/>
      <c r="D17" s="379"/>
      <c r="E17" s="379"/>
      <c r="F17" s="379"/>
      <c r="G17" s="379"/>
      <c r="H17" s="379"/>
      <c r="I17" s="379"/>
    </row>
    <row r="18" spans="1:9">
      <c r="A18" s="500" t="s">
        <v>428</v>
      </c>
      <c r="B18" s="500"/>
      <c r="C18" s="504">
        <f>C12+C14-C16</f>
        <v>0</v>
      </c>
      <c r="D18" s="379"/>
      <c r="E18" s="504">
        <f>E12+E14-E16</f>
        <v>0</v>
      </c>
      <c r="F18" s="379"/>
      <c r="G18" s="504">
        <f>G12+G14-G16</f>
        <v>1200</v>
      </c>
      <c r="H18" s="379"/>
      <c r="I18" s="504">
        <f>C18+E18+G18</f>
        <v>1200</v>
      </c>
    </row>
    <row r="20" spans="1:9">
      <c r="A20" s="503" t="s">
        <v>386</v>
      </c>
      <c r="B20" s="500"/>
      <c r="C20" s="500"/>
      <c r="D20" s="500"/>
      <c r="E20" s="500"/>
      <c r="F20" s="500"/>
      <c r="G20" s="500"/>
      <c r="H20" s="500"/>
      <c r="I20" s="500"/>
    </row>
    <row r="21" spans="1:9">
      <c r="A21" s="500"/>
      <c r="B21" s="500"/>
      <c r="C21" s="500"/>
      <c r="D21" s="500"/>
      <c r="E21" s="500"/>
      <c r="F21" s="500"/>
      <c r="G21" s="500"/>
      <c r="H21" s="500"/>
      <c r="I21" s="500"/>
    </row>
    <row r="22" spans="1:9">
      <c r="A22" s="500" t="str">
        <f>A12</f>
        <v>At 1 April 15</v>
      </c>
      <c r="B22" s="500"/>
      <c r="C22" s="379"/>
      <c r="D22" s="379"/>
      <c r="E22" s="379">
        <f>E51</f>
        <v>0</v>
      </c>
      <c r="F22" s="379"/>
      <c r="G22" s="379">
        <f>E43</f>
        <v>693.75</v>
      </c>
      <c r="H22" s="379"/>
      <c r="I22" s="379">
        <f>C22+E22+G22</f>
        <v>693.75</v>
      </c>
    </row>
    <row r="23" spans="1:9">
      <c r="A23" s="500"/>
      <c r="B23" s="500"/>
      <c r="C23" s="379"/>
      <c r="D23" s="379"/>
      <c r="E23" s="379"/>
      <c r="F23" s="379"/>
      <c r="G23" s="379"/>
      <c r="H23" s="379"/>
      <c r="I23" s="379"/>
    </row>
    <row r="24" spans="1:9">
      <c r="A24" s="500" t="s">
        <v>385</v>
      </c>
      <c r="B24" s="500"/>
      <c r="C24" s="379"/>
      <c r="D24" s="379"/>
      <c r="E24" s="379">
        <v>0</v>
      </c>
      <c r="F24" s="379"/>
      <c r="G24" s="379">
        <v>0</v>
      </c>
      <c r="H24" s="379"/>
      <c r="I24" s="379">
        <f>C24+E24+G24</f>
        <v>0</v>
      </c>
    </row>
    <row r="25" spans="1:9">
      <c r="A25" s="500"/>
      <c r="B25" s="500"/>
      <c r="C25" s="379"/>
      <c r="D25" s="379"/>
      <c r="E25" s="379"/>
      <c r="F25" s="379"/>
      <c r="G25" s="379"/>
      <c r="H25" s="379"/>
      <c r="I25" s="379"/>
    </row>
    <row r="26" spans="1:9">
      <c r="A26" s="500" t="s">
        <v>384</v>
      </c>
      <c r="B26" s="500"/>
      <c r="C26" s="379"/>
      <c r="D26" s="379"/>
      <c r="E26" s="379">
        <f>F51</f>
        <v>0</v>
      </c>
      <c r="F26" s="379"/>
      <c r="G26" s="379">
        <f>F43</f>
        <v>126.5625</v>
      </c>
      <c r="H26" s="379"/>
      <c r="I26" s="379">
        <f>C26+E26+G26</f>
        <v>126.5625</v>
      </c>
    </row>
    <row r="27" spans="1:9">
      <c r="A27" s="500"/>
      <c r="B27" s="500"/>
      <c r="C27" s="379"/>
      <c r="D27" s="379"/>
      <c r="E27" s="379"/>
      <c r="F27" s="379"/>
      <c r="G27" s="379"/>
      <c r="H27" s="379"/>
      <c r="I27" s="379"/>
    </row>
    <row r="28" spans="1:9">
      <c r="A28" s="500" t="str">
        <f>A18</f>
        <v>At 31 March 16</v>
      </c>
      <c r="B28" s="500"/>
      <c r="C28" s="504">
        <f>C22-C24+C26</f>
        <v>0</v>
      </c>
      <c r="D28" s="379"/>
      <c r="E28" s="504">
        <f>E22-E24+E26</f>
        <v>0</v>
      </c>
      <c r="F28" s="379"/>
      <c r="G28" s="504">
        <f>G22+G26</f>
        <v>820.3125</v>
      </c>
      <c r="H28" s="379"/>
      <c r="I28" s="504">
        <f>C28+E28+G28</f>
        <v>820.3125</v>
      </c>
    </row>
    <row r="29" spans="1:9">
      <c r="A29" s="500"/>
      <c r="B29" s="500"/>
      <c r="C29" s="500"/>
      <c r="D29" s="500"/>
      <c r="E29" s="500"/>
      <c r="F29" s="500"/>
      <c r="G29" s="500"/>
      <c r="H29" s="500"/>
      <c r="I29" s="500"/>
    </row>
    <row r="30" spans="1:9">
      <c r="A30" s="503" t="s">
        <v>383</v>
      </c>
      <c r="B30" s="500"/>
      <c r="C30" s="500"/>
      <c r="D30" s="500"/>
      <c r="E30" s="500"/>
      <c r="F30" s="500"/>
      <c r="G30" s="500"/>
      <c r="H30" s="500"/>
      <c r="I30" s="500"/>
    </row>
    <row r="31" spans="1:9">
      <c r="A31" s="500"/>
      <c r="B31" s="500"/>
      <c r="C31" s="500"/>
      <c r="D31" s="500"/>
      <c r="E31" s="500"/>
      <c r="F31" s="500"/>
      <c r="G31" s="500"/>
      <c r="H31" s="500"/>
      <c r="I31" s="500"/>
    </row>
    <row r="32" spans="1:9" ht="13.5" thickBot="1">
      <c r="A32" s="500" t="str">
        <f>A28</f>
        <v>At 31 March 16</v>
      </c>
      <c r="B32" s="500"/>
      <c r="C32" s="502">
        <f>C18-C28</f>
        <v>0</v>
      </c>
      <c r="D32" s="379"/>
      <c r="E32" s="502">
        <f>E18-E28</f>
        <v>0</v>
      </c>
      <c r="F32" s="379"/>
      <c r="G32" s="502">
        <f>G18-G28</f>
        <v>379.6875</v>
      </c>
      <c r="H32" s="379"/>
      <c r="I32" s="502">
        <f>C32+E32+G32</f>
        <v>379.6875</v>
      </c>
    </row>
    <row r="33" spans="1:9" ht="13.5" thickTop="1">
      <c r="A33" s="500"/>
      <c r="B33" s="500"/>
      <c r="C33" s="379"/>
      <c r="D33" s="379"/>
      <c r="E33" s="379"/>
      <c r="F33" s="379"/>
      <c r="G33" s="379"/>
      <c r="H33" s="379"/>
      <c r="I33" s="379"/>
    </row>
    <row r="34" spans="1:9" ht="13.5" thickBot="1">
      <c r="A34" s="500" t="str">
        <f>A12</f>
        <v>At 1 April 15</v>
      </c>
      <c r="B34" s="500"/>
      <c r="C34" s="502">
        <f>C12-C22</f>
        <v>0</v>
      </c>
      <c r="D34" s="379"/>
      <c r="E34" s="502">
        <f>E12-E22</f>
        <v>0</v>
      </c>
      <c r="F34" s="379"/>
      <c r="G34" s="502">
        <f>G12-G22</f>
        <v>506.25</v>
      </c>
      <c r="H34" s="379"/>
      <c r="I34" s="502">
        <f>C34+E34+G34</f>
        <v>506.25</v>
      </c>
    </row>
    <row r="35" spans="1:9" ht="13.5" thickTop="1"/>
    <row r="37" spans="1:9">
      <c r="A37" s="498" t="s">
        <v>429</v>
      </c>
    </row>
    <row r="38" spans="1:9">
      <c r="A38" s="497" t="s">
        <v>382</v>
      </c>
      <c r="B38" s="497" t="s">
        <v>94</v>
      </c>
      <c r="C38" s="497" t="s">
        <v>381</v>
      </c>
      <c r="D38" s="497" t="s">
        <v>26</v>
      </c>
      <c r="E38" s="497" t="s">
        <v>380</v>
      </c>
      <c r="F38" s="497" t="s">
        <v>379</v>
      </c>
      <c r="G38" s="497" t="s">
        <v>378</v>
      </c>
      <c r="H38" s="497" t="s">
        <v>240</v>
      </c>
    </row>
    <row r="39" spans="1:9">
      <c r="A39" s="497">
        <v>2013</v>
      </c>
      <c r="B39" s="379">
        <v>0</v>
      </c>
      <c r="C39" s="668"/>
      <c r="D39" s="379">
        <f>B39+C39</f>
        <v>0</v>
      </c>
      <c r="E39" s="379">
        <v>0</v>
      </c>
      <c r="F39" s="379">
        <f>D39*0.25</f>
        <v>0</v>
      </c>
      <c r="G39" s="379">
        <f>E39+F39</f>
        <v>0</v>
      </c>
      <c r="H39" s="379">
        <f>D39-G39</f>
        <v>0</v>
      </c>
    </row>
    <row r="40" spans="1:9">
      <c r="A40" s="497">
        <v>2014</v>
      </c>
      <c r="B40" s="379">
        <v>0</v>
      </c>
      <c r="C40" s="668"/>
      <c r="D40" s="379">
        <f>B40+C40</f>
        <v>0</v>
      </c>
      <c r="E40" s="379">
        <v>0</v>
      </c>
      <c r="F40" s="379">
        <f>D40*0.25</f>
        <v>0</v>
      </c>
      <c r="G40" s="379">
        <f>E40+F40</f>
        <v>0</v>
      </c>
      <c r="H40" s="379">
        <f>D40-G40</f>
        <v>0</v>
      </c>
    </row>
    <row r="41" spans="1:9">
      <c r="A41" s="497">
        <v>2015</v>
      </c>
      <c r="B41" s="379">
        <v>0</v>
      </c>
      <c r="C41" s="668"/>
      <c r="D41" s="379">
        <f>B41+C41</f>
        <v>0</v>
      </c>
      <c r="E41" s="379">
        <v>0</v>
      </c>
      <c r="F41" s="379">
        <f>D41*0.25</f>
        <v>0</v>
      </c>
      <c r="G41" s="379">
        <f>E41+F41</f>
        <v>0</v>
      </c>
      <c r="H41" s="379">
        <f>D41-G41</f>
        <v>0</v>
      </c>
    </row>
    <row r="42" spans="1:9">
      <c r="A42" s="497">
        <v>2016</v>
      </c>
      <c r="B42" s="668">
        <v>1200</v>
      </c>
      <c r="C42" s="379">
        <v>0</v>
      </c>
      <c r="D42" s="379">
        <f>B42+C42</f>
        <v>1200</v>
      </c>
      <c r="E42" s="668">
        <f>525+168.75</f>
        <v>693.75</v>
      </c>
      <c r="F42" s="379">
        <f>(D42-E42)*0.25</f>
        <v>126.5625</v>
      </c>
      <c r="G42" s="379">
        <f>E42+F42</f>
        <v>820.3125</v>
      </c>
      <c r="H42" s="379">
        <f>D42-G42</f>
        <v>379.6875</v>
      </c>
    </row>
    <row r="43" spans="1:9" ht="13.5" thickBot="1">
      <c r="A43" s="497"/>
      <c r="B43" s="501">
        <f t="shared" ref="B43:H43" si="0">SUM(B39:B42)</f>
        <v>1200</v>
      </c>
      <c r="C43" s="501">
        <f t="shared" si="0"/>
        <v>0</v>
      </c>
      <c r="D43" s="501">
        <f t="shared" si="0"/>
        <v>1200</v>
      </c>
      <c r="E43" s="501">
        <f t="shared" si="0"/>
        <v>693.75</v>
      </c>
      <c r="F43" s="501">
        <f t="shared" si="0"/>
        <v>126.5625</v>
      </c>
      <c r="G43" s="501">
        <f t="shared" si="0"/>
        <v>820.3125</v>
      </c>
      <c r="H43" s="501">
        <f t="shared" si="0"/>
        <v>379.6875</v>
      </c>
    </row>
    <row r="44" spans="1:9" ht="13.5" thickTop="1">
      <c r="A44" s="497"/>
      <c r="B44" s="379"/>
      <c r="C44" s="379"/>
      <c r="D44" s="379"/>
      <c r="E44" s="379"/>
      <c r="F44" s="379"/>
      <c r="G44" s="379"/>
      <c r="H44" s="499"/>
    </row>
    <row r="45" spans="1:9">
      <c r="A45" s="498" t="s">
        <v>430</v>
      </c>
    </row>
    <row r="46" spans="1:9">
      <c r="A46" s="497" t="s">
        <v>382</v>
      </c>
      <c r="B46" s="497" t="s">
        <v>94</v>
      </c>
      <c r="C46" s="497" t="s">
        <v>381</v>
      </c>
      <c r="D46" s="497" t="s">
        <v>26</v>
      </c>
      <c r="E46" s="497" t="s">
        <v>380</v>
      </c>
      <c r="F46" s="497" t="s">
        <v>379</v>
      </c>
      <c r="G46" s="497" t="s">
        <v>378</v>
      </c>
      <c r="H46" s="497" t="s">
        <v>240</v>
      </c>
    </row>
    <row r="47" spans="1:9">
      <c r="A47" s="497">
        <v>2013</v>
      </c>
      <c r="B47" s="379">
        <v>0</v>
      </c>
      <c r="C47" s="668"/>
      <c r="D47" s="379">
        <f>B47+C47</f>
        <v>0</v>
      </c>
      <c r="E47" s="379">
        <v>0</v>
      </c>
      <c r="F47" s="379">
        <f>(D47-E47)*0.25</f>
        <v>0</v>
      </c>
      <c r="G47" s="379">
        <f>E47+F47</f>
        <v>0</v>
      </c>
      <c r="H47" s="379">
        <f>D47-G47</f>
        <v>0</v>
      </c>
    </row>
    <row r="48" spans="1:9">
      <c r="A48" s="497">
        <v>2014</v>
      </c>
      <c r="B48" s="379">
        <v>0</v>
      </c>
      <c r="C48" s="668"/>
      <c r="D48" s="379">
        <f>B48+C48</f>
        <v>0</v>
      </c>
      <c r="E48" s="379">
        <v>0</v>
      </c>
      <c r="F48" s="379">
        <f>(D48-E48)*0.25</f>
        <v>0</v>
      </c>
      <c r="G48" s="379">
        <f>E48+F48</f>
        <v>0</v>
      </c>
      <c r="H48" s="379">
        <f>D48-G48</f>
        <v>0</v>
      </c>
    </row>
    <row r="49" spans="1:8">
      <c r="A49" s="497">
        <v>2015</v>
      </c>
      <c r="B49" s="379">
        <v>0</v>
      </c>
      <c r="C49" s="668"/>
      <c r="D49" s="379">
        <f>B49+C49</f>
        <v>0</v>
      </c>
      <c r="E49" s="379">
        <v>0</v>
      </c>
      <c r="F49" s="379">
        <f>(D49-E49)*0.25</f>
        <v>0</v>
      </c>
      <c r="G49" s="379">
        <f>E49+F49</f>
        <v>0</v>
      </c>
      <c r="H49" s="379">
        <f>D49-G49</f>
        <v>0</v>
      </c>
    </row>
    <row r="50" spans="1:8">
      <c r="A50" s="497">
        <v>2016</v>
      </c>
      <c r="B50" s="668"/>
      <c r="C50" s="379">
        <v>0</v>
      </c>
      <c r="D50" s="379">
        <f>B50+C50</f>
        <v>0</v>
      </c>
      <c r="E50" s="668"/>
      <c r="F50" s="379">
        <f>(D50-E50)*0.25</f>
        <v>0</v>
      </c>
      <c r="G50" s="379">
        <f>E50+F50</f>
        <v>0</v>
      </c>
      <c r="H50" s="379">
        <f>D50-G50</f>
        <v>0</v>
      </c>
    </row>
    <row r="51" spans="1:8" ht="13.5" thickBot="1">
      <c r="A51" s="497"/>
      <c r="B51" s="501">
        <f t="shared" ref="B51:H51" si="1">SUM(B47:B50)</f>
        <v>0</v>
      </c>
      <c r="C51" s="501">
        <f t="shared" si="1"/>
        <v>0</v>
      </c>
      <c r="D51" s="501">
        <f t="shared" si="1"/>
        <v>0</v>
      </c>
      <c r="E51" s="501">
        <f t="shared" si="1"/>
        <v>0</v>
      </c>
      <c r="F51" s="501">
        <f t="shared" si="1"/>
        <v>0</v>
      </c>
      <c r="G51" s="501">
        <f t="shared" si="1"/>
        <v>0</v>
      </c>
      <c r="H51" s="501">
        <f t="shared" si="1"/>
        <v>0</v>
      </c>
    </row>
    <row r="52" spans="1:8" ht="13.5" thickTop="1"/>
    <row r="53" spans="1:8">
      <c r="A53" s="498" t="s">
        <v>377</v>
      </c>
    </row>
    <row r="54" spans="1:8">
      <c r="A54" s="497" t="s">
        <v>13</v>
      </c>
      <c r="B54" s="669" t="s">
        <v>11</v>
      </c>
      <c r="C54" s="497" t="s">
        <v>239</v>
      </c>
      <c r="D54" s="497" t="s">
        <v>376</v>
      </c>
      <c r="E54" s="497" t="s">
        <v>240</v>
      </c>
      <c r="F54" s="497" t="s">
        <v>375</v>
      </c>
      <c r="G54" s="497" t="s">
        <v>374</v>
      </c>
    </row>
    <row r="55" spans="1:8">
      <c r="A55" s="669"/>
      <c r="B55" s="669"/>
      <c r="C55" s="497" t="s">
        <v>93</v>
      </c>
      <c r="D55" s="497" t="s">
        <v>93</v>
      </c>
      <c r="E55" s="497" t="s">
        <v>93</v>
      </c>
      <c r="F55" s="497" t="s">
        <v>93</v>
      </c>
      <c r="G55" s="497" t="s">
        <v>93</v>
      </c>
    </row>
    <row r="56" spans="1:8">
      <c r="A56" s="500"/>
      <c r="C56" s="379"/>
      <c r="D56" s="379"/>
      <c r="E56" s="379"/>
      <c r="F56" s="379"/>
      <c r="G56" s="499"/>
    </row>
    <row r="57" spans="1:8">
      <c r="B57" s="379"/>
      <c r="C57" s="379"/>
      <c r="D57" s="379"/>
      <c r="E57" s="379"/>
      <c r="F57" s="379"/>
    </row>
    <row r="60" spans="1:8">
      <c r="A60" s="498" t="s">
        <v>373</v>
      </c>
    </row>
    <row r="61" spans="1:8">
      <c r="A61" s="497" t="s">
        <v>13</v>
      </c>
      <c r="B61" s="669" t="s">
        <v>11</v>
      </c>
      <c r="C61" s="497" t="s">
        <v>239</v>
      </c>
      <c r="D61" s="497"/>
      <c r="E61" s="497"/>
      <c r="F61" s="497"/>
      <c r="G61" s="497"/>
    </row>
    <row r="62" spans="1:8">
      <c r="A62" s="669"/>
      <c r="B62" s="669"/>
      <c r="C62" s="497" t="s">
        <v>93</v>
      </c>
      <c r="D62" s="497"/>
      <c r="E62" s="497"/>
      <c r="F62" s="497"/>
      <c r="G62" s="497"/>
    </row>
  </sheetData>
  <pageMargins left="0.7" right="0.7" top="0.75" bottom="0.75" header="0.3" footer="0.3"/>
  <pageSetup paperSize="9" scale="96" orientation="portrait" horizontalDpi="4294967293" verticalDpi="0" r:id="rId1"/>
  <ignoredErrors>
    <ignoredError sqref="C6 E6 G6"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58"/>
  <sheetViews>
    <sheetView workbookViewId="0">
      <selection activeCell="O18" sqref="O18"/>
    </sheetView>
  </sheetViews>
  <sheetFormatPr defaultRowHeight="12.75"/>
  <cols>
    <col min="1" max="1" width="9.42578125" customWidth="1"/>
    <col min="2" max="2" width="9.140625" customWidth="1"/>
    <col min="4" max="4" width="10.28515625" bestFit="1" customWidth="1"/>
    <col min="5" max="5" width="2.85546875" customWidth="1"/>
    <col min="6" max="6" width="3.140625" customWidth="1"/>
    <col min="10" max="10" width="10.42578125" customWidth="1"/>
  </cols>
  <sheetData>
    <row r="1" spans="1:10">
      <c r="A1" s="349" t="str">
        <f>Summary!A1</f>
        <v>Design-spectrum Limited</v>
      </c>
      <c r="B1" s="443"/>
      <c r="C1" s="444"/>
      <c r="D1" s="444"/>
      <c r="E1" s="444"/>
      <c r="F1" s="444"/>
      <c r="G1" s="444"/>
      <c r="H1" s="444"/>
      <c r="I1" s="444"/>
      <c r="J1" s="444"/>
    </row>
    <row r="2" spans="1:10" ht="15.75">
      <c r="A2" s="445" t="s">
        <v>275</v>
      </c>
      <c r="B2" s="443"/>
      <c r="C2" s="444"/>
      <c r="D2" s="444"/>
      <c r="E2" s="444"/>
      <c r="F2" s="446"/>
      <c r="G2" s="447"/>
      <c r="H2" s="448"/>
      <c r="I2" s="449"/>
      <c r="J2" s="450"/>
    </row>
    <row r="3" spans="1:10">
      <c r="A3" s="445" t="s">
        <v>344</v>
      </c>
      <c r="B3" s="451">
        <f>SUM('Control Accounts'!B3)</f>
        <v>43381</v>
      </c>
      <c r="C3" s="444"/>
      <c r="D3" s="444"/>
      <c r="E3" s="444"/>
      <c r="F3" s="444"/>
      <c r="G3" s="450"/>
      <c r="H3" s="450"/>
      <c r="I3" s="450"/>
      <c r="J3" s="450"/>
    </row>
    <row r="4" spans="1:10">
      <c r="A4" s="444"/>
      <c r="B4" s="444"/>
      <c r="C4" s="444"/>
      <c r="D4" s="444"/>
      <c r="E4" s="444"/>
      <c r="F4" s="444"/>
      <c r="G4" s="444"/>
      <c r="H4" s="444"/>
      <c r="I4" s="444"/>
      <c r="J4" s="444"/>
    </row>
    <row r="5" spans="1:10">
      <c r="A5" s="452"/>
      <c r="B5" s="444"/>
      <c r="C5" s="444"/>
      <c r="D5" s="444"/>
      <c r="E5" s="444"/>
      <c r="F5" s="444"/>
      <c r="G5" s="444"/>
      <c r="H5" s="444"/>
      <c r="I5" s="444"/>
      <c r="J5" s="444"/>
    </row>
    <row r="6" spans="1:10">
      <c r="A6" s="452"/>
      <c r="B6" s="444"/>
      <c r="C6" s="444"/>
      <c r="D6" s="444"/>
      <c r="E6" s="444"/>
      <c r="F6" s="444"/>
      <c r="G6" s="444"/>
      <c r="H6" s="444"/>
      <c r="I6" s="444"/>
      <c r="J6" s="444"/>
    </row>
    <row r="7" spans="1:10">
      <c r="A7" s="444"/>
      <c r="B7" s="444"/>
      <c r="C7" s="444"/>
      <c r="D7" s="444"/>
      <c r="E7" s="444"/>
      <c r="F7" s="444"/>
      <c r="G7" s="444"/>
      <c r="H7" s="444"/>
      <c r="I7" s="444"/>
      <c r="J7" s="444"/>
    </row>
    <row r="8" spans="1:10">
      <c r="A8" s="444"/>
      <c r="B8" s="444"/>
      <c r="C8" s="444"/>
      <c r="D8" s="444"/>
      <c r="E8" s="444"/>
      <c r="F8" s="444"/>
      <c r="G8" s="444"/>
      <c r="H8" s="444"/>
      <c r="I8" s="444"/>
      <c r="J8" s="444"/>
    </row>
    <row r="9" spans="1:10">
      <c r="A9" s="444"/>
      <c r="B9" s="443"/>
      <c r="C9" s="453"/>
      <c r="D9" s="453"/>
      <c r="E9" s="453"/>
      <c r="F9" s="453"/>
      <c r="G9" s="453"/>
      <c r="H9" s="453"/>
      <c r="I9" s="453"/>
      <c r="J9" s="453"/>
    </row>
    <row r="10" spans="1:10">
      <c r="A10" s="454" t="s">
        <v>11</v>
      </c>
      <c r="B10" s="792" t="s">
        <v>13</v>
      </c>
      <c r="C10" s="792"/>
      <c r="D10" s="455" t="s">
        <v>93</v>
      </c>
      <c r="E10" s="456"/>
      <c r="F10" s="457"/>
      <c r="G10" s="458" t="s">
        <v>11</v>
      </c>
      <c r="H10" s="793" t="s">
        <v>13</v>
      </c>
      <c r="I10" s="793"/>
      <c r="J10" s="455" t="s">
        <v>93</v>
      </c>
    </row>
    <row r="11" spans="1:10">
      <c r="A11" s="454"/>
      <c r="B11" s="454"/>
      <c r="C11" s="459"/>
      <c r="D11" s="460"/>
      <c r="E11" s="461"/>
      <c r="F11" s="459"/>
      <c r="G11" s="462"/>
      <c r="H11" s="463"/>
      <c r="I11" s="463"/>
      <c r="J11" s="463"/>
    </row>
    <row r="12" spans="1:10">
      <c r="A12" s="464"/>
      <c r="B12" s="794"/>
      <c r="C12" s="794"/>
      <c r="D12" s="465"/>
      <c r="E12" s="466"/>
      <c r="F12" s="453"/>
      <c r="G12" s="467">
        <f>SUM('Nov 17'!C4)</f>
        <v>43040</v>
      </c>
      <c r="H12" s="795" t="s">
        <v>345</v>
      </c>
      <c r="I12" s="795"/>
      <c r="J12" s="468"/>
    </row>
    <row r="13" spans="1:10">
      <c r="A13" s="464"/>
      <c r="B13" s="794"/>
      <c r="C13" s="794"/>
      <c r="D13" s="465"/>
      <c r="E13" s="466"/>
      <c r="F13" s="453"/>
      <c r="G13" s="469"/>
      <c r="H13" s="796"/>
      <c r="I13" s="796"/>
      <c r="J13" s="465"/>
    </row>
    <row r="14" spans="1:10">
      <c r="A14" s="464"/>
      <c r="B14" s="794"/>
      <c r="C14" s="794"/>
      <c r="D14" s="465"/>
      <c r="E14" s="466"/>
      <c r="F14" s="453"/>
      <c r="G14" s="469"/>
      <c r="H14" s="796"/>
      <c r="I14" s="796"/>
      <c r="J14" s="465"/>
    </row>
    <row r="15" spans="1:10">
      <c r="A15" s="464"/>
      <c r="B15" s="794"/>
      <c r="C15" s="794"/>
      <c r="D15" s="465"/>
      <c r="E15" s="466"/>
      <c r="F15" s="453"/>
      <c r="G15" s="469"/>
      <c r="H15" s="796"/>
      <c r="I15" s="796"/>
      <c r="J15" s="465"/>
    </row>
    <row r="16" spans="1:10">
      <c r="A16" s="464"/>
      <c r="B16" s="794"/>
      <c r="C16" s="794"/>
      <c r="D16" s="465"/>
      <c r="E16" s="466"/>
      <c r="F16" s="453"/>
      <c r="G16" s="469"/>
      <c r="H16" s="796"/>
      <c r="I16" s="796"/>
      <c r="J16" s="465"/>
    </row>
    <row r="17" spans="1:10">
      <c r="A17" s="464"/>
      <c r="B17" s="794"/>
      <c r="C17" s="794"/>
      <c r="D17" s="465"/>
      <c r="E17" s="466"/>
      <c r="F17" s="453"/>
      <c r="G17" s="469"/>
      <c r="H17" s="797"/>
      <c r="I17" s="796"/>
      <c r="J17" s="465"/>
    </row>
    <row r="18" spans="1:10">
      <c r="A18" s="464"/>
      <c r="B18" s="794"/>
      <c r="C18" s="794"/>
      <c r="D18" s="465"/>
      <c r="E18" s="466"/>
      <c r="F18" s="453"/>
      <c r="G18" s="469"/>
      <c r="H18" s="796"/>
      <c r="I18" s="796"/>
      <c r="J18" s="465"/>
    </row>
    <row r="19" spans="1:10">
      <c r="A19" s="464"/>
      <c r="B19" s="794"/>
      <c r="C19" s="794"/>
      <c r="D19" s="465"/>
      <c r="E19" s="466"/>
      <c r="F19" s="453"/>
      <c r="G19" s="469"/>
      <c r="H19" s="796"/>
      <c r="I19" s="796"/>
      <c r="J19" s="465"/>
    </row>
    <row r="20" spans="1:10">
      <c r="A20" s="464"/>
      <c r="B20" s="794"/>
      <c r="C20" s="794"/>
      <c r="D20" s="465"/>
      <c r="E20" s="466"/>
      <c r="F20" s="453"/>
      <c r="G20" s="469"/>
      <c r="H20" s="796"/>
      <c r="I20" s="796"/>
      <c r="J20" s="465"/>
    </row>
    <row r="21" spans="1:10">
      <c r="A21" s="464"/>
      <c r="B21" s="794"/>
      <c r="C21" s="794"/>
      <c r="D21" s="465"/>
      <c r="E21" s="466"/>
      <c r="F21" s="453"/>
      <c r="G21" s="469"/>
      <c r="H21" s="796"/>
      <c r="I21" s="796"/>
      <c r="J21" s="465"/>
    </row>
    <row r="22" spans="1:10">
      <c r="A22" s="464"/>
      <c r="B22" s="794"/>
      <c r="C22" s="794"/>
      <c r="D22" s="465"/>
      <c r="E22" s="466"/>
      <c r="F22" s="453"/>
      <c r="G22" s="469"/>
      <c r="H22" s="796"/>
      <c r="I22" s="796"/>
      <c r="J22" s="465"/>
    </row>
    <row r="23" spans="1:10">
      <c r="A23" s="464"/>
      <c r="B23" s="794"/>
      <c r="C23" s="794"/>
      <c r="D23" s="470"/>
      <c r="E23" s="471"/>
      <c r="F23" s="444"/>
      <c r="G23" s="472"/>
      <c r="H23" s="794"/>
      <c r="I23" s="794"/>
      <c r="J23" s="470"/>
    </row>
    <row r="24" spans="1:10">
      <c r="A24" s="473">
        <f>SUM(B3)</f>
        <v>43381</v>
      </c>
      <c r="B24" s="798" t="s">
        <v>346</v>
      </c>
      <c r="C24" s="798"/>
      <c r="D24" s="470"/>
      <c r="E24" s="471"/>
      <c r="F24" s="444"/>
      <c r="G24" s="472"/>
      <c r="H24" s="794"/>
      <c r="I24" s="794"/>
      <c r="J24" s="470"/>
    </row>
    <row r="25" spans="1:10">
      <c r="A25" s="444"/>
      <c r="B25" s="444"/>
      <c r="C25" s="444"/>
      <c r="D25" s="474"/>
      <c r="E25" s="474"/>
      <c r="F25" s="444"/>
      <c r="G25" s="450"/>
      <c r="H25" s="475"/>
      <c r="I25" s="475"/>
      <c r="J25" s="474"/>
    </row>
    <row r="26" spans="1:10" ht="13.5" thickBot="1">
      <c r="A26" s="444"/>
      <c r="B26" s="444"/>
      <c r="C26" s="444"/>
      <c r="D26" s="476">
        <f>SUM(D12:D24)</f>
        <v>0</v>
      </c>
      <c r="E26" s="477"/>
      <c r="F26" s="478"/>
      <c r="G26" s="478"/>
      <c r="H26" s="453"/>
      <c r="I26" s="453"/>
      <c r="J26" s="476">
        <f>SUM(J12:J24)</f>
        <v>0</v>
      </c>
    </row>
    <row r="27" spans="1:10" ht="13.5" thickTop="1">
      <c r="A27" s="444"/>
      <c r="B27" s="444"/>
      <c r="C27" s="444"/>
      <c r="D27" s="474"/>
      <c r="E27" s="474"/>
      <c r="F27" s="444"/>
      <c r="G27" s="450"/>
      <c r="H27" s="444"/>
      <c r="I27" s="444"/>
      <c r="J27" s="474"/>
    </row>
    <row r="28" spans="1:10">
      <c r="A28" s="444"/>
      <c r="B28" s="444"/>
      <c r="C28" s="444"/>
      <c r="D28" s="474">
        <f>SUM(D26-J26)</f>
        <v>0</v>
      </c>
      <c r="E28" s="474"/>
      <c r="F28" s="479"/>
      <c r="G28" s="450"/>
      <c r="H28" s="444"/>
      <c r="I28" s="444"/>
      <c r="J28" s="474"/>
    </row>
    <row r="29" spans="1:10">
      <c r="A29" s="444"/>
      <c r="B29" s="444"/>
      <c r="C29" s="444"/>
      <c r="D29" s="474"/>
      <c r="E29" s="474"/>
      <c r="F29" s="444"/>
      <c r="G29" s="480"/>
      <c r="H29" s="444"/>
      <c r="I29" s="444"/>
      <c r="J29" s="474"/>
    </row>
    <row r="30" spans="1:10">
      <c r="A30" s="444"/>
      <c r="B30" s="444"/>
      <c r="C30" s="444"/>
      <c r="D30" s="474"/>
      <c r="E30" s="474"/>
      <c r="F30" s="444"/>
      <c r="G30" s="444"/>
      <c r="H30" s="444"/>
      <c r="I30" s="444"/>
      <c r="J30" s="474"/>
    </row>
    <row r="31" spans="1:10">
      <c r="A31" s="450"/>
      <c r="B31" s="450"/>
      <c r="C31" s="450"/>
      <c r="D31" s="481"/>
      <c r="E31" s="481"/>
      <c r="F31" s="450"/>
      <c r="G31" s="450"/>
      <c r="H31" s="450"/>
      <c r="I31" s="450"/>
      <c r="J31" s="450"/>
    </row>
    <row r="32" spans="1:10">
      <c r="A32" s="450"/>
      <c r="B32" s="450"/>
      <c r="C32" s="450"/>
      <c r="D32" s="450"/>
      <c r="E32" s="450"/>
      <c r="F32" s="450"/>
      <c r="G32" s="450"/>
      <c r="H32" s="450"/>
      <c r="I32" s="450"/>
      <c r="J32" s="450"/>
    </row>
    <row r="33" spans="1:10">
      <c r="A33" s="450"/>
      <c r="B33" s="450"/>
      <c r="C33" s="450"/>
      <c r="D33" s="450"/>
      <c r="E33" s="450"/>
      <c r="F33" s="450"/>
      <c r="G33" s="450"/>
      <c r="H33" s="450"/>
      <c r="I33" s="450"/>
      <c r="J33" s="450"/>
    </row>
    <row r="34" spans="1:10" ht="15">
      <c r="A34" s="482"/>
      <c r="B34" s="482"/>
      <c r="C34" s="482"/>
      <c r="D34" s="450"/>
      <c r="E34" s="450"/>
      <c r="F34" s="483"/>
      <c r="G34" s="450"/>
      <c r="H34" s="450"/>
      <c r="I34" s="484"/>
      <c r="J34" s="482"/>
    </row>
    <row r="35" spans="1:10">
      <c r="A35" s="450"/>
      <c r="B35" s="450"/>
      <c r="C35" s="450"/>
      <c r="D35" s="450"/>
      <c r="E35" s="450"/>
      <c r="F35" s="450"/>
      <c r="G35" s="450"/>
      <c r="H35" s="450"/>
      <c r="I35" s="450"/>
      <c r="J35" s="450"/>
    </row>
    <row r="36" spans="1:10">
      <c r="A36" s="450"/>
      <c r="B36" s="450"/>
      <c r="C36" s="450"/>
      <c r="D36" s="450"/>
      <c r="E36" s="450"/>
      <c r="F36" s="450"/>
      <c r="G36" s="450"/>
      <c r="H36" s="450"/>
      <c r="I36" s="450"/>
      <c r="J36" s="450"/>
    </row>
    <row r="37" spans="1:10">
      <c r="A37" s="450"/>
      <c r="B37" s="450"/>
      <c r="C37" s="450"/>
      <c r="D37" s="450"/>
      <c r="E37" s="450"/>
      <c r="F37" s="450"/>
      <c r="G37" s="450"/>
      <c r="H37" s="450"/>
      <c r="I37" s="450"/>
      <c r="J37" s="450"/>
    </row>
    <row r="38" spans="1:10">
      <c r="A38" s="450"/>
      <c r="B38" s="450"/>
      <c r="C38" s="450"/>
      <c r="D38" s="450"/>
      <c r="E38" s="450"/>
      <c r="F38" s="450"/>
      <c r="G38" s="450"/>
      <c r="H38" s="450"/>
      <c r="I38" s="450"/>
      <c r="J38" s="450"/>
    </row>
    <row r="39" spans="1:10">
      <c r="A39" s="450"/>
      <c r="B39" s="450"/>
      <c r="C39" s="450"/>
      <c r="D39" s="450"/>
      <c r="E39" s="450"/>
      <c r="F39" s="450"/>
      <c r="G39" s="450"/>
      <c r="H39" s="450"/>
      <c r="I39" s="450"/>
      <c r="J39" s="450"/>
    </row>
    <row r="40" spans="1:10">
      <c r="A40" s="444"/>
      <c r="B40" s="444"/>
      <c r="C40" s="444"/>
      <c r="D40" s="444"/>
      <c r="E40" s="444"/>
      <c r="F40" s="444"/>
      <c r="G40" s="444"/>
      <c r="H40" s="444"/>
      <c r="I40" s="444"/>
      <c r="J40" s="444"/>
    </row>
    <row r="41" spans="1:10">
      <c r="A41" s="444"/>
      <c r="B41" s="444"/>
      <c r="C41" s="444"/>
      <c r="D41" s="444"/>
      <c r="E41" s="444"/>
      <c r="F41" s="444"/>
      <c r="G41" s="444"/>
      <c r="H41" s="444"/>
      <c r="I41" s="444"/>
      <c r="J41" s="444"/>
    </row>
    <row r="42" spans="1:10">
      <c r="A42" s="444"/>
      <c r="B42" s="444"/>
      <c r="C42" s="444"/>
      <c r="D42" s="444"/>
      <c r="E42" s="444"/>
      <c r="F42" s="444"/>
      <c r="G42" s="444"/>
      <c r="H42" s="444"/>
      <c r="I42" s="444"/>
      <c r="J42" s="444"/>
    </row>
    <row r="43" spans="1:10">
      <c r="A43" s="444"/>
      <c r="B43" s="444"/>
      <c r="C43" s="444"/>
      <c r="D43" s="444"/>
      <c r="E43" s="444"/>
      <c r="F43" s="444"/>
      <c r="G43" s="444"/>
      <c r="H43" s="444"/>
      <c r="I43" s="444"/>
      <c r="J43" s="444"/>
    </row>
    <row r="44" spans="1:10">
      <c r="A44" s="444"/>
      <c r="B44" s="444"/>
      <c r="C44" s="444"/>
      <c r="D44" s="444"/>
      <c r="E44" s="444"/>
      <c r="F44" s="444"/>
      <c r="G44" s="444"/>
      <c r="H44" s="444"/>
      <c r="I44" s="444"/>
      <c r="J44" s="444"/>
    </row>
    <row r="45" spans="1:10">
      <c r="A45" s="444"/>
      <c r="B45" s="444"/>
      <c r="C45" s="444"/>
      <c r="D45" s="444"/>
      <c r="E45" s="444"/>
      <c r="F45" s="444"/>
      <c r="G45" s="444"/>
      <c r="H45" s="444"/>
      <c r="I45" s="444"/>
      <c r="J45" s="444"/>
    </row>
    <row r="46" spans="1:10">
      <c r="A46" s="444"/>
      <c r="B46" s="444"/>
      <c r="C46" s="444"/>
      <c r="D46" s="444"/>
      <c r="E46" s="444"/>
      <c r="F46" s="444"/>
      <c r="G46" s="444"/>
      <c r="H46" s="444"/>
      <c r="I46" s="444"/>
      <c r="J46" s="444"/>
    </row>
    <row r="47" spans="1:10">
      <c r="A47" s="444"/>
      <c r="B47" s="444"/>
      <c r="C47" s="444"/>
      <c r="D47" s="444"/>
      <c r="E47" s="444"/>
      <c r="F47" s="444"/>
      <c r="G47" s="444"/>
      <c r="H47" s="444"/>
      <c r="I47" s="444"/>
      <c r="J47" s="444"/>
    </row>
    <row r="48" spans="1:10">
      <c r="A48" s="444"/>
      <c r="B48" s="444"/>
      <c r="C48" s="444"/>
      <c r="D48" s="444"/>
      <c r="E48" s="444"/>
      <c r="F48" s="444"/>
      <c r="G48" s="444"/>
      <c r="H48" s="444"/>
      <c r="I48" s="444"/>
      <c r="J48" s="444"/>
    </row>
    <row r="49" spans="1:10">
      <c r="A49" s="444"/>
      <c r="B49" s="444"/>
      <c r="C49" s="444"/>
      <c r="D49" s="444"/>
      <c r="E49" s="444"/>
      <c r="F49" s="444"/>
      <c r="G49" s="444"/>
      <c r="H49" s="444"/>
      <c r="I49" s="444"/>
      <c r="J49" s="444"/>
    </row>
    <row r="50" spans="1:10">
      <c r="A50" s="444"/>
      <c r="B50" s="444"/>
      <c r="C50" s="444"/>
      <c r="D50" s="444"/>
      <c r="E50" s="444"/>
      <c r="F50" s="444"/>
      <c r="G50" s="444"/>
      <c r="H50" s="444"/>
      <c r="I50" s="444"/>
      <c r="J50" s="444"/>
    </row>
    <row r="51" spans="1:10">
      <c r="A51" s="444"/>
      <c r="B51" s="444"/>
      <c r="C51" s="444"/>
      <c r="D51" s="444"/>
      <c r="E51" s="444"/>
      <c r="F51" s="444"/>
      <c r="G51" s="444"/>
      <c r="H51" s="444"/>
      <c r="I51" s="444"/>
      <c r="J51" s="444"/>
    </row>
    <row r="52" spans="1:10">
      <c r="A52" s="444"/>
      <c r="B52" s="444"/>
      <c r="C52" s="444"/>
      <c r="D52" s="444"/>
      <c r="E52" s="444"/>
      <c r="F52" s="444"/>
      <c r="G52" s="444"/>
      <c r="H52" s="444"/>
      <c r="I52" s="444"/>
      <c r="J52" s="444"/>
    </row>
    <row r="53" spans="1:10">
      <c r="A53" s="444"/>
      <c r="B53" s="444"/>
      <c r="C53" s="444"/>
      <c r="D53" s="444"/>
      <c r="E53" s="444"/>
      <c r="F53" s="444"/>
      <c r="G53" s="444"/>
      <c r="H53" s="444"/>
      <c r="I53" s="444"/>
      <c r="J53" s="444"/>
    </row>
    <row r="54" spans="1:10">
      <c r="A54" s="444"/>
      <c r="B54" s="444"/>
      <c r="C54" s="444"/>
      <c r="D54" s="444"/>
      <c r="E54" s="444"/>
      <c r="F54" s="444"/>
      <c r="G54" s="444"/>
      <c r="H54" s="444"/>
      <c r="I54" s="444"/>
      <c r="J54" s="444"/>
    </row>
    <row r="55" spans="1:10">
      <c r="A55" s="444"/>
      <c r="B55" s="444"/>
      <c r="C55" s="444"/>
      <c r="D55" s="444"/>
      <c r="E55" s="444"/>
      <c r="F55" s="444"/>
      <c r="G55" s="444"/>
      <c r="H55" s="444"/>
      <c r="I55" s="444"/>
      <c r="J55" s="444"/>
    </row>
    <row r="56" spans="1:10">
      <c r="A56" s="444"/>
      <c r="B56" s="444"/>
      <c r="C56" s="444"/>
      <c r="D56" s="444"/>
      <c r="E56" s="444"/>
      <c r="F56" s="444"/>
      <c r="G56" s="444"/>
      <c r="H56" s="444"/>
      <c r="I56" s="444"/>
      <c r="J56" s="444"/>
    </row>
    <row r="57" spans="1:10">
      <c r="A57" s="485"/>
      <c r="B57" s="444"/>
      <c r="C57" s="444"/>
      <c r="D57" s="444"/>
      <c r="E57" s="444"/>
      <c r="F57" s="444"/>
      <c r="G57" s="444"/>
      <c r="H57" s="444"/>
      <c r="I57" s="444"/>
      <c r="J57" s="444"/>
    </row>
    <row r="58" spans="1:10">
      <c r="A58" s="444"/>
      <c r="B58" s="444"/>
      <c r="C58" s="444"/>
      <c r="D58" s="444"/>
      <c r="E58" s="444"/>
      <c r="F58" s="444"/>
      <c r="G58" s="444"/>
      <c r="H58" s="444"/>
      <c r="I58" s="444"/>
      <c r="J58" s="444"/>
    </row>
  </sheetData>
  <sheetProtection password="CE8E" sheet="1"/>
  <mergeCells count="28">
    <mergeCell ref="B23:C23"/>
    <mergeCell ref="H23:I23"/>
    <mergeCell ref="B24:C24"/>
    <mergeCell ref="H24:I24"/>
    <mergeCell ref="B20:C20"/>
    <mergeCell ref="H20:I20"/>
    <mergeCell ref="B21:C21"/>
    <mergeCell ref="H21:I21"/>
    <mergeCell ref="B22:C22"/>
    <mergeCell ref="H22:I22"/>
    <mergeCell ref="B17:C17"/>
    <mergeCell ref="H17:I17"/>
    <mergeCell ref="B18:C18"/>
    <mergeCell ref="H18:I18"/>
    <mergeCell ref="B19:C19"/>
    <mergeCell ref="H19:I19"/>
    <mergeCell ref="B14:C14"/>
    <mergeCell ref="H14:I14"/>
    <mergeCell ref="B15:C15"/>
    <mergeCell ref="H15:I15"/>
    <mergeCell ref="B16:C16"/>
    <mergeCell ref="H16:I16"/>
    <mergeCell ref="B10:C10"/>
    <mergeCell ref="H10:I10"/>
    <mergeCell ref="B12:C12"/>
    <mergeCell ref="H12:I12"/>
    <mergeCell ref="B13:C13"/>
    <mergeCell ref="H13:I1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9"/>
  <dimension ref="B2:G49"/>
  <sheetViews>
    <sheetView workbookViewId="0"/>
  </sheetViews>
  <sheetFormatPr defaultColWidth="9.140625" defaultRowHeight="12.75"/>
  <cols>
    <col min="1" max="1" width="9.140625" style="7"/>
    <col min="2" max="2" width="27.7109375" style="7" bestFit="1" customWidth="1"/>
    <col min="3" max="3" width="14" style="7" bestFit="1" customWidth="1"/>
    <col min="4" max="5" width="10.28515625" style="7" bestFit="1" customWidth="1"/>
    <col min="6" max="6" width="9.140625" style="7"/>
    <col min="7" max="7" width="21.42578125" style="7" bestFit="1" customWidth="1"/>
    <col min="8" max="16384" width="9.140625" style="7"/>
  </cols>
  <sheetData>
    <row r="2" spans="2:7" s="14" customFormat="1">
      <c r="B2" s="14" t="s">
        <v>247</v>
      </c>
      <c r="C2" s="14" t="s">
        <v>248</v>
      </c>
      <c r="D2" s="14" t="s">
        <v>249</v>
      </c>
      <c r="E2" s="14" t="s">
        <v>250</v>
      </c>
      <c r="G2" s="14" t="s">
        <v>277</v>
      </c>
    </row>
    <row r="4" spans="2:7">
      <c r="B4" s="311" t="s">
        <v>18</v>
      </c>
      <c r="C4" s="217">
        <v>2</v>
      </c>
      <c r="D4" s="339"/>
      <c r="E4" s="339">
        <f>-Summary!C24+Summary!B24</f>
        <v>-127600</v>
      </c>
    </row>
    <row r="5" spans="2:7">
      <c r="B5" s="311" t="s">
        <v>251</v>
      </c>
      <c r="C5" s="217">
        <v>586</v>
      </c>
      <c r="D5" s="339">
        <f>+Summary!D24</f>
        <v>153120</v>
      </c>
      <c r="E5" s="339"/>
    </row>
    <row r="6" spans="2:7">
      <c r="B6" s="311" t="s">
        <v>17</v>
      </c>
      <c r="C6" s="217">
        <v>735</v>
      </c>
      <c r="D6" s="339"/>
      <c r="E6" s="339">
        <f>-Summary!E24</f>
        <v>-25520</v>
      </c>
      <c r="G6" s="368">
        <f>+D4+D5+D6+E4+E5+E6</f>
        <v>0</v>
      </c>
    </row>
    <row r="7" spans="2:7">
      <c r="C7" s="217"/>
      <c r="D7" s="339"/>
      <c r="E7" s="339"/>
    </row>
    <row r="8" spans="2:7">
      <c r="B8" s="311" t="s">
        <v>253</v>
      </c>
      <c r="C8" s="217">
        <v>692</v>
      </c>
      <c r="D8" s="339">
        <f>+Summary!G24+Summary!H24+Summary!I24</f>
        <v>153315.09</v>
      </c>
      <c r="E8" s="339"/>
    </row>
    <row r="9" spans="2:7">
      <c r="B9" s="311" t="s">
        <v>252</v>
      </c>
      <c r="C9" s="217">
        <v>586</v>
      </c>
      <c r="D9" s="339"/>
      <c r="E9" s="339">
        <f>-Summary!G24</f>
        <v>-153120</v>
      </c>
    </row>
    <row r="10" spans="2:7">
      <c r="B10" s="311" t="s">
        <v>255</v>
      </c>
      <c r="C10" s="217">
        <v>130</v>
      </c>
      <c r="D10" s="339"/>
      <c r="E10" s="339">
        <f>-Summary!H24</f>
        <v>-195.09</v>
      </c>
    </row>
    <row r="11" spans="2:7">
      <c r="B11" s="311" t="s">
        <v>130</v>
      </c>
      <c r="C11" s="217"/>
      <c r="D11" s="339"/>
      <c r="E11" s="339">
        <f>-Summary!I24</f>
        <v>0</v>
      </c>
      <c r="G11" s="368">
        <f>+D8+D9+D10+D11+E8+E9+E10+E11</f>
        <v>-3.4958702599396929E-12</v>
      </c>
    </row>
    <row r="12" spans="2:7">
      <c r="C12" s="217"/>
      <c r="D12" s="339"/>
      <c r="E12" s="339"/>
    </row>
    <row r="13" spans="2:7">
      <c r="B13" s="311" t="s">
        <v>254</v>
      </c>
      <c r="C13" s="217">
        <v>673</v>
      </c>
      <c r="D13" s="339">
        <f>+Summary!J24</f>
        <v>101044.25</v>
      </c>
      <c r="E13" s="339"/>
    </row>
    <row r="14" spans="2:7">
      <c r="B14" s="311" t="s">
        <v>254</v>
      </c>
      <c r="C14" s="217">
        <v>130</v>
      </c>
      <c r="D14" s="339"/>
      <c r="E14" s="339">
        <f>-Summary!J24</f>
        <v>-101044.25</v>
      </c>
      <c r="G14" s="368">
        <f>+D13+D14+E13+E14</f>
        <v>0</v>
      </c>
    </row>
    <row r="15" spans="2:7">
      <c r="C15" s="217"/>
      <c r="D15" s="339"/>
      <c r="E15" s="339"/>
    </row>
    <row r="16" spans="2:7">
      <c r="B16" s="311" t="s">
        <v>256</v>
      </c>
      <c r="C16" s="217">
        <v>692</v>
      </c>
      <c r="D16" s="339"/>
      <c r="E16" s="339">
        <f>-Summary!B47</f>
        <v>-227573.34000000005</v>
      </c>
    </row>
    <row r="17" spans="2:7">
      <c r="B17" s="311" t="s">
        <v>257</v>
      </c>
      <c r="C17" s="386" t="s">
        <v>258</v>
      </c>
      <c r="D17" s="339"/>
      <c r="E17" s="339">
        <f>-Summary!C47</f>
        <v>-1166</v>
      </c>
    </row>
    <row r="18" spans="2:7">
      <c r="B18" s="311" t="s">
        <v>259</v>
      </c>
      <c r="C18" s="217"/>
      <c r="D18" s="339"/>
      <c r="E18" s="339">
        <f>-Summary!D47</f>
        <v>0</v>
      </c>
      <c r="G18" s="368"/>
    </row>
    <row r="19" spans="2:7">
      <c r="C19" s="217"/>
      <c r="D19" s="339"/>
      <c r="E19" s="339"/>
    </row>
    <row r="20" spans="2:7">
      <c r="B20" s="311" t="s">
        <v>17</v>
      </c>
      <c r="C20" s="217">
        <v>735</v>
      </c>
      <c r="D20" s="339">
        <f>+Summary!E47</f>
        <v>0</v>
      </c>
      <c r="E20" s="339"/>
    </row>
    <row r="21" spans="2:7">
      <c r="B21" s="311" t="s">
        <v>262</v>
      </c>
      <c r="C21" s="217">
        <v>267</v>
      </c>
      <c r="D21" s="339">
        <f>+Summary!F47</f>
        <v>2483</v>
      </c>
      <c r="E21" s="339"/>
    </row>
    <row r="22" spans="2:7">
      <c r="B22" s="311" t="s">
        <v>263</v>
      </c>
      <c r="C22" s="217">
        <v>266</v>
      </c>
      <c r="D22" s="339">
        <f>+Summary!G47</f>
        <v>1980</v>
      </c>
      <c r="E22" s="339"/>
    </row>
    <row r="23" spans="2:7">
      <c r="B23" s="311" t="s">
        <v>264</v>
      </c>
      <c r="C23" s="217">
        <v>270</v>
      </c>
      <c r="D23" s="339">
        <f>+Summary!H47</f>
        <v>630</v>
      </c>
      <c r="E23" s="339"/>
    </row>
    <row r="24" spans="2:7">
      <c r="B24" s="311" t="s">
        <v>58</v>
      </c>
      <c r="C24" s="386" t="s">
        <v>260</v>
      </c>
      <c r="D24" s="339">
        <f>+Summary!I47</f>
        <v>0</v>
      </c>
      <c r="E24" s="339"/>
    </row>
    <row r="25" spans="2:7">
      <c r="B25" s="311" t="s">
        <v>265</v>
      </c>
      <c r="C25" s="386" t="s">
        <v>280</v>
      </c>
      <c r="D25" s="339">
        <f>+Summary!J47</f>
        <v>22440</v>
      </c>
      <c r="E25" s="339"/>
    </row>
    <row r="26" spans="2:7">
      <c r="B26" s="311" t="s">
        <v>266</v>
      </c>
      <c r="C26" s="386">
        <v>755</v>
      </c>
      <c r="D26" s="339">
        <f>+Summary!K47</f>
        <v>414.56999999999994</v>
      </c>
      <c r="E26" s="339"/>
    </row>
    <row r="27" spans="2:7">
      <c r="B27" s="311" t="s">
        <v>49</v>
      </c>
      <c r="C27" s="311" t="s">
        <v>267</v>
      </c>
      <c r="D27" s="339">
        <f>+Summary!L47</f>
        <v>50000</v>
      </c>
      <c r="E27" s="339"/>
    </row>
    <row r="28" spans="2:7">
      <c r="B28" s="311" t="s">
        <v>268</v>
      </c>
      <c r="C28" s="386">
        <v>269</v>
      </c>
      <c r="D28" s="339">
        <f>+Summary!M47</f>
        <v>0</v>
      </c>
      <c r="E28" s="339"/>
    </row>
    <row r="29" spans="2:7">
      <c r="B29" s="311" t="s">
        <v>45</v>
      </c>
      <c r="C29" s="386">
        <v>264</v>
      </c>
      <c r="D29" s="339">
        <f>+Summary!N47</f>
        <v>198</v>
      </c>
      <c r="E29" s="339"/>
    </row>
    <row r="30" spans="2:7">
      <c r="B30" s="311" t="s">
        <v>46</v>
      </c>
      <c r="C30" s="386">
        <v>263</v>
      </c>
      <c r="D30" s="339">
        <f>+Summary!O47</f>
        <v>780</v>
      </c>
      <c r="E30" s="339"/>
    </row>
    <row r="31" spans="2:7">
      <c r="B31" s="311" t="s">
        <v>269</v>
      </c>
      <c r="C31" s="386" t="s">
        <v>261</v>
      </c>
      <c r="D31" s="339">
        <f>+Summary!P47</f>
        <v>0</v>
      </c>
      <c r="E31" s="339"/>
    </row>
    <row r="32" spans="2:7">
      <c r="B32" s="311" t="s">
        <v>270</v>
      </c>
      <c r="C32" s="386">
        <v>262</v>
      </c>
      <c r="D32" s="339">
        <f>+Summary!Q47</f>
        <v>691</v>
      </c>
      <c r="E32" s="339"/>
    </row>
    <row r="33" spans="2:7">
      <c r="B33" s="311" t="s">
        <v>271</v>
      </c>
      <c r="C33" s="386">
        <v>278</v>
      </c>
      <c r="D33" s="339">
        <f>+Summary!R47</f>
        <v>1020</v>
      </c>
      <c r="E33" s="339"/>
    </row>
    <row r="34" spans="2:7">
      <c r="B34" s="311" t="s">
        <v>50</v>
      </c>
      <c r="C34" s="386">
        <v>285</v>
      </c>
      <c r="D34" s="339">
        <f>+Summary!S47</f>
        <v>1656</v>
      </c>
      <c r="E34" s="339"/>
    </row>
    <row r="35" spans="2:7">
      <c r="B35" s="311" t="s">
        <v>174</v>
      </c>
      <c r="C35" s="386">
        <v>378</v>
      </c>
      <c r="D35" s="339">
        <f>+Summary!T47</f>
        <v>71.3</v>
      </c>
      <c r="E35" s="339"/>
    </row>
    <row r="36" spans="2:7">
      <c r="B36" s="311" t="s">
        <v>175</v>
      </c>
      <c r="C36" s="386">
        <v>273</v>
      </c>
      <c r="D36" s="339">
        <f>+Summary!U47</f>
        <v>1060</v>
      </c>
      <c r="E36" s="339"/>
    </row>
    <row r="37" spans="2:7">
      <c r="B37" s="311" t="s">
        <v>272</v>
      </c>
      <c r="C37" s="386">
        <v>673</v>
      </c>
      <c r="D37" s="339">
        <f>+Summary!V47</f>
        <v>101239.34</v>
      </c>
      <c r="E37" s="339"/>
    </row>
    <row r="38" spans="2:7">
      <c r="B38" s="311" t="s">
        <v>273</v>
      </c>
      <c r="C38" s="386">
        <v>735</v>
      </c>
      <c r="D38" s="339">
        <f>+Summary!W47</f>
        <v>21997.8</v>
      </c>
      <c r="E38" s="339"/>
    </row>
    <row r="39" spans="2:7">
      <c r="B39" s="311" t="s">
        <v>274</v>
      </c>
      <c r="C39" s="386">
        <v>747</v>
      </c>
      <c r="D39" s="339">
        <f>+Summary!X47</f>
        <v>21280.33</v>
      </c>
      <c r="E39" s="339"/>
    </row>
    <row r="40" spans="2:7">
      <c r="B40" s="311" t="s">
        <v>275</v>
      </c>
      <c r="C40" s="7" t="s">
        <v>282</v>
      </c>
      <c r="D40" s="339">
        <f>+Summary!Y47</f>
        <v>0</v>
      </c>
      <c r="E40" s="339"/>
    </row>
    <row r="41" spans="2:7">
      <c r="B41" s="311" t="s">
        <v>276</v>
      </c>
      <c r="C41" s="386">
        <v>321</v>
      </c>
      <c r="D41" s="339">
        <f>+Summary!Z47</f>
        <v>785</v>
      </c>
      <c r="E41" s="339"/>
    </row>
    <row r="42" spans="2:7">
      <c r="B42" s="311" t="s">
        <v>51</v>
      </c>
      <c r="C42" s="386">
        <v>280</v>
      </c>
      <c r="D42" s="339">
        <f>+Summary!AA47</f>
        <v>13</v>
      </c>
      <c r="E42" s="339"/>
      <c r="G42" s="368">
        <f>SUM(D16:E42)</f>
        <v>-6.184563972055912E-11</v>
      </c>
    </row>
    <row r="44" spans="2:7">
      <c r="B44" s="311" t="s">
        <v>178</v>
      </c>
      <c r="C44" s="386">
        <v>735</v>
      </c>
      <c r="D44" s="368">
        <f>+'Control Accounts'!D12</f>
        <v>255.19999999999709</v>
      </c>
    </row>
    <row r="45" spans="2:7">
      <c r="C45" s="386">
        <v>3</v>
      </c>
      <c r="E45" s="368">
        <f>-'Control Accounts'!D12</f>
        <v>-255.19999999999709</v>
      </c>
      <c r="G45" s="368">
        <f>+E44+D44+D45+E45</f>
        <v>0</v>
      </c>
    </row>
    <row r="47" spans="2:7">
      <c r="B47" s="7" t="s">
        <v>278</v>
      </c>
      <c r="C47" s="7" t="s">
        <v>280</v>
      </c>
      <c r="D47" s="368">
        <f>+'Control Accounts'!H50</f>
        <v>647.54999999999995</v>
      </c>
    </row>
    <row r="48" spans="2:7">
      <c r="B48" s="7" t="s">
        <v>279</v>
      </c>
      <c r="C48" s="7" t="s">
        <v>281</v>
      </c>
      <c r="D48" s="368">
        <f>+'Control Accounts'!H51</f>
        <v>0</v>
      </c>
    </row>
    <row r="49" spans="3:7">
      <c r="C49" s="386">
        <v>755</v>
      </c>
      <c r="E49" s="368">
        <f>+'Control Accounts'!D50</f>
        <v>414.56999999999994</v>
      </c>
      <c r="G49" s="368">
        <f>+D47+D48+D49-E47-E48-E49</f>
        <v>232.98000000000002</v>
      </c>
    </row>
  </sheetData>
  <sheetProtection password="CE8E" sheet="1" objects="1" scenarios="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vt:i4>
      </vt:variant>
    </vt:vector>
  </HeadingPairs>
  <TitlesOfParts>
    <vt:vector size="28" baseType="lpstr">
      <vt:lpstr>Getting Started - FAQ</vt:lpstr>
      <vt:lpstr>Example</vt:lpstr>
      <vt:lpstr>Nov 17</vt:lpstr>
      <vt:lpstr>Dec 17</vt:lpstr>
      <vt:lpstr>Jan 18</vt:lpstr>
      <vt:lpstr>Feb 18</vt:lpstr>
      <vt:lpstr>Mar 18</vt:lpstr>
      <vt:lpstr>Apr 18</vt:lpstr>
      <vt:lpstr>May 18</vt:lpstr>
      <vt:lpstr>Jun 18</vt:lpstr>
      <vt:lpstr>Jul 18</vt:lpstr>
      <vt:lpstr>Aug 18</vt:lpstr>
      <vt:lpstr>Sep 18</vt:lpstr>
      <vt:lpstr>Oct 18</vt:lpstr>
      <vt:lpstr>Summary</vt:lpstr>
      <vt:lpstr>P11D</vt:lpstr>
      <vt:lpstr>Accountant Calculations</vt:lpstr>
      <vt:lpstr>Bank Accounts</vt:lpstr>
      <vt:lpstr>Control Accounts</vt:lpstr>
      <vt:lpstr>PAYE Summary</vt:lpstr>
      <vt:lpstr>Wages Summary</vt:lpstr>
      <vt:lpstr>VAT Summary</vt:lpstr>
      <vt:lpstr>Fixed Assets (V1)</vt:lpstr>
      <vt:lpstr>Fixed Assets (V2)</vt:lpstr>
      <vt:lpstr>DLA</vt:lpstr>
      <vt:lpstr>Journal</vt:lpstr>
      <vt:lpstr>'Nov 17'!Print_Area</vt:lpstr>
      <vt:lpstr>'VAT Summary'!Print_Area</vt:lpstr>
    </vt:vector>
  </TitlesOfParts>
  <Company>Microware Data Services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Jennings.</dc:creator>
  <cp:lastModifiedBy>Oto Tash</cp:lastModifiedBy>
  <cp:lastPrinted>2014-03-24T12:16:26Z</cp:lastPrinted>
  <dcterms:created xsi:type="dcterms:W3CDTF">1997-05-02T22:26:54Z</dcterms:created>
  <dcterms:modified xsi:type="dcterms:W3CDTF">2019-02-04T16:14:00Z</dcterms:modified>
</cp:coreProperties>
</file>